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899C9086-67A9-5B14-2C2D-5A8001700F7D}"/>
  <workbookPr codeName="현재_통합_문서"/>
  <mc:AlternateContent xmlns:mc="http://schemas.openxmlformats.org/markup-compatibility/2006">
    <mc:Choice Requires="x15">
      <x15ac:absPath xmlns:x15ac="http://schemas.microsoft.com/office/spreadsheetml/2010/11/ac" url="\\172.17.255.21\nas_Wm\WM_L10n팀\01_MIR4\99_ARCHIVE\MIR4_FULL_LOCALE\2025년\251223\251223_테이블 정제\"/>
    </mc:Choice>
  </mc:AlternateContent>
  <xr:revisionPtr revIDLastSave="0" documentId="13_ncr:1_{B054AB18-5FAA-48B4-91F6-ECE648629D12}" xr6:coauthVersionLast="47" xr6:coauthVersionMax="47" xr10:uidLastSave="{00000000-0000-0000-0000-000000000000}"/>
  <bookViews>
    <workbookView xWindow="-120" yWindow="-120" windowWidth="29040" windowHeight="15720" activeTab="1" xr2:uid="{00000000-000D-0000-FFFF-FFFF00000000}"/>
  </bookViews>
  <sheets>
    <sheet name="!명세서" sheetId="2" r:id="rId1"/>
    <sheet name="STRING_MAIL" sheetId="4" r:id="rId2"/>
    <sheet name="!규칙" sheetId="5" r:id="rId3"/>
  </sheets>
  <definedNames>
    <definedName name="_xlnm._FilterDatabase" localSheetId="1" hidden="1">STRING_MAIL!$G$1:$G$594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427" i="4" l="1"/>
  <c r="B427" i="4"/>
  <c r="R426" i="4"/>
  <c r="B426" i="4"/>
  <c r="R425" i="4"/>
  <c r="B425" i="4"/>
  <c r="R424" i="4"/>
  <c r="B424" i="4"/>
  <c r="R423" i="4"/>
  <c r="B423" i="4"/>
  <c r="R422" i="4"/>
  <c r="B422" i="4"/>
  <c r="R421" i="4"/>
  <c r="B421" i="4"/>
  <c r="R420" i="4"/>
  <c r="B420" i="4"/>
  <c r="R419" i="4"/>
  <c r="B419" i="4"/>
  <c r="R43" i="4"/>
  <c r="B43" i="4"/>
  <c r="R42" i="4"/>
  <c r="B42" i="4"/>
  <c r="R41" i="4"/>
  <c r="B41" i="4"/>
  <c r="R40" i="4"/>
  <c r="B40" i="4"/>
  <c r="R39" i="4"/>
  <c r="B39" i="4"/>
  <c r="R38" i="4"/>
  <c r="B38" i="4"/>
  <c r="R37" i="4"/>
  <c r="B37" i="4"/>
  <c r="R36" i="4"/>
  <c r="B36" i="4"/>
  <c r="R35" i="4"/>
  <c r="B35" i="4"/>
  <c r="R337" i="4"/>
  <c r="B337" i="4"/>
  <c r="R336" i="4"/>
  <c r="B336" i="4"/>
  <c r="R335" i="4"/>
  <c r="B335" i="4"/>
  <c r="R418" i="4" l="1"/>
  <c r="B418" i="4"/>
  <c r="R417" i="4"/>
  <c r="B417" i="4"/>
  <c r="R416" i="4"/>
  <c r="B416" i="4"/>
  <c r="R415" i="4"/>
  <c r="B415" i="4"/>
  <c r="R414" i="4"/>
  <c r="B414" i="4"/>
  <c r="R413" i="4"/>
  <c r="B413" i="4"/>
  <c r="R412" i="4"/>
  <c r="B412" i="4"/>
  <c r="R411" i="4"/>
  <c r="B411" i="4"/>
  <c r="R410" i="4"/>
  <c r="B410" i="4"/>
  <c r="B594" i="4"/>
  <c r="B583" i="4"/>
  <c r="B572" i="4"/>
  <c r="R561" i="4"/>
  <c r="B561" i="4"/>
  <c r="R560" i="4"/>
  <c r="B560" i="4"/>
  <c r="R559" i="4"/>
  <c r="B559" i="4"/>
  <c r="B593" i="4"/>
  <c r="B592" i="4"/>
  <c r="B591" i="4"/>
  <c r="B590" i="4"/>
  <c r="B589" i="4"/>
  <c r="B588" i="4"/>
  <c r="B587" i="4"/>
  <c r="B586" i="4"/>
  <c r="B585" i="4"/>
  <c r="B584" i="4"/>
  <c r="B582" i="4"/>
  <c r="B581" i="4"/>
  <c r="B580" i="4"/>
  <c r="B579" i="4"/>
  <c r="B578" i="4"/>
  <c r="B577" i="4"/>
  <c r="B576" i="4"/>
  <c r="B575" i="4"/>
  <c r="B574" i="4"/>
  <c r="B573" i="4"/>
  <c r="B571" i="4"/>
  <c r="B570" i="4"/>
  <c r="B569" i="4"/>
  <c r="B568" i="4"/>
  <c r="B567" i="4"/>
  <c r="B566" i="4"/>
  <c r="B565" i="4"/>
  <c r="B564" i="4"/>
  <c r="B563" i="4"/>
  <c r="B562" i="4"/>
  <c r="R409" i="4"/>
  <c r="B409" i="4"/>
  <c r="R408" i="4"/>
  <c r="B408" i="4"/>
  <c r="R407" i="4"/>
  <c r="B407" i="4"/>
  <c r="R406" i="4"/>
  <c r="B406" i="4"/>
  <c r="R405" i="4"/>
  <c r="B405" i="4"/>
  <c r="R404" i="4"/>
  <c r="B404" i="4"/>
  <c r="R403" i="4"/>
  <c r="B403" i="4"/>
  <c r="R402" i="4"/>
  <c r="B402" i="4"/>
  <c r="R401" i="4"/>
  <c r="B401" i="4"/>
  <c r="R536" i="4" l="1"/>
  <c r="R537" i="4"/>
  <c r="R538" i="4"/>
  <c r="R539" i="4"/>
  <c r="R540" i="4"/>
  <c r="R541" i="4"/>
  <c r="R542" i="4"/>
  <c r="R543" i="4"/>
  <c r="R544" i="4"/>
  <c r="R545" i="4"/>
  <c r="R546" i="4"/>
  <c r="R547" i="4"/>
  <c r="R548" i="4"/>
  <c r="R549" i="4"/>
  <c r="R550" i="4"/>
  <c r="R551" i="4"/>
  <c r="R552" i="4"/>
  <c r="R553" i="4"/>
  <c r="R554" i="4"/>
  <c r="R555" i="4"/>
  <c r="R556" i="4"/>
  <c r="R557" i="4"/>
  <c r="R558" i="4"/>
  <c r="B536" i="4"/>
  <c r="B537" i="4"/>
  <c r="B538" i="4"/>
  <c r="B539" i="4"/>
  <c r="B540" i="4"/>
  <c r="B541" i="4"/>
  <c r="B542" i="4"/>
  <c r="B543" i="4"/>
  <c r="B544" i="4"/>
  <c r="B545" i="4"/>
  <c r="B546" i="4"/>
  <c r="B547" i="4"/>
  <c r="B548" i="4"/>
  <c r="B549" i="4"/>
  <c r="B550" i="4"/>
  <c r="B551" i="4"/>
  <c r="B552" i="4"/>
  <c r="B553" i="4"/>
  <c r="B554" i="4"/>
  <c r="B555" i="4"/>
  <c r="B556" i="4"/>
  <c r="B557" i="4"/>
  <c r="B558" i="4"/>
  <c r="B523" i="4"/>
  <c r="B524" i="4"/>
  <c r="B525" i="4"/>
  <c r="B526" i="4"/>
  <c r="B527" i="4"/>
  <c r="B528" i="4"/>
  <c r="B529" i="4"/>
  <c r="B530" i="4"/>
  <c r="B531" i="4"/>
  <c r="B532" i="4"/>
  <c r="B533" i="4"/>
  <c r="B534" i="4"/>
  <c r="B535" i="4"/>
  <c r="R533" i="4"/>
  <c r="R534" i="4"/>
  <c r="R535" i="4"/>
  <c r="B522" i="4" l="1"/>
  <c r="B521" i="4"/>
  <c r="B469" i="4"/>
  <c r="B462" i="4"/>
  <c r="B457" i="4"/>
  <c r="B458" i="4"/>
  <c r="B459" i="4"/>
  <c r="B460" i="4"/>
  <c r="B461" i="4"/>
  <c r="B463" i="4"/>
  <c r="B464" i="4"/>
  <c r="B465" i="4"/>
  <c r="B466" i="4"/>
  <c r="B467" i="4"/>
  <c r="B468" i="4"/>
  <c r="B456" i="4"/>
  <c r="B329" i="4"/>
  <c r="R329" i="4"/>
  <c r="B330" i="4"/>
  <c r="R330" i="4"/>
  <c r="B331" i="4"/>
  <c r="R331" i="4"/>
  <c r="B332" i="4"/>
  <c r="R332" i="4"/>
  <c r="B333" i="4"/>
  <c r="R333" i="4"/>
  <c r="B334" i="4"/>
  <c r="R334" i="4"/>
  <c r="R450" i="4"/>
  <c r="R449" i="4"/>
  <c r="R448" i="4"/>
  <c r="R447" i="4"/>
  <c r="R446" i="4"/>
  <c r="R445" i="4"/>
  <c r="R444" i="4"/>
  <c r="R443" i="4"/>
  <c r="R442" i="4"/>
  <c r="R441" i="4"/>
  <c r="R440" i="4"/>
  <c r="R439" i="4"/>
  <c r="R438" i="4"/>
  <c r="R437" i="4"/>
  <c r="R436" i="4"/>
  <c r="R435" i="4"/>
  <c r="R434" i="4"/>
  <c r="R433" i="4"/>
  <c r="R432" i="4"/>
  <c r="R431" i="4"/>
  <c r="R430" i="4"/>
  <c r="R429" i="4"/>
  <c r="R428" i="4"/>
  <c r="B509" i="4" l="1"/>
  <c r="B513" i="4"/>
  <c r="B514" i="4"/>
  <c r="B511" i="4"/>
  <c r="B512" i="4"/>
  <c r="B518" i="4"/>
  <c r="B517" i="4"/>
  <c r="B510" i="4"/>
  <c r="B502" i="4"/>
  <c r="R244" i="4"/>
  <c r="B244" i="4"/>
  <c r="R243" i="4"/>
  <c r="B243" i="4"/>
  <c r="R242" i="4"/>
  <c r="B242" i="4"/>
  <c r="R241" i="4"/>
  <c r="B241" i="4"/>
  <c r="R240" i="4"/>
  <c r="B240" i="4"/>
  <c r="R239" i="4"/>
  <c r="B239" i="4"/>
  <c r="B343" i="4"/>
  <c r="B342" i="4"/>
  <c r="B341" i="4"/>
  <c r="B340" i="4"/>
  <c r="B339" i="4"/>
  <c r="B338" i="4"/>
  <c r="R343" i="4"/>
  <c r="R342" i="4"/>
  <c r="R341" i="4"/>
  <c r="R340" i="4"/>
  <c r="R339" i="4"/>
  <c r="R338" i="4"/>
  <c r="R394" i="4"/>
  <c r="B394" i="4"/>
  <c r="R393" i="4"/>
  <c r="B393" i="4"/>
  <c r="R392" i="4"/>
  <c r="B392" i="4"/>
  <c r="R391" i="4"/>
  <c r="B391" i="4"/>
  <c r="R390" i="4"/>
  <c r="B390" i="4"/>
  <c r="R389" i="4"/>
  <c r="B389" i="4"/>
  <c r="B238" i="4"/>
  <c r="B237" i="4"/>
  <c r="B236" i="4"/>
  <c r="B235" i="4"/>
  <c r="B234" i="4"/>
  <c r="B233" i="4"/>
  <c r="B232" i="4"/>
  <c r="B231" i="4"/>
  <c r="B230" i="4"/>
  <c r="B229" i="4"/>
  <c r="B228" i="4"/>
  <c r="B227" i="4"/>
  <c r="B226" i="4"/>
  <c r="B225" i="4"/>
  <c r="B224" i="4"/>
  <c r="B223" i="4"/>
  <c r="B222" i="4"/>
  <c r="B221" i="4"/>
  <c r="B220" i="4"/>
  <c r="B219" i="4"/>
  <c r="B218" i="4"/>
  <c r="B217" i="4"/>
  <c r="B216" i="4"/>
  <c r="B215" i="4"/>
  <c r="B214" i="4"/>
  <c r="B213" i="4"/>
  <c r="B212" i="4"/>
  <c r="B211" i="4"/>
  <c r="B210" i="4"/>
  <c r="B209" i="4"/>
  <c r="B208" i="4"/>
  <c r="B207" i="4"/>
  <c r="B206" i="4"/>
  <c r="B205" i="4"/>
  <c r="B204" i="4"/>
  <c r="B203" i="4"/>
  <c r="B202" i="4"/>
  <c r="B201" i="4"/>
  <c r="B200" i="4"/>
  <c r="R388" i="4"/>
  <c r="B388" i="4"/>
  <c r="R387" i="4"/>
  <c r="B387" i="4"/>
  <c r="R386" i="4"/>
  <c r="B386" i="4"/>
  <c r="B453" i="4"/>
  <c r="R453" i="4"/>
  <c r="R452" i="4"/>
  <c r="B452" i="4"/>
  <c r="R451" i="4"/>
  <c r="B451" i="4"/>
  <c r="R385" i="4"/>
  <c r="B385" i="4"/>
  <c r="R384" i="4"/>
  <c r="B384" i="4"/>
  <c r="R383" i="4"/>
  <c r="B383" i="4"/>
  <c r="R400" i="4"/>
  <c r="B400" i="4"/>
  <c r="R399" i="4"/>
  <c r="B399" i="4"/>
  <c r="R398" i="4"/>
  <c r="B398" i="4"/>
  <c r="R397" i="4"/>
  <c r="B397" i="4"/>
  <c r="R396" i="4"/>
  <c r="B396" i="4"/>
  <c r="R395" i="4"/>
  <c r="B395" i="4"/>
  <c r="R245" i="4"/>
  <c r="R246" i="4"/>
  <c r="R247" i="4"/>
  <c r="R248" i="4"/>
  <c r="R249" i="4"/>
  <c r="R250" i="4"/>
  <c r="B245" i="4"/>
  <c r="B246" i="4"/>
  <c r="B247" i="4"/>
  <c r="B248" i="4"/>
  <c r="B249" i="4"/>
  <c r="B250" i="4"/>
  <c r="K2" i="4"/>
  <c r="K3" i="4"/>
  <c r="K4" i="4"/>
  <c r="R19" i="4"/>
  <c r="B19" i="4"/>
  <c r="R18" i="4"/>
  <c r="B18" i="4"/>
  <c r="R17" i="4"/>
  <c r="B17" i="4"/>
  <c r="B482" i="4"/>
  <c r="B483" i="4"/>
  <c r="B484" i="4"/>
  <c r="B485" i="4"/>
  <c r="B486" i="4"/>
  <c r="B487" i="4"/>
  <c r="B488" i="4"/>
  <c r="B489" i="4"/>
  <c r="B490" i="4"/>
  <c r="B491" i="4"/>
  <c r="B492" i="4"/>
  <c r="B493" i="4"/>
  <c r="B494" i="4"/>
  <c r="B495" i="4"/>
  <c r="B496" i="4"/>
  <c r="B497" i="4"/>
  <c r="B498" i="4"/>
  <c r="B499" i="4"/>
  <c r="B500" i="4"/>
  <c r="B501" i="4"/>
  <c r="B515" i="4" l="1"/>
  <c r="B516" i="4"/>
  <c r="B520" i="4"/>
  <c r="B519" i="4"/>
  <c r="R382" i="4"/>
  <c r="B382" i="4"/>
  <c r="R381" i="4"/>
  <c r="B381" i="4"/>
  <c r="R380" i="4"/>
  <c r="B380" i="4"/>
  <c r="R379" i="4"/>
  <c r="B379" i="4"/>
  <c r="R378" i="4"/>
  <c r="B378" i="4"/>
  <c r="R377" i="4"/>
  <c r="B377" i="4"/>
  <c r="R376" i="4"/>
  <c r="B376" i="4"/>
  <c r="R375" i="4"/>
  <c r="B375" i="4"/>
  <c r="R374" i="4"/>
  <c r="B374" i="4"/>
  <c r="B371" i="4"/>
  <c r="R373" i="4"/>
  <c r="B373" i="4"/>
  <c r="R372" i="4"/>
  <c r="B372" i="4"/>
  <c r="R371" i="4"/>
  <c r="R118" i="4"/>
  <c r="B118" i="4"/>
  <c r="R117" i="4"/>
  <c r="B117" i="4"/>
  <c r="R116" i="4"/>
  <c r="B116" i="4"/>
  <c r="R370" i="4"/>
  <c r="B370" i="4"/>
  <c r="R369" i="4"/>
  <c r="B369" i="4"/>
  <c r="R368" i="4"/>
  <c r="B368" i="4"/>
  <c r="B119" i="4"/>
  <c r="B115" i="4"/>
  <c r="B114" i="4"/>
  <c r="B113" i="4"/>
  <c r="R115" i="4"/>
  <c r="R114" i="4"/>
  <c r="R113" i="4"/>
  <c r="B504" i="4" l="1"/>
  <c r="B503" i="4"/>
  <c r="B505" i="4"/>
  <c r="R4" i="4"/>
  <c r="R3" i="4"/>
  <c r="R2" i="4"/>
  <c r="Q4" i="4"/>
  <c r="Q3" i="4"/>
  <c r="Q2" i="4"/>
  <c r="P4" i="4"/>
  <c r="P3" i="4"/>
  <c r="P2" i="4"/>
  <c r="O4" i="4"/>
  <c r="O3" i="4"/>
  <c r="O2" i="4"/>
  <c r="N4" i="4"/>
  <c r="N3" i="4"/>
  <c r="N2" i="4"/>
  <c r="J4" i="4"/>
  <c r="J3" i="4"/>
  <c r="J2" i="4"/>
  <c r="M4" i="4"/>
  <c r="M3" i="4"/>
  <c r="M2" i="4"/>
  <c r="L4" i="4"/>
  <c r="L3" i="4"/>
  <c r="L2" i="4"/>
  <c r="I4" i="4"/>
  <c r="I3" i="4"/>
  <c r="I2" i="4"/>
  <c r="H4" i="4"/>
  <c r="H3" i="4"/>
  <c r="H2" i="4"/>
  <c r="G4" i="4"/>
  <c r="G3" i="4"/>
  <c r="G2" i="4"/>
  <c r="F4" i="4"/>
  <c r="F3" i="4"/>
  <c r="F2" i="4"/>
  <c r="E4" i="4"/>
  <c r="E3" i="4"/>
  <c r="E2" i="4"/>
  <c r="D4" i="4"/>
  <c r="D3" i="4"/>
  <c r="D2" i="4"/>
  <c r="C4" i="4"/>
  <c r="C3" i="4"/>
  <c r="C2" i="4"/>
  <c r="B4" i="4"/>
  <c r="B3" i="4"/>
  <c r="B2" i="4"/>
  <c r="B506" i="4" l="1"/>
  <c r="R367" i="4"/>
  <c r="B367" i="4"/>
  <c r="R359" i="4"/>
  <c r="B359" i="4"/>
  <c r="B351" i="4"/>
  <c r="R351" i="4"/>
  <c r="B508" i="4" l="1"/>
  <c r="B507" i="4"/>
  <c r="R353" i="4"/>
  <c r="R354" i="4"/>
  <c r="R355" i="4"/>
  <c r="R356" i="4"/>
  <c r="R357" i="4"/>
  <c r="R358" i="4"/>
  <c r="R352" i="4"/>
  <c r="R345" i="4"/>
  <c r="R346" i="4"/>
  <c r="R347" i="4"/>
  <c r="R348" i="4"/>
  <c r="R349" i="4"/>
  <c r="R350" i="4"/>
  <c r="R344" i="4"/>
  <c r="R361" i="4"/>
  <c r="R362" i="4"/>
  <c r="R363" i="4"/>
  <c r="R364" i="4"/>
  <c r="R365" i="4"/>
  <c r="R366" i="4"/>
  <c r="R360" i="4"/>
  <c r="B366" i="4"/>
  <c r="B365" i="4"/>
  <c r="B364" i="4"/>
  <c r="B363" i="4"/>
  <c r="B362" i="4"/>
  <c r="B361" i="4"/>
  <c r="B360" i="4"/>
  <c r="B358" i="4"/>
  <c r="B357" i="4"/>
  <c r="B356" i="4"/>
  <c r="B355" i="4"/>
  <c r="B354" i="4"/>
  <c r="B353" i="4"/>
  <c r="B352" i="4"/>
  <c r="B350" i="4"/>
  <c r="B349" i="4"/>
  <c r="B348" i="4"/>
  <c r="B347" i="4"/>
  <c r="B346" i="4"/>
  <c r="B345" i="4"/>
  <c r="B344" i="4"/>
  <c r="B190" i="4"/>
  <c r="B191" i="4"/>
  <c r="B192" i="4"/>
  <c r="B193" i="4"/>
  <c r="B194" i="4"/>
  <c r="B195" i="4"/>
  <c r="B196" i="4"/>
  <c r="B197" i="4"/>
  <c r="B198" i="4"/>
  <c r="B199" i="4"/>
  <c r="B251" i="4"/>
  <c r="B252" i="4"/>
  <c r="B253" i="4"/>
  <c r="B254" i="4"/>
  <c r="B255" i="4"/>
  <c r="B256" i="4"/>
  <c r="R251" i="4"/>
  <c r="R252" i="4"/>
  <c r="R253" i="4"/>
  <c r="R254" i="4"/>
  <c r="R255" i="4"/>
  <c r="R256" i="4"/>
  <c r="R28" i="4"/>
  <c r="R27" i="4"/>
  <c r="R26" i="4"/>
  <c r="B28" i="4"/>
  <c r="B27" i="4"/>
  <c r="B26" i="4"/>
  <c r="R112" i="4"/>
  <c r="R111" i="4"/>
  <c r="R110" i="4"/>
  <c r="R109" i="4"/>
  <c r="R108" i="4"/>
  <c r="R107" i="4"/>
  <c r="R106" i="4"/>
  <c r="R105" i="4"/>
  <c r="R104" i="4"/>
  <c r="R191" i="4" l="1"/>
  <c r="R192" i="4"/>
  <c r="R193" i="4"/>
  <c r="R194" i="4"/>
  <c r="R195" i="4"/>
  <c r="R196" i="4"/>
  <c r="R197" i="4"/>
  <c r="R198" i="4"/>
  <c r="R199" i="4"/>
  <c r="B279" i="4"/>
  <c r="B280" i="4"/>
  <c r="B281" i="4"/>
  <c r="B282" i="4"/>
  <c r="B283" i="4"/>
  <c r="B284" i="4"/>
  <c r="B285" i="4"/>
  <c r="B286" i="4"/>
  <c r="B287" i="4"/>
  <c r="B288" i="4"/>
  <c r="B289" i="4"/>
  <c r="B290" i="4"/>
  <c r="B291" i="4"/>
  <c r="B292" i="4"/>
  <c r="B293" i="4"/>
  <c r="B294" i="4"/>
  <c r="B295" i="4"/>
  <c r="B296" i="4"/>
  <c r="B297" i="4"/>
  <c r="B298" i="4"/>
  <c r="B299" i="4"/>
  <c r="B300" i="4"/>
  <c r="R149" i="4" l="1"/>
  <c r="R150" i="4"/>
  <c r="R151" i="4"/>
  <c r="R152" i="4"/>
  <c r="R153" i="4"/>
  <c r="R154" i="4"/>
  <c r="R155" i="4"/>
  <c r="R156" i="4"/>
  <c r="R157" i="4"/>
  <c r="R158" i="4"/>
  <c r="R159" i="4"/>
  <c r="R160" i="4"/>
  <c r="B481" i="4"/>
  <c r="B477" i="4"/>
  <c r="B473" i="4"/>
  <c r="B268" i="4" l="1"/>
  <c r="B267" i="4"/>
  <c r="B266" i="4"/>
  <c r="B265" i="4"/>
  <c r="B264" i="4"/>
  <c r="B263" i="4"/>
  <c r="B262" i="4"/>
  <c r="B261" i="4"/>
  <c r="B260" i="4"/>
  <c r="B259" i="4"/>
  <c r="B258" i="4"/>
  <c r="B257" i="4"/>
  <c r="R275" i="4" l="1"/>
  <c r="R16" i="4" l="1"/>
  <c r="B16" i="4"/>
  <c r="R15" i="4"/>
  <c r="B15" i="4"/>
  <c r="R14" i="4"/>
  <c r="B14" i="4"/>
  <c r="B189" i="4" l="1"/>
  <c r="B188" i="4"/>
  <c r="R188" i="4"/>
  <c r="R189" i="4"/>
  <c r="R190" i="4"/>
  <c r="R299" i="4" l="1"/>
  <c r="R287" i="4"/>
  <c r="R278" i="4"/>
  <c r="B278" i="4"/>
  <c r="R98" i="4" l="1"/>
  <c r="R99" i="4"/>
  <c r="R100" i="4"/>
  <c r="B100" i="4"/>
  <c r="B99" i="4"/>
  <c r="B98" i="4"/>
  <c r="B480" i="4" l="1"/>
  <c r="B479" i="4" l="1"/>
  <c r="B475" i="4"/>
  <c r="B476" i="4"/>
  <c r="B471" i="4"/>
  <c r="B472" i="4"/>
  <c r="R478" i="4"/>
  <c r="B478" i="4"/>
  <c r="R474" i="4"/>
  <c r="B474" i="4"/>
  <c r="R470" i="4"/>
  <c r="B470" i="4"/>
  <c r="R301" i="4"/>
  <c r="B301" i="4"/>
  <c r="R187" i="4" l="1"/>
  <c r="B187" i="4"/>
  <c r="R186" i="4"/>
  <c r="B186" i="4"/>
  <c r="R185" i="4"/>
  <c r="B185" i="4"/>
  <c r="R175" i="4"/>
  <c r="B175" i="4"/>
  <c r="R174" i="4"/>
  <c r="B174" i="4"/>
  <c r="R173" i="4"/>
  <c r="B173" i="4"/>
  <c r="R328" i="4" l="1"/>
  <c r="B328" i="4"/>
  <c r="R327" i="4"/>
  <c r="B327" i="4"/>
  <c r="R326" i="4"/>
  <c r="B326" i="4"/>
  <c r="R325" i="4"/>
  <c r="B325" i="4"/>
  <c r="R324" i="4"/>
  <c r="B324" i="4"/>
  <c r="R323" i="4"/>
  <c r="B323" i="4"/>
  <c r="R322" i="4"/>
  <c r="B322" i="4"/>
  <c r="R321" i="4"/>
  <c r="B321" i="4"/>
  <c r="R320" i="4"/>
  <c r="B320" i="4"/>
  <c r="R319" i="4"/>
  <c r="B319" i="4"/>
  <c r="R318" i="4"/>
  <c r="B318" i="4"/>
  <c r="R317" i="4"/>
  <c r="B317" i="4"/>
  <c r="R316" i="4"/>
  <c r="B316" i="4"/>
  <c r="R315" i="4"/>
  <c r="B315" i="4"/>
  <c r="R314" i="4"/>
  <c r="B314" i="4"/>
  <c r="R313" i="4"/>
  <c r="B313" i="4"/>
  <c r="R312" i="4"/>
  <c r="B312" i="4"/>
  <c r="R311" i="4"/>
  <c r="B311" i="4"/>
  <c r="R310" i="4"/>
  <c r="B310" i="4"/>
  <c r="R309" i="4"/>
  <c r="B309" i="4"/>
  <c r="R308" i="4"/>
  <c r="B308" i="4"/>
  <c r="R307" i="4"/>
  <c r="B307" i="4"/>
  <c r="R306" i="4"/>
  <c r="B306" i="4"/>
  <c r="R305" i="4"/>
  <c r="B305" i="4"/>
  <c r="R304" i="4"/>
  <c r="B304" i="4"/>
  <c r="R303" i="4"/>
  <c r="B303" i="4"/>
  <c r="R302" i="4"/>
  <c r="B302" i="4"/>
  <c r="R298" i="4"/>
  <c r="R297" i="4"/>
  <c r="R296" i="4"/>
  <c r="R295" i="4"/>
  <c r="R294" i="4"/>
  <c r="R293" i="4"/>
  <c r="R292" i="4"/>
  <c r="R291" i="4"/>
  <c r="R290" i="4"/>
  <c r="R289" i="4"/>
  <c r="R286" i="4"/>
  <c r="R285" i="4"/>
  <c r="R284" i="4"/>
  <c r="R283" i="4"/>
  <c r="R282" i="4"/>
  <c r="R281" i="4"/>
  <c r="R280" i="4"/>
  <c r="R277" i="4"/>
  <c r="B277" i="4"/>
  <c r="R276" i="4"/>
  <c r="B276" i="4"/>
  <c r="B275" i="4"/>
  <c r="R184" i="4"/>
  <c r="B184" i="4"/>
  <c r="R183" i="4"/>
  <c r="B183" i="4"/>
  <c r="R182" i="4"/>
  <c r="B182" i="4"/>
  <c r="R181" i="4"/>
  <c r="B181" i="4"/>
  <c r="R180" i="4"/>
  <c r="B180" i="4"/>
  <c r="R179" i="4"/>
  <c r="B179" i="4"/>
  <c r="R178" i="4"/>
  <c r="B178" i="4"/>
  <c r="R177" i="4"/>
  <c r="B177" i="4"/>
  <c r="R176" i="4"/>
  <c r="B176" i="4"/>
  <c r="R172" i="4"/>
  <c r="B172" i="4"/>
  <c r="R171" i="4"/>
  <c r="B171" i="4"/>
  <c r="R170" i="4"/>
  <c r="B170" i="4"/>
  <c r="R169" i="4"/>
  <c r="B169" i="4"/>
  <c r="R168" i="4"/>
  <c r="B168" i="4"/>
  <c r="R167" i="4"/>
  <c r="B167" i="4"/>
  <c r="R166" i="4"/>
  <c r="B166" i="4"/>
  <c r="R165" i="4"/>
  <c r="B165" i="4"/>
  <c r="R164" i="4"/>
  <c r="B164" i="4"/>
  <c r="R163" i="4"/>
  <c r="B163" i="4"/>
  <c r="R162" i="4"/>
  <c r="B162" i="4"/>
  <c r="R161" i="4"/>
  <c r="B161" i="4"/>
  <c r="R148" i="4"/>
  <c r="B148" i="4"/>
  <c r="R147" i="4"/>
  <c r="B147" i="4"/>
  <c r="R146" i="4"/>
  <c r="B146" i="4"/>
  <c r="R145" i="4"/>
  <c r="B145" i="4"/>
  <c r="R144" i="4"/>
  <c r="B144" i="4"/>
  <c r="R143" i="4"/>
  <c r="B143" i="4"/>
  <c r="R142" i="4"/>
  <c r="B142" i="4"/>
  <c r="R141" i="4"/>
  <c r="B141" i="4"/>
  <c r="R140" i="4"/>
  <c r="B140" i="4"/>
  <c r="R139" i="4"/>
  <c r="B139" i="4"/>
  <c r="R138" i="4"/>
  <c r="B138" i="4"/>
  <c r="R137" i="4"/>
  <c r="B137" i="4"/>
  <c r="R136" i="4"/>
  <c r="B136" i="4"/>
  <c r="R135" i="4"/>
  <c r="B135" i="4"/>
  <c r="R134" i="4"/>
  <c r="B134" i="4"/>
  <c r="R133" i="4"/>
  <c r="B133" i="4"/>
  <c r="R132" i="4"/>
  <c r="B132" i="4"/>
  <c r="R131" i="4"/>
  <c r="B131" i="4"/>
  <c r="R130" i="4"/>
  <c r="B130" i="4"/>
  <c r="R129" i="4"/>
  <c r="B129" i="4"/>
  <c r="R128" i="4"/>
  <c r="B128" i="4"/>
  <c r="R127" i="4"/>
  <c r="B127" i="4"/>
  <c r="R126" i="4"/>
  <c r="B126" i="4"/>
  <c r="R125" i="4"/>
  <c r="B125" i="4"/>
  <c r="R124" i="4"/>
  <c r="B124" i="4"/>
  <c r="R123" i="4"/>
  <c r="B123" i="4"/>
  <c r="R122" i="4"/>
  <c r="B122" i="4"/>
  <c r="R121" i="4"/>
  <c r="B121" i="4"/>
  <c r="R120" i="4"/>
  <c r="B120" i="4"/>
  <c r="R119" i="4"/>
  <c r="R97" i="4"/>
  <c r="B97" i="4"/>
  <c r="R96" i="4"/>
  <c r="B96" i="4"/>
  <c r="R95" i="4"/>
  <c r="B95" i="4"/>
  <c r="R94" i="4"/>
  <c r="B94" i="4"/>
  <c r="R93" i="4"/>
  <c r="B93" i="4"/>
  <c r="R92" i="4"/>
  <c r="B92" i="4"/>
  <c r="R91" i="4"/>
  <c r="B91" i="4"/>
  <c r="R90" i="4"/>
  <c r="B90" i="4"/>
  <c r="R89" i="4"/>
  <c r="B89" i="4"/>
  <c r="R88" i="4"/>
  <c r="B88" i="4"/>
  <c r="R87" i="4"/>
  <c r="B87" i="4"/>
  <c r="R86" i="4"/>
  <c r="B86" i="4"/>
  <c r="R85" i="4"/>
  <c r="B85" i="4"/>
  <c r="R84" i="4"/>
  <c r="B84" i="4"/>
  <c r="R83" i="4"/>
  <c r="B83" i="4"/>
  <c r="R82" i="4"/>
  <c r="B82" i="4"/>
  <c r="R81" i="4"/>
  <c r="B81" i="4"/>
  <c r="R80" i="4"/>
  <c r="B80" i="4"/>
  <c r="R79" i="4"/>
  <c r="B79" i="4"/>
  <c r="R78" i="4"/>
  <c r="B78" i="4"/>
  <c r="R77" i="4"/>
  <c r="B77" i="4"/>
  <c r="R76" i="4"/>
  <c r="B76" i="4"/>
  <c r="R75" i="4"/>
  <c r="B75" i="4"/>
  <c r="R74" i="4"/>
  <c r="B74" i="4"/>
  <c r="R73" i="4"/>
  <c r="B73" i="4"/>
  <c r="R72" i="4"/>
  <c r="B72" i="4"/>
  <c r="R71" i="4"/>
  <c r="B71" i="4"/>
  <c r="R70" i="4"/>
  <c r="B70" i="4"/>
  <c r="R69" i="4"/>
  <c r="B69" i="4"/>
  <c r="R68" i="4"/>
  <c r="B68" i="4"/>
  <c r="R67" i="4"/>
  <c r="B67" i="4"/>
  <c r="R66" i="4"/>
  <c r="B66" i="4"/>
  <c r="R65" i="4"/>
  <c r="B65" i="4"/>
  <c r="R64" i="4"/>
  <c r="B64" i="4"/>
  <c r="R63" i="4"/>
  <c r="B63" i="4"/>
  <c r="R62" i="4"/>
  <c r="B62" i="4"/>
  <c r="R61" i="4"/>
  <c r="B61" i="4"/>
  <c r="R60" i="4"/>
  <c r="B60" i="4"/>
  <c r="R59" i="4"/>
  <c r="B59" i="4"/>
  <c r="R58" i="4"/>
  <c r="B58" i="4"/>
  <c r="R57" i="4"/>
  <c r="B57" i="4"/>
  <c r="R56" i="4"/>
  <c r="B56" i="4"/>
  <c r="R55" i="4"/>
  <c r="B55" i="4"/>
  <c r="R54" i="4"/>
  <c r="B54" i="4"/>
  <c r="R53" i="4"/>
  <c r="B53" i="4"/>
  <c r="R52" i="4"/>
  <c r="B52" i="4"/>
  <c r="R51" i="4"/>
  <c r="B51" i="4"/>
  <c r="R50" i="4"/>
  <c r="B50" i="4"/>
  <c r="R49" i="4"/>
  <c r="B49" i="4"/>
  <c r="R48" i="4"/>
  <c r="B48" i="4"/>
  <c r="R47" i="4"/>
  <c r="B47" i="4"/>
  <c r="R46" i="4"/>
  <c r="B46" i="4"/>
  <c r="R45" i="4"/>
  <c r="B45" i="4"/>
  <c r="R44" i="4"/>
  <c r="B44" i="4"/>
  <c r="R34" i="4"/>
  <c r="B34" i="4"/>
  <c r="R33" i="4"/>
  <c r="B33" i="4"/>
  <c r="R32" i="4"/>
  <c r="B32" i="4"/>
  <c r="R31" i="4"/>
  <c r="B31" i="4"/>
  <c r="R30" i="4"/>
  <c r="B30" i="4"/>
  <c r="R29" i="4"/>
  <c r="B29" i="4"/>
  <c r="R25" i="4"/>
  <c r="B25" i="4"/>
  <c r="R24" i="4"/>
  <c r="B24" i="4"/>
  <c r="R23" i="4"/>
  <c r="B23" i="4"/>
  <c r="R22" i="4"/>
  <c r="B22" i="4"/>
  <c r="R21" i="4"/>
  <c r="B21" i="4"/>
  <c r="R20" i="4"/>
  <c r="B20" i="4"/>
  <c r="R13" i="4"/>
  <c r="B13" i="4"/>
  <c r="R12" i="4"/>
  <c r="B12" i="4"/>
  <c r="R11" i="4"/>
  <c r="B11" i="4"/>
  <c r="R10" i="4"/>
  <c r="B10" i="4"/>
  <c r="R9" i="4"/>
  <c r="B9" i="4"/>
  <c r="R8" i="4"/>
  <c r="B8" i="4"/>
  <c r="R7" i="4"/>
  <c r="B7" i="4"/>
  <c r="R6" i="4"/>
  <c r="B6" i="4"/>
  <c r="R5" i="4"/>
  <c r="B5" i="4"/>
</calcChain>
</file>

<file path=xl/sharedStrings.xml><?xml version="1.0" encoding="utf-8"?>
<sst xmlns="http://schemas.openxmlformats.org/spreadsheetml/2006/main" count="5075" uniqueCount="3881">
  <si>
    <t>필드명</t>
    <phoneticPr fontId="1" type="noConversion"/>
  </si>
  <si>
    <t>변수형</t>
    <phoneticPr fontId="1" type="noConversion"/>
  </si>
  <si>
    <t>설명1</t>
    <phoneticPr fontId="1" type="noConversion"/>
  </si>
  <si>
    <t>설명2</t>
    <phoneticPr fontId="1" type="noConversion"/>
  </si>
  <si>
    <t>기본값</t>
    <phoneticPr fontId="1" type="noConversion"/>
  </si>
  <si>
    <t>최대값</t>
    <phoneticPr fontId="1" type="noConversion"/>
  </si>
  <si>
    <t>템플릿 이름</t>
    <phoneticPr fontId="1" type="noConversion"/>
  </si>
  <si>
    <t>템플릿 설명</t>
    <phoneticPr fontId="1" type="noConversion"/>
  </si>
  <si>
    <t>연계 템플릿.필드</t>
    <phoneticPr fontId="1" type="noConversion"/>
  </si>
  <si>
    <t>데이터 설정 시트가 [ 2 ]번째 일때 정상 작동 함</t>
    <phoneticPr fontId="1" type="noConversion"/>
  </si>
  <si>
    <t>Name</t>
    <phoneticPr fontId="1" type="noConversion"/>
  </si>
  <si>
    <t>int</t>
    <phoneticPr fontId="1" type="noConversion"/>
  </si>
  <si>
    <t>언리얼 필수값</t>
    <phoneticPr fontId="1" type="noConversion"/>
  </si>
  <si>
    <t>언리얼 엔진 특수 값으로 유니크 아이디와 매칭하여 사용 함</t>
    <phoneticPr fontId="1" type="noConversion"/>
  </si>
  <si>
    <t>StringId</t>
    <phoneticPr fontId="1" type="noConversion"/>
  </si>
  <si>
    <t>스트링 아이디</t>
    <phoneticPr fontId="1" type="noConversion"/>
  </si>
  <si>
    <t>TextKr</t>
    <phoneticPr fontId="1" type="noConversion"/>
  </si>
  <si>
    <t>string</t>
    <phoneticPr fontId="1" type="noConversion"/>
  </si>
  <si>
    <t>한국어</t>
    <phoneticPr fontId="1" type="noConversion"/>
  </si>
  <si>
    <t>int</t>
  </si>
  <si>
    <t>글자 색상</t>
    <phoneticPr fontId="1" type="noConversion"/>
  </si>
  <si>
    <t>TextColorId</t>
    <phoneticPr fontId="1" type="noConversion"/>
  </si>
  <si>
    <t>STRING_MAIL</t>
    <phoneticPr fontId="1" type="noConversion"/>
  </si>
  <si>
    <t>우편에서 사용하는 스트링 데이터 관리</t>
    <phoneticPr fontId="1" type="noConversion"/>
  </si>
  <si>
    <t>콘텐츠</t>
    <phoneticPr fontId="1" type="noConversion"/>
  </si>
  <si>
    <t>우편 제목</t>
    <phoneticPr fontId="1" type="noConversion"/>
  </si>
  <si>
    <t>우편 내용</t>
    <phoneticPr fontId="1" type="noConversion"/>
  </si>
  <si>
    <t>구분</t>
    <phoneticPr fontId="1" type="noConversion"/>
  </si>
  <si>
    <t>테이블의 유니크 ID
스트링 번호에 대한 상세 내용은 [!규칙] 시트 참고</t>
    <phoneticPr fontId="1" type="noConversion"/>
  </si>
  <si>
    <t>결투장</t>
    <phoneticPr fontId="1" type="noConversion"/>
  </si>
  <si>
    <t>우편 서브 제목</t>
    <phoneticPr fontId="1" type="noConversion"/>
  </si>
  <si>
    <t>1~1000</t>
    <phoneticPr fontId="1" type="noConversion"/>
  </si>
  <si>
    <t>1001~2000</t>
    <phoneticPr fontId="1" type="noConversion"/>
  </si>
  <si>
    <t>2001~3000</t>
    <phoneticPr fontId="1" type="noConversion"/>
  </si>
  <si>
    <t>3001~4000</t>
    <phoneticPr fontId="1" type="noConversion"/>
  </si>
  <si>
    <t>4001~5000</t>
    <phoneticPr fontId="1" type="noConversion"/>
  </si>
  <si>
    <t>5001~6000</t>
    <phoneticPr fontId="1" type="noConversion"/>
  </si>
  <si>
    <t>6001~7000</t>
    <phoneticPr fontId="1" type="noConversion"/>
  </si>
  <si>
    <t>7001~8000</t>
    <phoneticPr fontId="1" type="noConversion"/>
  </si>
  <si>
    <t>8001~9000</t>
    <phoneticPr fontId="1" type="noConversion"/>
  </si>
  <si>
    <t>9001~10000</t>
    <phoneticPr fontId="1" type="noConversion"/>
  </si>
  <si>
    <t>10001~11000</t>
    <phoneticPr fontId="1" type="noConversion"/>
  </si>
  <si>
    <t>11001~12000</t>
    <phoneticPr fontId="1" type="noConversion"/>
  </si>
  <si>
    <t>정기 점검</t>
    <phoneticPr fontId="1" type="noConversion"/>
  </si>
  <si>
    <t>정기 점검 보상입니다.</t>
    <phoneticPr fontId="1" type="noConversion"/>
  </si>
  <si>
    <t>임시 점검</t>
    <phoneticPr fontId="1" type="noConversion"/>
  </si>
  <si>
    <t>임시 점검 보상입니다.</t>
    <phoneticPr fontId="1" type="noConversion"/>
  </si>
  <si>
    <t>상점</t>
    <phoneticPr fontId="1" type="noConversion"/>
  </si>
  <si>
    <t>토벌</t>
    <phoneticPr fontId="1" type="noConversion"/>
  </si>
  <si>
    <t>점령전</t>
    <phoneticPr fontId="1" type="noConversion"/>
  </si>
  <si>
    <t>12001~13000</t>
    <phoneticPr fontId="1" type="noConversion"/>
  </si>
  <si>
    <t>13001~14000</t>
    <phoneticPr fontId="1" type="noConversion"/>
  </si>
  <si>
    <t>14001~15000</t>
    <phoneticPr fontId="1" type="noConversion"/>
  </si>
  <si>
    <t>결투장 개인전 최초 순위 보상</t>
    <phoneticPr fontId="1" type="noConversion"/>
  </si>
  <si>
    <t>결투장 일일 순위 정산에 대한 보상</t>
    <phoneticPr fontId="1" type="noConversion"/>
  </si>
  <si>
    <t>결투장 개인전의 레벨 달성 보상이 지급되었습니다.</t>
    <phoneticPr fontId="1" type="noConversion"/>
  </si>
  <si>
    <t>결투장 개인전 순위 박탈</t>
    <phoneticPr fontId="1" type="noConversion"/>
  </si>
  <si>
    <t>점령전 랭킹 보상 지급 안내</t>
    <phoneticPr fontId="1" type="noConversion"/>
  </si>
  <si>
    <t>점령전 승리 보상</t>
    <phoneticPr fontId="1" type="noConversion"/>
  </si>
  <si>
    <t>점령전 참여 승리 보상</t>
    <phoneticPr fontId="1" type="noConversion"/>
  </si>
  <si>
    <t>점령전에서 승리한 문파 및 동맹에 지급하는 보상입니다.</t>
    <phoneticPr fontId="1" type="noConversion"/>
  </si>
  <si>
    <t>점령전 패배 보상</t>
    <phoneticPr fontId="1" type="noConversion"/>
  </si>
  <si>
    <t>점령전 참여 패배 보상</t>
    <phoneticPr fontId="1" type="noConversion"/>
  </si>
  <si>
    <t>점령전에서 패배한 문파 및 동맹에 지급하는 보상입니다.</t>
    <phoneticPr fontId="1" type="noConversion"/>
  </si>
  <si>
    <t>문파</t>
    <phoneticPr fontId="1" type="noConversion"/>
  </si>
  <si>
    <t>15001~16000</t>
    <phoneticPr fontId="1" type="noConversion"/>
  </si>
  <si>
    <t>16001~17000</t>
    <phoneticPr fontId="1" type="noConversion"/>
  </si>
  <si>
    <t>17001~18000</t>
    <phoneticPr fontId="1" type="noConversion"/>
  </si>
  <si>
    <t>문파 초대</t>
    <phoneticPr fontId="1" type="noConversion"/>
  </si>
  <si>
    <t>문파 상점</t>
    <phoneticPr fontId="1" type="noConversion"/>
  </si>
  <si>
    <t>안녕하세요. GM미르입니다.\r\n정기 점검에 대한 보상을 지급합니다.\r\n=================================\r\n▣ 점검 일시\r\n매주 수요일 오전 4시 ~ 오전 6시 (2시간)\r\n▣점검 내용\r\n서버 안정화 작업 및 게임 업데이트\r\n=================================\r\n점검을 기다려주셔서 감사합니다.</t>
    <phoneticPr fontId="1" type="noConversion"/>
  </si>
  <si>
    <t>안녕하세요. GM미르입니다.\r\n임시 점검에 대한 보상을 지급합니다.\r\n=================================\r\n긴급히 발생한 임시 점검에 대한 보상을 지급합니다.\r\n이용에 불편을 드려 죄송합니다.\r\n=================================\r\n점검을 기다려주셔서 감사합니다.</t>
    <phoneticPr fontId="1" type="noConversion"/>
  </si>
  <si>
    <t>첫 클리어 보상</t>
    <phoneticPr fontId="1" type="noConversion"/>
  </si>
  <si>
    <t>{1}의 도전 완료를 축하 드립니다.\r\n\r\n첫 성공을 축하드리며, 다음의 보상을 보내드립니다.\r\n\r\n감사합니다.</t>
    <phoneticPr fontId="1" type="noConversion"/>
  </si>
  <si>
    <t>주간 공헌도 랭킹</t>
    <phoneticPr fontId="1" type="noConversion"/>
  </si>
  <si>
    <t>주간 공헌도 랭킹 알림</t>
    <phoneticPr fontId="1" type="noConversion"/>
  </si>
  <si>
    <t>{1} ~ {2} 주간 공헌도 랭킹</t>
    <phoneticPr fontId="1" type="noConversion"/>
  </si>
  <si>
    <t>문파 공헌도 보상</t>
    <phoneticPr fontId="1" type="noConversion"/>
  </si>
  <si>
    <t>일일 공헌도 보상</t>
    <phoneticPr fontId="1" type="noConversion"/>
  </si>
  <si>
    <t>주간 공헌도 보상</t>
    <phoneticPr fontId="1" type="noConversion"/>
  </si>
  <si>
    <t>18001~19000</t>
    <phoneticPr fontId="1" type="noConversion"/>
  </si>
  <si>
    <t>19001~20000</t>
    <phoneticPr fontId="1" type="noConversion"/>
  </si>
  <si>
    <t>20001~21000</t>
    <phoneticPr fontId="1" type="noConversion"/>
  </si>
  <si>
    <t>첫 클리어 보상 지급</t>
    <phoneticPr fontId="1" type="noConversion"/>
  </si>
  <si>
    <t>문파 가입을 승인 받았습니다.</t>
    <phoneticPr fontId="1" type="noConversion"/>
  </si>
  <si>
    <t>문파를 탈퇴하였습니다.</t>
    <phoneticPr fontId="1" type="noConversion"/>
  </si>
  <si>
    <t>문파에서 추방되었습니다.</t>
    <phoneticPr fontId="1" type="noConversion"/>
  </si>
  <si>
    <t>현상수배 보상</t>
    <phoneticPr fontId="1" type="noConversion"/>
  </si>
  <si>
    <t>현상수배 완료 보상</t>
    <phoneticPr fontId="1" type="noConversion"/>
  </si>
  <si>
    <t>현상수배범 {1}을 처치하여 다음의 보상을 지급합니다.\r\n\r\n가방의 여유공간을 확인하시고 수령하시기 바랍니다.</t>
    <phoneticPr fontId="1" type="noConversion"/>
  </si>
  <si>
    <t>상점 구매품 발송</t>
    <phoneticPr fontId="1" type="noConversion"/>
  </si>
  <si>
    <t>가방 공간 부족으로 발송합니다.</t>
    <phoneticPr fontId="1" type="noConversion"/>
  </si>
  <si>
    <t>토벌 보상 발송</t>
    <phoneticPr fontId="1" type="noConversion"/>
  </si>
  <si>
    <t>가방 공간 부족</t>
    <phoneticPr fontId="1" type="noConversion"/>
  </si>
  <si>
    <t>점검 및 기타</t>
    <phoneticPr fontId="1" type="noConversion"/>
  </si>
  <si>
    <t>글자수 체크용</t>
    <phoneticPr fontId="1" type="noConversion"/>
  </si>
  <si>
    <t>기타 포함 내용</t>
    <phoneticPr fontId="1" type="noConversion"/>
  </si>
  <si>
    <t>기간제 삭제 알림 우편</t>
    <phoneticPr fontId="1" type="noConversion"/>
  </si>
  <si>
    <t>현상 수배 보상 우편</t>
    <phoneticPr fontId="1" type="noConversion"/>
  </si>
  <si>
    <t>출석 보상 우편</t>
    <phoneticPr fontId="1" type="noConversion"/>
  </si>
  <si>
    <t>21001~22000</t>
    <phoneticPr fontId="1" type="noConversion"/>
  </si>
  <si>
    <t>22001~23000</t>
    <phoneticPr fontId="1" type="noConversion"/>
  </si>
  <si>
    <t>23001~24000</t>
    <phoneticPr fontId="1" type="noConversion"/>
  </si>
  <si>
    <t>24001~25000</t>
    <phoneticPr fontId="1" type="noConversion"/>
  </si>
  <si>
    <t>25001~26000</t>
    <phoneticPr fontId="1" type="noConversion"/>
  </si>
  <si>
    <t>26001~27000</t>
    <phoneticPr fontId="1" type="noConversion"/>
  </si>
  <si>
    <t>27001~28000</t>
    <phoneticPr fontId="1" type="noConversion"/>
  </si>
  <si>
    <t>28001~29000</t>
    <phoneticPr fontId="1" type="noConversion"/>
  </si>
  <si>
    <t>29001~30000</t>
    <phoneticPr fontId="1" type="noConversion"/>
  </si>
  <si>
    <t>지명 수배 성공</t>
    <phoneticPr fontId="1" type="noConversion"/>
  </si>
  <si>
    <t>지명 수배자를 검거했습니다.</t>
    <phoneticPr fontId="1" type="noConversion"/>
  </si>
  <si>
    <t>지명 수배자 {1}님을 검거하였습니다\r\n\r\n귀하의 노고에 보답하고자 보상을 보내드립니다.\r\n\r\n감사합니다.</t>
    <phoneticPr fontId="1" type="noConversion"/>
  </si>
  <si>
    <t>점령전에서 [ D ] 등급을 달성 하셨습니다.\r\n\r\n등급에 따른 보상을 지급합니다.</t>
    <phoneticPr fontId="1" type="noConversion"/>
  </si>
  <si>
    <t>점령전에서 [ C ] 등급을 달성 하셨습니다.\r\n\r\n등급에 따른 보상을 지급합니다.</t>
    <phoneticPr fontId="1" type="noConversion"/>
  </si>
  <si>
    <t>점령전에서 [ B ] 등급을 달성 하셨습니다.\r\n\r\n등급에 따른 보상을 지급합니다.</t>
    <phoneticPr fontId="1" type="noConversion"/>
  </si>
  <si>
    <t>점령전에서 [ A ] 등급을 달성 하셨습니다.\r\n\r\n등급에 따른 보상을 지급합니다.</t>
    <phoneticPr fontId="1" type="noConversion"/>
  </si>
  <si>
    <t>점령전에서 [ S ] 등급을 달성 하셨습니다.\r\n\r\n등급에 따른 보상을 지급합니다.</t>
    <phoneticPr fontId="1" type="noConversion"/>
  </si>
  <si>
    <t>결투장 순위를 빼앗겨 보상 수급 자격이 박탈되었습니다.\r\n\r\n일일 순위 보상을 받으려면 순위를 다시 쟁취해야 합니다.</t>
    <phoneticPr fontId="1" type="noConversion"/>
  </si>
  <si>
    <t>결투장 개인전의 최초 순위 보상이 지급되었습니다.\r\n\r\n최초 순위 보상은 순위 달성 1회만 획득이 가능합니다.\r\n\r\n지속적인 도전으로 순위를 높여보세요.</t>
    <phoneticPr fontId="1" type="noConversion"/>
  </si>
  <si>
    <t>결투장의 일일 순위 랭킹 정산으로 보상을 지급합니다.\r\n\r\n보상 순위에 따라 받을 수 있는 보상의 수준이 달라집니다.\r\n\r\n더 높은 순위를 달성하여, 더 좋은 보상을 획득 해보세요.</t>
    <phoneticPr fontId="1" type="noConversion"/>
  </si>
  <si>
    <t>토벌을 통해 획득한 물품에 대하여\r\n\r\n가방 공간의 부족으로 우편으로 발송합니다.\r\n\r\n물품을 수령하시면 우편은 자동 삭제 됩니다.</t>
    <phoneticPr fontId="1" type="noConversion"/>
  </si>
  <si>
    <t>획득한 물품을 저장할\r\n\r\n가방 공간 부족으로 우편으로 발송합니다.\r\n\r\n물품을 수령하시면 우편은 자동 삭제 됩니다.</t>
    <phoneticPr fontId="1" type="noConversion"/>
  </si>
  <si>
    <t>포상 지급</t>
    <phoneticPr fontId="1" type="noConversion"/>
  </si>
  <si>
    <t>포상을 받았습니다.</t>
    <phoneticPr fontId="1" type="noConversion"/>
  </si>
  <si>
    <t>!Check</t>
    <phoneticPr fontId="1" type="noConversion"/>
  </si>
  <si>
    <t>해당 없음</t>
    <phoneticPr fontId="1" type="noConversion"/>
  </si>
  <si>
    <t>{1}의 첫 클리어에 성공하여 다음의 보상을 보내드립니다.\r\n\r\n가방의 여유공간을 확인하시고 수령하시기 바랍니다.\r\n\r\n감사합니다.</t>
    <phoneticPr fontId="1" type="noConversion"/>
  </si>
  <si>
    <t>일일 공헌도 보상 {1}위를 달성하여 보상을 보내드립니다.\r\n\r\n가방의 여유공간을 확인하시고 수령하시기 바랍니다.\r\n\r\n감사합니다.</t>
    <phoneticPr fontId="1" type="noConversion"/>
  </si>
  <si>
    <t>주간 공헌도 보상 {1}위를 달성하여 보상을 보내드립니다.\r\n\r\n가방의 여유공간을 확인하시고 수령하시기 바랍니다.\r\n\r\n감사합니다.</t>
    <phoneticPr fontId="1" type="noConversion"/>
  </si>
  <si>
    <t>{1} 문파에서 탈퇴하였습니다.\r\n\r\n문파 활동은 많은 이익을 부여합니다.\r\n\r\n새로운 문파를 창설하거나 다른 문파를 가입하여 혜택을 이어가시기 바랍니다.\r\n\r\n감사합니다.</t>
    <phoneticPr fontId="1" type="noConversion"/>
  </si>
  <si>
    <t>#data[{}]</t>
  </si>
  <si>
    <t>필드 설명</t>
    <phoneticPr fontId="1" type="noConversion"/>
  </si>
  <si>
    <t>현상수배</t>
    <phoneticPr fontId="1" type="noConversion"/>
  </si>
  <si>
    <t>공성전</t>
    <phoneticPr fontId="1" type="noConversion"/>
  </si>
  <si>
    <t>공성전_메일제목</t>
    <phoneticPr fontId="1" type="noConversion"/>
  </si>
  <si>
    <t>공성전_서브제목</t>
    <phoneticPr fontId="1" type="noConversion"/>
  </si>
  <si>
    <t>공성전_메일내용</t>
    <phoneticPr fontId="1" type="noConversion"/>
  </si>
  <si>
    <t>승리</t>
    <phoneticPr fontId="1" type="noConversion"/>
  </si>
  <si>
    <t>패배</t>
    <phoneticPr fontId="1" type="noConversion"/>
  </si>
  <si>
    <t>MVP</t>
    <phoneticPr fontId="1" type="noConversion"/>
  </si>
  <si>
    <t>영지</t>
    <phoneticPr fontId="1" type="noConversion"/>
  </si>
  <si>
    <t>획득</t>
    <phoneticPr fontId="1" type="noConversion"/>
  </si>
  <si>
    <t>회수</t>
    <phoneticPr fontId="1" type="noConversion"/>
  </si>
  <si>
    <t>포기</t>
    <phoneticPr fontId="1" type="noConversion"/>
  </si>
  <si>
    <t>원정 첫 클리어</t>
    <phoneticPr fontId="1" type="noConversion"/>
  </si>
  <si>
    <t>개인전 순위 변동</t>
    <phoneticPr fontId="1" type="noConversion"/>
  </si>
  <si>
    <t>레벨 달성 보상</t>
    <phoneticPr fontId="1" type="noConversion"/>
  </si>
  <si>
    <t>일일 순위 보상</t>
    <phoneticPr fontId="1" type="noConversion"/>
  </si>
  <si>
    <t>최초 순위 보상</t>
    <phoneticPr fontId="1" type="noConversion"/>
  </si>
  <si>
    <t>랭킹 보상</t>
    <phoneticPr fontId="1" type="noConversion"/>
  </si>
  <si>
    <t>주간 랭킹 보상</t>
    <phoneticPr fontId="1" type="noConversion"/>
  </si>
  <si>
    <t>주간 랭킹 보상 {1}위를 달성하여 보상을 보내드립니다.\r\n\r\n가방의 여유공간을 확인하시고 수령하시기 바랍니다.\r\n\r\n감사합니다.</t>
    <phoneticPr fontId="1" type="noConversion"/>
  </si>
  <si>
    <t>시즌 랭킹 보상</t>
    <phoneticPr fontId="1" type="noConversion"/>
  </si>
  <si>
    <t>시즌 랭킹 보상 {1}위를 달성하여 보상을 보내드립니다.\r\n\r\n가방의 여유공간을 확인하시고 수령하시기 바랍니다.\r\n\r\n감사합니다.</t>
    <phoneticPr fontId="1" type="noConversion"/>
  </si>
  <si>
    <t>[임무] 완료 보고</t>
    <phoneticPr fontId="1" type="noConversion"/>
  </si>
  <si>
    <t>의뢰 완료</t>
    <phoneticPr fontId="1" type="noConversion"/>
  </si>
  <si>
    <t>[의뢰] 완료 보고</t>
    <phoneticPr fontId="1" type="noConversion"/>
  </si>
  <si>
    <t>전투 패배</t>
    <phoneticPr fontId="1" type="noConversion"/>
  </si>
  <si>
    <t>전투에서 패배하였습니다.</t>
    <phoneticPr fontId="1" type="noConversion"/>
  </si>
  <si>
    <t>{1}에서 Lv.{2} {3} 몬스터와의 전투에서 패배하였습니다.\r\n체질, 내공, 강화, 제작 등을 통해 좀더 강해질 수 있습니다.</t>
    <phoneticPr fontId="1" type="noConversion"/>
  </si>
  <si>
    <t>{1} 토벌을 성공하였습니다.\r\n토벌 성공을 축하합니다.</t>
    <phoneticPr fontId="1" type="noConversion"/>
  </si>
  <si>
    <t>토벌 실패</t>
    <phoneticPr fontId="1" type="noConversion"/>
  </si>
  <si>
    <t>{1} 토벌을 실패하였습니다.\r\n스스로 좀더 강해지거나 더 강한 인원을 섭외하여 재도전 해보세요.</t>
    <phoneticPr fontId="1" type="noConversion"/>
  </si>
  <si>
    <t>보스 토벌 성공</t>
    <phoneticPr fontId="1" type="noConversion"/>
  </si>
  <si>
    <t>{1}님과의 PVP에서 패배하였습니다.\r\n체질, 내공, 강화, 제작 등을 통해 좀더 강해질 수 있습니다.</t>
    <phoneticPr fontId="1" type="noConversion"/>
  </si>
  <si>
    <t>비곡을 점령하였습니다.</t>
    <phoneticPr fontId="1" type="noConversion"/>
  </si>
  <si>
    <t>비곡 침입 알림</t>
    <phoneticPr fontId="1" type="noConversion"/>
  </si>
  <si>
    <t>비곡이 공격받고 있습니다.</t>
    <phoneticPr fontId="1" type="noConversion"/>
  </si>
  <si>
    <t>획득한 {1}이 공격받고 있습니다.\r\n\r\n서둘러 방어에 나서주세요.</t>
    <phoneticPr fontId="1" type="noConversion"/>
  </si>
  <si>
    <t>비곡을 빼앗겼습니다.</t>
    <phoneticPr fontId="1" type="noConversion"/>
  </si>
  <si>
    <t>비곡을 포기하였습니다.</t>
    <phoneticPr fontId="1" type="noConversion"/>
  </si>
  <si>
    <t>사망패널티</t>
    <phoneticPr fontId="1" type="noConversion"/>
  </si>
  <si>
    <t>임무</t>
    <phoneticPr fontId="1" type="noConversion"/>
  </si>
  <si>
    <t>사망패널티_경험치_제목</t>
    <phoneticPr fontId="1" type="noConversion"/>
  </si>
  <si>
    <t>사망패널티_경험치_서브제목</t>
    <phoneticPr fontId="1" type="noConversion"/>
  </si>
  <si>
    <t>사망패널티_경험치_내용</t>
    <phoneticPr fontId="1" type="noConversion"/>
  </si>
  <si>
    <t>경험치 하락</t>
    <phoneticPr fontId="1" type="noConversion"/>
  </si>
  <si>
    <t>기간만료</t>
    <phoneticPr fontId="1" type="noConversion"/>
  </si>
  <si>
    <t>승리 보상의 유실</t>
    <phoneticPr fontId="1" type="noConversion"/>
  </si>
  <si>
    <t>승리 보상이 유실 되었습니다.</t>
    <phoneticPr fontId="1" type="noConversion"/>
  </si>
  <si>
    <t>안타깝게도 비곡 점령전 승리 보상으로 지급된 {1} 중 일부가 유실되었습니다.\r\n\r\n문파창고를 비워 주시면 유실되는 일이 없얼질 것입니다.</t>
    <phoneticPr fontId="1" type="noConversion"/>
  </si>
  <si>
    <t>창고가 가득찼습니다.</t>
    <phoneticPr fontId="1" type="noConversion"/>
  </si>
  <si>
    <t>비곡점령</t>
    <phoneticPr fontId="1" type="noConversion"/>
  </si>
  <si>
    <t>비곡점령 MVP</t>
    <phoneticPr fontId="1" type="noConversion"/>
  </si>
  <si>
    <t>비곡 점령전에서 MVP로 선정</t>
    <phoneticPr fontId="1" type="noConversion"/>
  </si>
  <si>
    <t>{1} 문파가 {2}을 탈취하였습니다.\r\n\r\n더욱 분발하여 다음 비곡 점령전에서 빼앗아와야합니다.\r\n\r\n다음 비곡 점령전은 일주일 후에 다시 시작합니다.</t>
    <phoneticPr fontId="1" type="noConversion"/>
  </si>
  <si>
    <t>비곡탈취</t>
    <phoneticPr fontId="1" type="noConversion"/>
  </si>
  <si>
    <t>비곡포기</t>
    <phoneticPr fontId="1" type="noConversion"/>
  </si>
  <si>
    <t>{1} 점령에 성공하였습니다.\r\n\r\n이전에 점령한 {2}의 소유권을 자동으로 반납합니다.\r\n\r\n일반적인 비곡은 딱 1개만 점령할 수 있습니다.</t>
    <phoneticPr fontId="1" type="noConversion"/>
  </si>
  <si>
    <t>기부 보상</t>
    <phoneticPr fontId="1" type="noConversion"/>
  </si>
  <si>
    <t>문파기부 보상입니다.</t>
    <phoneticPr fontId="1" type="noConversion"/>
  </si>
  <si>
    <t>임무 완료</t>
    <phoneticPr fontId="1" type="noConversion"/>
  </si>
  <si>
    <t>보이스 파일 다운로드 완료하여 보상을 지급합니다.\r\n\r\n가방의 여유공간을 확인하시고 수령하시기 바랍니다.</t>
  </si>
  <si>
    <t>파일 다운로드 보상입니다.</t>
    <phoneticPr fontId="1" type="noConversion"/>
  </si>
  <si>
    <t>다운로드 보상</t>
    <phoneticPr fontId="1" type="noConversion"/>
  </si>
  <si>
    <t>DataOnOff</t>
    <phoneticPr fontId="1" type="noConversion"/>
  </si>
  <si>
    <t>데이터적용여부</t>
    <phoneticPr fontId="1" type="noConversion"/>
  </si>
  <si>
    <t>0 : Json 추출 시 해당 행 추출되지 않음
1 : 해당 행을 추출함</t>
    <phoneticPr fontId="1" type="noConversion"/>
  </si>
  <si>
    <t>경험치 슬롯이 가득찼습니다.</t>
    <phoneticPr fontId="1" type="noConversion"/>
  </si>
  <si>
    <t>소속한 문파가 {1} 공성전에서 패배하여 {2} 영지의 소유권을 상실하였습니다. \r\n이제부터 {2} 영지에 대한 혜택을 이용할 수 없습니다.</t>
    <phoneticPr fontId="1" type="noConversion"/>
  </si>
  <si>
    <t>소속한 문파가 {1} 영지의 소유권을 포기하였습니다. \r\n이제부터 {2} 영지에 대한 혜택을 이용할 수 없습니다.</t>
    <phoneticPr fontId="1" type="noConversion"/>
  </si>
  <si>
    <t>소속한 문파가 {1} 공성전에서 패배했습니다.</t>
    <phoneticPr fontId="1" type="noConversion"/>
  </si>
  <si>
    <t>척살대상으로 등록되었습니다.</t>
    <phoneticPr fontId="1" type="noConversion"/>
  </si>
  <si>
    <t>{1} 문파에서 척살 대상자로 등록했습니다.\r\n\r\n주변의 적들을 조심하시기 바랍니다.</t>
    <phoneticPr fontId="1" type="noConversion"/>
  </si>
  <si>
    <t>현상수배 등록</t>
    <phoneticPr fontId="1" type="noConversion"/>
  </si>
  <si>
    <t>현상수배 만료</t>
    <phoneticPr fontId="1" type="noConversion"/>
  </si>
  <si>
    <t>현상수배 대상으로 등록되었습니다.</t>
    <phoneticPr fontId="1" type="noConversion"/>
  </si>
  <si>
    <t>현상수배 시간이 만료 되었습니다.</t>
    <phoneticPr fontId="1" type="noConversion"/>
  </si>
  <si>
    <t>현상수배 대상으로 등록되었습니다.\r\n\r\n주변의 적들을 조심하시기 바랍니다.</t>
    <phoneticPr fontId="1" type="noConversion"/>
  </si>
  <si>
    <t>현상수배가 시간이 만료 되어 {1}님은 이제 더 이상\r\n\r\n현상 수배범이 아닙니다.</t>
    <phoneticPr fontId="1" type="noConversion"/>
  </si>
  <si>
    <t>문파가입 초대를 받았습니다.</t>
    <phoneticPr fontId="1" type="noConversion"/>
  </si>
  <si>
    <t>{1} 문파에서 문파가입 초대를 하였습니다.\r\n\r\n초대한 문파는 아래의 초대확인 버튼을 터치하면 확인할 수 있습니다.\r\n\r\n문파에 가입하면, 더 많은 혜택을 받을 수 있습니다.</t>
    <phoneticPr fontId="1" type="noConversion"/>
  </si>
  <si>
    <t>문파 가입승인</t>
    <phoneticPr fontId="1" type="noConversion"/>
  </si>
  <si>
    <t>{1} 문파에서 가입을 승인하였습니다.\r\n\r\n문파 활동을 통해 더 많은 혜택을 받을 수 있으니\r\n\r\n열심히 활동하시기 바랍니다.\r\n\r\n감사합니다.</t>
    <phoneticPr fontId="1" type="noConversion"/>
  </si>
  <si>
    <t>문파 탈퇴안내</t>
    <phoneticPr fontId="1" type="noConversion"/>
  </si>
  <si>
    <t>문파 추방안내</t>
    <phoneticPr fontId="1" type="noConversion"/>
  </si>
  <si>
    <t>{1} 문파에서 추방되었습니다.\r\n\r\n문파 활동은 많은 이익을 부여합니다.\r\n\r\n새로운 문파를 창설하거나 다른 문파를 가입하여 혜택을 이어가시기 바랍니다.\r\n\r\n감사합니다.</t>
    <phoneticPr fontId="1" type="noConversion"/>
  </si>
  <si>
    <t>문파 상점에서 구매한 물품을 우편으로 전해드립니다.\r\n\r\n가방의 여유공간을 확인하시고, 수령하시기 바랍니다.\r\n\r\n감사합니다.</t>
    <phoneticPr fontId="1" type="noConversion"/>
  </si>
  <si>
    <t>문파 원정보상</t>
    <phoneticPr fontId="1" type="noConversion"/>
  </si>
  <si>
    <t>문파 원정보상이 도착했습니다.</t>
    <phoneticPr fontId="1" type="noConversion"/>
  </si>
  <si>
    <t>구매하신 물품이 도착했습니다.</t>
    <phoneticPr fontId="1" type="noConversion"/>
  </si>
  <si>
    <t>문파 원정에 성공하여 다음의 보상을 전해드립니다.\r\n\r\n가방의 여유공간이 부족하여 우편으로 보내드립니다.\r\n\r\n감사합니다.</t>
    <phoneticPr fontId="1" type="noConversion"/>
  </si>
  <si>
    <t>문파 동맹요청</t>
    <phoneticPr fontId="1" type="noConversion"/>
  </si>
  <si>
    <t>문파 동맹요청이 들어왔습니다.</t>
    <phoneticPr fontId="1" type="noConversion"/>
  </si>
  <si>
    <t>{1} 문파에서 동맹을 요청하였습니다.\r\n\r\n아래의 동맹확인 버튼을 터치하여 동맹을 요청한 문파를 확인할 수 있습니다.\r\n\r\n감사합니다.</t>
    <phoneticPr fontId="1" type="noConversion"/>
  </si>
  <si>
    <t>문파 전쟁알림</t>
    <phoneticPr fontId="1" type="noConversion"/>
  </si>
  <si>
    <t>문파 전쟁이 시작되었습니다.</t>
    <phoneticPr fontId="1" type="noConversion"/>
  </si>
  <si>
    <t>{1} 문파에서 전쟁을 선포하였습니다.\r\n\r\n아래의 전쟁확인 버튼을 터치하여 전쟁을 선포한 문파를 확인할 수 있습니다.\r\n\r\n감사합니다.</t>
    <phoneticPr fontId="1" type="noConversion"/>
  </si>
  <si>
    <t>문파에서 초대를 받았습니다.</t>
    <phoneticPr fontId="1" type="noConversion"/>
  </si>
  <si>
    <t>{1} 문파에서 당신을 초대하였습니다.\r\n\r\n아래의 초대확인 버튼을 터치하여 초대한 문파를 확인할 수 있습니다.\r\n\r\n감사합니다.</t>
    <phoneticPr fontId="1" type="noConversion"/>
  </si>
  <si>
    <t>문파 선물</t>
    <phoneticPr fontId="1" type="noConversion"/>
  </si>
  <si>
    <t>문파에서 선물이 도착했습니다.</t>
    <phoneticPr fontId="1" type="noConversion"/>
  </si>
  <si>
    <t>{1} 문파에게서 {2} {3}을 받았습니다.\r\n\r\n가방의 여유공간을 확인하시고 수령하시기 바랍니다.\r\n\r\n감사합니다.</t>
    <phoneticPr fontId="1" type="noConversion"/>
  </si>
  <si>
    <t>문파기술 사용</t>
    <phoneticPr fontId="1" type="noConversion"/>
  </si>
  <si>
    <t>문파기술이 발동되었습니다.</t>
    <phoneticPr fontId="1" type="noConversion"/>
  </si>
  <si>
    <t>{1}님이 {2} 기술을 사용했습니다.\r\n\r\n서둘러서 기술 효과를 누려보세요.</t>
    <phoneticPr fontId="1" type="noConversion"/>
  </si>
  <si>
    <t>문파 척살알림</t>
    <phoneticPr fontId="1" type="noConversion"/>
  </si>
  <si>
    <t>[{1}] {2} 임무를 완료했습니다.</t>
    <phoneticPr fontId="1" type="noConversion"/>
  </si>
  <si>
    <t>[의뢰] {1} 의뢰를 완료했습니다.</t>
    <phoneticPr fontId="1" type="noConversion"/>
  </si>
  <si>
    <t>문파 창고</t>
    <phoneticPr fontId="1" type="noConversion"/>
  </si>
  <si>
    <t>문파 창고 보관량 초과</t>
    <phoneticPr fontId="1" type="noConversion"/>
  </si>
  <si>
    <t>점령지에서 지급된 문파 흑철 세금이 \r\n\r\n 문파 창고가 가득차 지급되지 않았습니다. \r\n\r\n 문파 창고의 흑철 보관량을 증가 시키거나 \r\n\r\n보관중인 흑철을 사용하여, 창고에 여유 공간을 확보해야 합니다.</t>
    <phoneticPr fontId="1" type="noConversion"/>
  </si>
  <si>
    <t>20레벨 달성을 축하합니다!</t>
    <phoneticPr fontId="1" type="noConversion"/>
  </si>
  <si>
    <t>이제부터 사망패널티에 주의하세요.</t>
    <phoneticPr fontId="1" type="noConversion"/>
  </si>
  <si>
    <t>{1} 용사님.\r\n지금부터 사망할 경우, 패널티가 적용될 수 있습니다.\r\n\r\n[경험치] : 사망 시 잃어버린 경험치는 일반/고급 복구로 되찾을 수 있습니다.\r\n[유실물] : 일부 소비아이템과 재화를 떨어뜨리며, 다시 찾지 않으면 영구히 손실됩니다.\r\n[내상] : 중첩되면 사냥 경험치와 능력이 하락합니다. 가속 포인트 및 문파원들의 도움으로 빨리 치료할 수 있습니다.\r\n[대기시간] : 연속사망 시 부활대기시간이 점진적으로 증가합니다.</t>
    <phoneticPr fontId="1" type="noConversion"/>
  </si>
  <si>
    <t>문주 양도</t>
    <phoneticPr fontId="1" type="noConversion"/>
  </si>
  <si>
    <t>문주의 자리를 양도 했습니다.</t>
    <phoneticPr fontId="1" type="noConversion"/>
  </si>
  <si>
    <t>{1}님이 심사숙고 끝에 문주의 자리를 {2}님에게 양도하기로 결정하였습니다.\r\n\r\n새로운 문주를 환영해주세요.</t>
    <phoneticPr fontId="1" type="noConversion"/>
  </si>
  <si>
    <t>문파 동맹수락</t>
    <phoneticPr fontId="1" type="noConversion"/>
  </si>
  <si>
    <t>문파 동맹요청이 수락 되었습니다.</t>
    <phoneticPr fontId="1" type="noConversion"/>
  </si>
  <si>
    <t>{1} 문파에서 동맹을 수락하였습니다.\r\n\r\n동맹 문파와 끈끈한 우정을 쌓아가시길 바랍니다.\r\n\r\n감사합니다.</t>
    <phoneticPr fontId="1" type="noConversion"/>
  </si>
  <si>
    <t>문파 동맹거절</t>
    <phoneticPr fontId="1" type="noConversion"/>
  </si>
  <si>
    <t>문파 동맹요청이 거절 되었습니다.</t>
    <phoneticPr fontId="1" type="noConversion"/>
  </si>
  <si>
    <t>{1} 문파에서 동맹을 거절하였습니다.\r\n\r\n감사합니다.</t>
    <phoneticPr fontId="1" type="noConversion"/>
  </si>
  <si>
    <t>축하합니다. {1}을 점령하였습니다.\r\n전투에 크게 기여하여 MVP로 선정되었습니다.\r\n문파 주화: {2} 획득\r\n이 보상은 당일 점령전 진행시 각 비곡마다 1번만 받을 수 있습니다.\r\n다시한번 축하드립니다.</t>
    <phoneticPr fontId="1" type="noConversion"/>
  </si>
  <si>
    <t>{1}님과의 PVP에서 승리하였습니다.\r\n\r\n 획득 성향점수: {2}\r\n 성향 등급: {4} ({3}점)</t>
    <phoneticPr fontId="1" type="noConversion"/>
  </si>
  <si>
    <t>사망하여 경험치가 하락했지만 경험치 저장 슬롯이 가득 차 저장되지 않았습니다.\r\n좌측 상단의 [비석] -&gt; [경험치복구] 메뉴에서 하락된 경험치 리스트를 확인하실 수 있습니다.\r\n경험치 복구 슬롯을 비워주세요.\r\n\r\n손실된 경험치: {2}</t>
    <phoneticPr fontId="1" type="noConversion"/>
  </si>
  <si>
    <t>복구되지 않은 경험치의 보관 기일이 만료되어 삭제되었습니다.\r\n좌측 상단의 [비석] -&gt; [경험치복구] 메뉴에서 하락된 경험치 리스트를 확인하실 수 있습니다.\r\n\r\n발생일시: {1}\r\n손실된 경험치: {2}</t>
    <phoneticPr fontId="1" type="noConversion"/>
  </si>
  <si>
    <t>축하합니다. {1}을 점령하였습니다.\r\n점령한 비곡에서 벌어들이는 풍부한 흑철을 팔아서 누구보다 막강한 문파가 되어 보세요.\r\n문파 주화: {2} 획득\r\n문파 자금: {3} 획득 ( 문파창고로 지급 )\r\n다음 비곡 점령전은 일주일후에 다시 시작합니다.\r\n이 보상은 당일 점령전 진행시 각 비곡마다 1번만 받을 수 있습니다.</t>
    <phoneticPr fontId="1" type="noConversion"/>
  </si>
  <si>
    <t>동맹해제</t>
    <phoneticPr fontId="1" type="noConversion"/>
  </si>
  <si>
    <t>축하합니다!\r\n소속한 문파가 {1} 공성전에서 승리했습니다.</t>
    <phoneticPr fontId="1" type="noConversion"/>
  </si>
  <si>
    <t>축하합니다!\r\n{1} 공성전에서 MVP를 획득했습니다\r\n해당 공성전에서 획득한 개인 총점은 {2}점입니다.</t>
    <phoneticPr fontId="1" type="noConversion"/>
  </si>
  <si>
    <t>축하합니다!\r\n소속한 문파가 {1} 공성전에서 승리했습니다. \r\n보상으로 [{2}] 영지와 [{3}]의 문파자금을 획득했습니다.\r\n이제부터 세금 인출, 포상 지급 등 영지 관련 혜택을 이용하실 수 있습니다.</t>
    <phoneticPr fontId="1" type="noConversion"/>
  </si>
  <si>
    <t>문파 창고가 가득 차 {1} 승리 보상으로 지급된 재화가 창고에 저장되지 못하고 소실되었습니다.\r\n\r\n소실내역: {2} {3}</t>
    <phoneticPr fontId="1" type="noConversion"/>
  </si>
  <si>
    <t>{1} 공성전으로 인해 [{2}] 문파와의 동맹은 자동해제 되었습니다. 공성전이 진행되는 동안에는 상대진영 문파와 동맹을 유지할 수 없습니다.</t>
    <phoneticPr fontId="1" type="noConversion"/>
  </si>
  <si>
    <t>{1} 공성전에서 패배했습니다.\r\n해당 공성전에서 획득한 개인 총점은 {2}점이며, \r\n랭킹 {3}위를 달성했습니다.</t>
    <phoneticPr fontId="1" type="noConversion"/>
  </si>
  <si>
    <t>축하합니다!\r\n소속한 문파가 {1} 공성전에서 승리하여 {2} 영지를 보상으로 획득했습니다.\r\n이제부터 세금 인출, 칭호 부여, 포상 지급, 칙명 공표, 지명수배 등 영지 관련 혜택을 이용하실 수 있습니다.</t>
    <phoneticPr fontId="1" type="noConversion"/>
  </si>
  <si>
    <t>문파 전쟁을 응전 하였습니다.</t>
  </si>
  <si>
    <t>구글 플레이 기프트카드 이벤트 보상</t>
    <phoneticPr fontId="1" type="noConversion"/>
  </si>
  <si>
    <t>미르4 X 구글 플레이 기프트카드 제휴 이벤트 참여 보상입니다.</t>
    <phoneticPr fontId="1" type="noConversion"/>
  </si>
  <si>
    <t>CHT</t>
    <phoneticPr fontId="1" type="noConversion"/>
  </si>
  <si>
    <t>중국어(번체)</t>
    <phoneticPr fontId="1" type="noConversion"/>
  </si>
  <si>
    <t>CHS</t>
    <phoneticPr fontId="1" type="noConversion"/>
  </si>
  <si>
    <t>중국어(간체)</t>
    <phoneticPr fontId="1" type="noConversion"/>
  </si>
  <si>
    <t>JPN</t>
    <phoneticPr fontId="1" type="noConversion"/>
  </si>
  <si>
    <t>일본어</t>
    <phoneticPr fontId="1" type="noConversion"/>
  </si>
  <si>
    <t>다국어 필드 (국내는 0으로 넣어주세요.)</t>
  </si>
  <si>
    <t>문파 도전보상</t>
  </si>
  <si>
    <t>문파 도전보상이 도착했습니다.</t>
  </si>
  <si>
    <t>도전 첫 클리어</t>
  </si>
  <si>
    <t>첫 클리어 보상</t>
  </si>
  <si>
    <t>{1}의 첫 클리어에 성공하여 다음의 보상을 보내드립니다.\r\n\r\n가방의 여유공간을 확인하시고 수령하시기 바랍니다.\r\n\r\n감사합니다.</t>
  </si>
  <si>
    <t>ENG</t>
    <phoneticPr fontId="1" type="noConversion"/>
  </si>
  <si>
    <t>영어</t>
    <phoneticPr fontId="1" type="noConversion"/>
  </si>
  <si>
    <t>定期維護補償。</t>
  </si>
  <si>
    <t>定期维护补偿。</t>
  </si>
  <si>
    <t>Here is your routine maintenance compensation.</t>
  </si>
  <si>
    <t>緊急維護</t>
  </si>
  <si>
    <t>紧急维护</t>
  </si>
  <si>
    <t>臨時メンテナンス</t>
  </si>
  <si>
    <t>Temporary Maintenance</t>
  </si>
  <si>
    <t>緊急維護補償。</t>
  </si>
  <si>
    <t>紧急维护补偿。</t>
  </si>
  <si>
    <t>Here is your temporary maintenance compensation.</t>
  </si>
  <si>
    <t>下載獎勵</t>
  </si>
  <si>
    <t>下载奖励</t>
  </si>
  <si>
    <t>ダウンロード報酬</t>
  </si>
  <si>
    <t>Download Reward</t>
  </si>
  <si>
    <t>檔案下載獎勵。</t>
  </si>
  <si>
    <t>文件下载奖励。</t>
  </si>
  <si>
    <t>Here is your file download reward.</t>
  </si>
  <si>
    <t>完成聲音檔案下載，發放獎勵。\r\n\r\n請確認背包空間後領取獎勵。</t>
  </si>
  <si>
    <t>完成声音文件下载，发放奖励。\r\n\r\n请确认背包空间后领取奖励。</t>
  </si>
  <si>
    <t>Here is your reward for downloading the voice file.\r\n\r\nCheck the available space in your bag before collecting it.</t>
  </si>
  <si>
    <t>商店購買物品傳送</t>
  </si>
  <si>
    <t>商店购买物品发送</t>
  </si>
  <si>
    <t>商店購入アイテム発送</t>
  </si>
  <si>
    <t>Shop Purchase Delivery</t>
  </si>
  <si>
    <t>背包空間不足</t>
  </si>
  <si>
    <t>背包空间不足</t>
  </si>
  <si>
    <t>カバンの空きスロット不足</t>
  </si>
  <si>
    <t>Insufficient Bag Space</t>
  </si>
  <si>
    <t>討伐獎勵傳送</t>
  </si>
  <si>
    <t>讨伐奖励发送</t>
  </si>
  <si>
    <t>討伐報酬発送</t>
  </si>
  <si>
    <t>Raid Reward Delivery</t>
  </si>
  <si>
    <t>首次通關獎勵</t>
  </si>
  <si>
    <t>首次通关奖励</t>
  </si>
  <si>
    <t>初回クリア報酬</t>
  </si>
  <si>
    <t>First Clear Reward</t>
  </si>
  <si>
    <t>首次通關獎勵發放</t>
  </si>
  <si>
    <t>首次通关奖励发放</t>
  </si>
  <si>
    <t>初回クリア報酬の支給</t>
  </si>
  <si>
    <t>First clear reward delivered</t>
  </si>
  <si>
    <t>初始排名獎勵</t>
  </si>
  <si>
    <t>初始排名奖励</t>
  </si>
  <si>
    <t>初回順位報酬</t>
  </si>
  <si>
    <t>First Ranking Reward</t>
  </si>
  <si>
    <t>決鬥場個人戰初始排名獎勵</t>
  </si>
  <si>
    <t>决斗场个人战初始排名奖励</t>
  </si>
  <si>
    <t>決闘場個人戦の初回順位報酬</t>
  </si>
  <si>
    <t>Arena Solo Battle First Ranking Reward</t>
  </si>
  <si>
    <t>已發放決鬥場個人戰的初始排名獎勵。\r\n\r\n初始排名獎勵僅限首次達成排名時可獲得1次。\r\n\r\n加油不斷挑戰，提高排名吧。</t>
  </si>
  <si>
    <t>已发放决斗场个人战的初始排名奖励。\r\n\r\n初始排名奖励仅限首次达成排名时可获得1次。\r\n\r\n加油不断挑战，提高排名吧。</t>
  </si>
  <si>
    <t>Here is your first ranking reward for a Solo Battle at the arena.\r\n\r\nThe first ranking reward is available only once upon reaching any rank.\r\n\r\nContinue to raise your ranking.</t>
  </si>
  <si>
    <t>每日排名獎勵</t>
  </si>
  <si>
    <t>每日排名奖励</t>
  </si>
  <si>
    <t>日間順位報酬</t>
  </si>
  <si>
    <t>Daily Ranking Reward</t>
  </si>
  <si>
    <t>決鬥場每日排名結算獎勵</t>
  </si>
  <si>
    <t>决斗场每日排名结算奖励</t>
  </si>
  <si>
    <t>決闘場の日間順位精算に対する報酬</t>
  </si>
  <si>
    <t>Arena Daily Ranking Settlement Reward</t>
  </si>
  <si>
    <t>個人戰排名變動</t>
  </si>
  <si>
    <t>个人战排名变动</t>
  </si>
  <si>
    <t>個人戦順位変動</t>
  </si>
  <si>
    <t>Solo Battle Ranking Change</t>
  </si>
  <si>
    <t>剝奪決鬥場個人戰排名</t>
  </si>
  <si>
    <t>剥夺决斗场个人战排名</t>
  </si>
  <si>
    <t>決闘場個人戦の順位剥奪</t>
  </si>
  <si>
    <t>Arena Solo Battle Ranking Drop</t>
  </si>
  <si>
    <t>決鬥場排名被搶走，獎勵資格被剝奪。\r\n\r\n若想獲得每日排名獎勵，必須重新爭取排名。</t>
  </si>
  <si>
    <t>决斗场排名被抢走，奖励资格被剥夺。\r\n\r\n若想获得每日排名奖励，必须重新争取排名。</t>
  </si>
  <si>
    <t>You have been dropped from the arena ranking and can no longer receive the reward.\r\n\r\nTo receive the daily ranking reward again, you must recover your ranking.</t>
  </si>
  <si>
    <t>占領的{1}正在遭受攻擊。\r\n\r\n趕快進行防禦吧。</t>
  </si>
  <si>
    <t>占领的{1}正在遭受攻击。\r\n\r\n赶快进行防御吧。</t>
  </si>
  <si>
    <t>Your {1} is under attack.\r\n\r\nHurry to its defense.</t>
  </si>
  <si>
    <t>勝利獎勵遺失</t>
  </si>
  <si>
    <t>胜利奖励遗失</t>
  </si>
  <si>
    <t>勝利報酬の遺失</t>
  </si>
  <si>
    <t>Victory Reward Lost</t>
  </si>
  <si>
    <t>勝利獎勵遺失。</t>
  </si>
  <si>
    <t>胜利奖励遗失。</t>
  </si>
  <si>
    <t>Victory reward has been lost.</t>
  </si>
  <si>
    <t>Gathering Encouragement</t>
  </si>
  <si>
    <t>門派邀請</t>
  </si>
  <si>
    <t>門派招待</t>
  </si>
  <si>
    <t>Clan Invite</t>
  </si>
  <si>
    <t>收到門派加入邀請。</t>
  </si>
  <si>
    <t>收到门派加入邀请。</t>
  </si>
  <si>
    <t>You have received an invite to join a clan.</t>
  </si>
  <si>
    <t>{1}門派邀請您加入門派。\r\n\r\n點擊下方的確認邀請按鍵即可確認相應門派。\r\n\r\n加入門派可獲得更多的特惠。</t>
  </si>
  <si>
    <t>{1}门派邀请您加入门派。\r\n\r\n点击下方的确认邀请按键即可确认相应门派。\r\n\r\n加入门派可获得更多的特惠。</t>
  </si>
  <si>
    <t>The {1} clan has sent you an invite to join them.\r\n\r\nTap the View Invitation button below to see the clans that have invited you.\r\n\r\nThere are many benefits of joining a clan.</t>
  </si>
  <si>
    <t>門派批准加入</t>
  </si>
  <si>
    <t>门派批准加入</t>
  </si>
  <si>
    <t>門派登録承認</t>
  </si>
  <si>
    <t>Join Clan Approval</t>
  </si>
  <si>
    <t>收到門派加入批准。</t>
  </si>
  <si>
    <t>收到门派加入批准。</t>
  </si>
  <si>
    <t>You have been approved to join a clan.</t>
  </si>
  <si>
    <t>退出門派說明</t>
  </si>
  <si>
    <t>退出门派说明</t>
  </si>
  <si>
    <t>Leave Clan Notice</t>
  </si>
  <si>
    <t>已退出門派。</t>
  </si>
  <si>
    <t>已退出门派。</t>
  </si>
  <si>
    <t>You have left your clan.</t>
  </si>
  <si>
    <t>踢出門派說明</t>
  </si>
  <si>
    <t>踢出门派说明</t>
  </si>
  <si>
    <t>門派追放の案内</t>
  </si>
  <si>
    <t>Kicked From Clan Notice</t>
  </si>
  <si>
    <t>已被門派踢除。</t>
  </si>
  <si>
    <t>已被门派踢除。</t>
  </si>
  <si>
    <t>You have been kicked from your clan.</t>
  </si>
  <si>
    <t>門派商店</t>
  </si>
  <si>
    <t>门派商店</t>
  </si>
  <si>
    <t>Clan Shop</t>
  </si>
  <si>
    <t>購買的物品已送達。</t>
  </si>
  <si>
    <t>购买的物品已送达。</t>
  </si>
  <si>
    <t>Your purchase has arrived.</t>
  </si>
  <si>
    <t>門派商店購買的物品已透過信件送達。\r\n\r\n請確認背包空間後領取獎勵。\r\n\r\n謝謝。</t>
  </si>
  <si>
    <t>门派商店购买的物品已通过信件送达。\r\n\r\n请确认背包空间后领取。\r\n\r\n谢谢。</t>
  </si>
  <si>
    <t>門派遠征獎勵</t>
  </si>
  <si>
    <t>门派远征奖励</t>
  </si>
  <si>
    <t>門派遠征報酬</t>
  </si>
  <si>
    <t>Clan Expedition Reward</t>
  </si>
  <si>
    <t>門派結盟請求</t>
  </si>
  <si>
    <t>门派结盟请求</t>
  </si>
  <si>
    <t>門派同盟要請</t>
  </si>
  <si>
    <t>Clan Alliance Request</t>
  </si>
  <si>
    <t>邀请加入门派</t>
  </si>
  <si>
    <t>You have received a clan invite.</t>
  </si>
  <si>
    <t>{1}門派邀請您加入。\r\n\r\n點擊下方的邀請按鍵即可確認邀請門派。\r\n\r\n謝謝。</t>
  </si>
  <si>
    <t>{1}门派邀请您加入。\r\n\r\n点击下方的邀请按键即可确认邀请门派。\r\n\r\n谢谢。</t>
  </si>
  <si>
    <t>The {1} clan has sent you an invite.\r\n\r\nTap the View Invitation button below to see the clans that have invited you.\r\n\r\nThank you.</t>
  </si>
  <si>
    <t>門派倉庫</t>
  </si>
  <si>
    <t>门派仓库</t>
  </si>
  <si>
    <t>Clan Warehouse</t>
  </si>
  <si>
    <t>門派倉庫保管量超限</t>
  </si>
  <si>
    <t>门派仓库保管量超限</t>
  </si>
  <si>
    <t>門派倉庫の保管量超過</t>
  </si>
  <si>
    <t>每週貢獻度排位</t>
  </si>
  <si>
    <t>每周贡献度排位</t>
  </si>
  <si>
    <t>週間貢献度ランキング</t>
  </si>
  <si>
    <t>Weekly Contribution Ranking</t>
  </si>
  <si>
    <t>首次通關遠征</t>
  </si>
  <si>
    <t>首次通关远征</t>
  </si>
  <si>
    <t>遠征初回クリア</t>
  </si>
  <si>
    <t>Expedition First Clear</t>
  </si>
  <si>
    <t>首次通關{1}，特此送上如下獎勵。\r\n\r\n請確認背包空間後領取獎勵。\r\n\r\n謝謝。</t>
  </si>
  <si>
    <t>首次通关{1}，特此送上如下奖励。\r\n\r\n请确认背包空间后领取奖励。\r\n\r\n谢谢。</t>
  </si>
  <si>
    <t>Here is your reward for clearing {1} for the first time.\r\n\r\nCheck the available space in your bag before collecting it.\r\n\r\nThank you.</t>
  </si>
  <si>
    <t>門派貢獻度獎勵</t>
  </si>
  <si>
    <t>门派贡献度奖励</t>
  </si>
  <si>
    <t>門派貢献度報酬</t>
  </si>
  <si>
    <t>Clan Contribution Reward</t>
  </si>
  <si>
    <t>每日貢獻度獎勵</t>
  </si>
  <si>
    <t>每日贡献度奖励</t>
  </si>
  <si>
    <t>日間貢献度報酬</t>
  </si>
  <si>
    <t>Daily Contribution Reward</t>
  </si>
  <si>
    <t>每日貢獻度獎勵第{1}名達成，特此送上獎勵。\r\n\r\n請確認背包空間後領取獎勵。\r\n\r\n謝謝。</t>
  </si>
  <si>
    <t>每日贡献度奖励第{1}名达成，特此送上奖励。\r\n\r\n请确认背包空间后领取奖励。\r\n\r\n谢谢。</t>
  </si>
  <si>
    <t>每週貢獻度獎勵</t>
  </si>
  <si>
    <t>每周贡献度奖励</t>
  </si>
  <si>
    <t>週間貢献度報酬</t>
  </si>
  <si>
    <t>Weekly Contribution Reward</t>
  </si>
  <si>
    <t>每週貢獻度獎勵第{1}名達成，特此送上獎勵。\r\n\r\n請確認背包空間後領取獎勵。\r\n\r\n謝謝。</t>
  </si>
  <si>
    <t>每周贡献度奖励第{1}名达成，特此送上奖励。\r\n\r\n请确认背包空间后领取奖励。\r\n\r\n谢谢。</t>
  </si>
  <si>
    <t>排位獎勵</t>
  </si>
  <si>
    <t>排位奖励</t>
  </si>
  <si>
    <t>ランキング報酬</t>
  </si>
  <si>
    <t>Ranking Reward</t>
  </si>
  <si>
    <t>每週排位獎勵</t>
  </si>
  <si>
    <t>每周排位奖励</t>
  </si>
  <si>
    <t>週間ランキング報酬</t>
  </si>
  <si>
    <t>Weekly Ranking Reward</t>
  </si>
  <si>
    <t>掌門傳位</t>
  </si>
  <si>
    <t>掌门传位</t>
  </si>
  <si>
    <t>門主譲渡</t>
  </si>
  <si>
    <t>賽季排位獎勵</t>
  </si>
  <si>
    <t>赛季排位奖励</t>
  </si>
  <si>
    <t>シーズンランキング報酬</t>
  </si>
  <si>
    <t>Season Ranking Reward</t>
  </si>
  <si>
    <t>賽季排位獎勵第{1}名達成，特此送上獎勵。\r\n\r\n請確認背包空間後領取獎勵。\r\n\r\n謝謝。</t>
  </si>
  <si>
    <t>赛季排位奖励第{1}名达成，特此送上奖励。\r\n\r\n请确认背包空间后领取奖励。\r\n\r\n谢谢。</t>
  </si>
  <si>
    <t>捐贈獎勵</t>
  </si>
  <si>
    <t>捐赠奖励</t>
  </si>
  <si>
    <t>寄付報酬</t>
  </si>
  <si>
    <t>Donation Reward</t>
  </si>
  <si>
    <t>門派捐贈獎勵。</t>
  </si>
  <si>
    <t>门派捐赠奖励。</t>
  </si>
  <si>
    <t>Here is your clan donation reward.</t>
  </si>
  <si>
    <t>The clan war has been accepted.</t>
  </si>
  <si>
    <t>門派同盟拒否</t>
  </si>
  <si>
    <t>Clan Alliance Declined</t>
  </si>
  <si>
    <t>已拒絕門派結盟請求。</t>
  </si>
  <si>
    <t>已拒绝门派结盟请求。</t>
  </si>
  <si>
    <t>The clan alliance request has been declined.</t>
  </si>
  <si>
    <t>領地</t>
  </si>
  <si>
    <t>领地</t>
  </si>
  <si>
    <t>Territory</t>
  </si>
  <si>
    <t>門派</t>
  </si>
  <si>
    <t>门派</t>
  </si>
  <si>
    <t>Clan</t>
  </si>
  <si>
    <t>勝利</t>
  </si>
  <si>
    <t>胜利</t>
  </si>
  <si>
    <t>Victory</t>
  </si>
  <si>
    <t>獲得</t>
  </si>
  <si>
    <t>获得</t>
  </si>
  <si>
    <t>Get</t>
  </si>
  <si>
    <t>回收</t>
  </si>
  <si>
    <t>回収</t>
  </si>
  <si>
    <t>Retrieve</t>
  </si>
  <si>
    <t>放棄</t>
  </si>
  <si>
    <t>放弃</t>
  </si>
  <si>
    <t>断念</t>
  </si>
  <si>
    <t>Abandon</t>
  </si>
  <si>
    <t>倉庫爆滿。</t>
  </si>
  <si>
    <t>仓库爆满。</t>
  </si>
  <si>
    <t>The warehouse is full.</t>
  </si>
  <si>
    <t>所屬門派放棄了{1}領地的所有權。\r\n現在起，將無法使用{2}領地相關的特惠。</t>
  </si>
  <si>
    <t>所属门派放弃了{1}领地的所有权。\r\n现在起，将无法使用{2}领地相关的特惠。</t>
  </si>
  <si>
    <t>Your clan has abandoned the {1} territory.\r\nBenefits from the {2} territory are no longer available.</t>
  </si>
  <si>
    <t>門派倉庫已滿，{1}勝利獎勵發放的物資未能儲存至倉庫，已消失。\r\n\r\n消失內容：{2}{3}</t>
  </si>
  <si>
    <t>门派仓库已满，{1}胜利发放的奖励物资未能储存至仓库，已消失。\r\n\r\n消失内容：{2}{3}</t>
  </si>
  <si>
    <t>The {1} victory reward resources have been lost because the Clan Warehouse is full.\r\n\r\nLosses: {2} {3}</t>
  </si>
  <si>
    <t>任務</t>
  </si>
  <si>
    <t>任务</t>
  </si>
  <si>
    <t>任務完成</t>
  </si>
  <si>
    <t>任务完成</t>
  </si>
  <si>
    <t>任務完了</t>
  </si>
  <si>
    <t>Mission Complete</t>
  </si>
  <si>
    <t>委託完成</t>
  </si>
  <si>
    <t>委托完成</t>
  </si>
  <si>
    <t>依頼完了</t>
  </si>
  <si>
    <t>Request Complete</t>
  </si>
  <si>
    <t>戰鬥失敗</t>
  </si>
  <si>
    <t>战斗失败</t>
  </si>
  <si>
    <t>戦闘敗北</t>
  </si>
  <si>
    <t>Battle Defeat</t>
  </si>
  <si>
    <t>戰鬥失敗。</t>
  </si>
  <si>
    <t>战斗失败。</t>
  </si>
  <si>
    <t>You have lost the battle.</t>
  </si>
  <si>
    <t>{1}討伐成功。\r\n恭喜討伐成功。</t>
  </si>
  <si>
    <t>{1}讨伐成功。\r\n恭喜讨伐成功。</t>
  </si>
  <si>
    <t>You have succeeded in the {1} raid.\r\nCongratulations on your victory.</t>
  </si>
  <si>
    <t>期間満了</t>
  </si>
  <si>
    <t>The item you purchased from the Clan Shop has been sent to your mail.\r\n\r\nCheck the available space in your bag before collecting it.\r\n\r\nThank you.</t>
  </si>
  <si>
    <t>Clan Warehouse capacity exceeded</t>
  </si>
  <si>
    <t>Here is your reward for achieving the Daily Contribution Reward #{1} place.\r\n\r\nCheck the available space in your bag before collecting it.\r\n\r\nThank you.</t>
  </si>
  <si>
    <t>Here is your reward for achieving the Weekly Contribution Reward #{1} place.\r\n\r\nCheck the available space in your bag before collecting it.\r\n\r\nThank you.</t>
  </si>
  <si>
    <t>Leadership Transfer</t>
  </si>
  <si>
    <t>Here is your reward for achieving the Season Ranking Reward #{1} place.\r\n\r\nCheck the available space in your bag before collecting it.\r\n\r\nThank you.</t>
  </si>
  <si>
    <t>Mission</t>
  </si>
  <si>
    <t>Watch out for the death penalty.</t>
  </si>
  <si>
    <t>Draco 제련소</t>
    <phoneticPr fontId="1" type="noConversion"/>
  </si>
  <si>
    <t>흑철 교환 성공</t>
    <phoneticPr fontId="1" type="noConversion"/>
  </si>
  <si>
    <t>흑철 교환 실패</t>
    <phoneticPr fontId="1" type="noConversion"/>
  </si>
  <si>
    <t>흑철 교환에 성공하였습니다.</t>
    <phoneticPr fontId="1" type="noConversion"/>
  </si>
  <si>
    <t>흑철 교환에 실패하였습니다.</t>
    <phoneticPr fontId="1" type="noConversion"/>
  </si>
  <si>
    <t>36001~37000</t>
    <phoneticPr fontId="1" type="noConversion"/>
  </si>
  <si>
    <t>37001~38000</t>
    <phoneticPr fontId="1" type="noConversion"/>
  </si>
  <si>
    <t>38001~39000</t>
    <phoneticPr fontId="1" type="noConversion"/>
  </si>
  <si>
    <t>THA</t>
    <phoneticPr fontId="1" type="noConversion"/>
  </si>
  <si>
    <t>태국어</t>
    <phoneticPr fontId="1" type="noConversion"/>
  </si>
  <si>
    <t>IND</t>
    <phoneticPr fontId="1" type="noConversion"/>
  </si>
  <si>
    <t>인도네시아어</t>
    <phoneticPr fontId="1" type="noConversion"/>
  </si>
  <si>
    <t>VIE</t>
    <phoneticPr fontId="1" type="noConversion"/>
  </si>
  <si>
    <t>베트남어</t>
    <phoneticPr fontId="1" type="noConversion"/>
  </si>
  <si>
    <t>GER</t>
    <phoneticPr fontId="1" type="noConversion"/>
  </si>
  <si>
    <t>독일어</t>
    <phoneticPr fontId="1" type="noConversion"/>
  </si>
  <si>
    <t>SPA</t>
    <phoneticPr fontId="1" type="noConversion"/>
  </si>
  <si>
    <t>스페인어</t>
    <phoneticPr fontId="1" type="noConversion"/>
  </si>
  <si>
    <t>POR</t>
    <phoneticPr fontId="1" type="noConversion"/>
  </si>
  <si>
    <t>포르투갈어</t>
    <phoneticPr fontId="1" type="noConversion"/>
  </si>
  <si>
    <t>RUS</t>
    <phoneticPr fontId="1" type="noConversion"/>
  </si>
  <si>
    <t>러시아어</t>
    <phoneticPr fontId="1" type="noConversion"/>
  </si>
  <si>
    <t>門派挑戰獎勵</t>
  </si>
  <si>
    <t>门派挑战奖励</t>
  </si>
  <si>
    <t>門派挑戦報酬</t>
  </si>
  <si>
    <t>Clan Challenge Reward</t>
  </si>
  <si>
    <t>門派挑戰獎勵已送達。</t>
  </si>
  <si>
    <t>门派挑战奖励已送达。</t>
  </si>
  <si>
    <t>Your Clan Challenge reward has arrived.</t>
  </si>
  <si>
    <t>挑戰首次通關</t>
  </si>
  <si>
    <t>挑战首次通关</t>
  </si>
  <si>
    <t>挑戦初回クリア</t>
  </si>
  <si>
    <t>Challenge First Clear</t>
  </si>
  <si>
    <t>門派脱退の案内</t>
  </si>
  <si>
    <t>요청하신 DRACO 제련에 실패하였습니다.\r\n\r\n제련 요청 수량 : {1} 개\r\n제련 비용 : {2} 흑철\r\n\r\n제련에 실패한 흑철은 다시 반환하여 드립니다.\r\n\r\n감사합니다.</t>
    <phoneticPr fontId="1" type="noConversion"/>
  </si>
  <si>
    <t>요청하신 흑철 교환에 성공하였습니다.\r\n교환 수량 : {1} 개\r\n\r\n감사합니다.</t>
    <phoneticPr fontId="1" type="noConversion"/>
  </si>
  <si>
    <t>요청하신 흑철 교환에 실패하였습니다.\r\n\r\n감사합니다.</t>
    <phoneticPr fontId="1" type="noConversion"/>
  </si>
  <si>
    <t>นี่คือการชดเชยของคุณสำหรับการปิดปรับปรุงตามปกติ</t>
  </si>
  <si>
    <t>Aquí tienes tu compensación por el mantenimiento rutinario.</t>
  </si>
  <si>
    <t>Aqui está a sua compensação da manutenção de rotina.</t>
  </si>
  <si>
    <t>การปิดปรับปรุงชั่วคราว</t>
  </si>
  <si>
    <t>Mantenimiento temporal</t>
  </si>
  <si>
    <t>Manutenção temporária</t>
  </si>
  <si>
    <t>นี่คือการชดเชยของคุณสำหรับการปิดปรับปรุงชั่วคราว</t>
  </si>
  <si>
    <t>Aquí tienes tu compensación por el mantenimiento temporal.</t>
  </si>
  <si>
    <t>Aqui está a sua compensação da manutenção temporária.</t>
  </si>
  <si>
    <t>รางวัลการดาวน์โหลด</t>
  </si>
  <si>
    <t>Recompensa por descarga</t>
  </si>
  <si>
    <t>Recompensa de transferência</t>
  </si>
  <si>
    <t>นี่คือรางวัลการดาวน์โหลดไฟล์ของคุณ</t>
  </si>
  <si>
    <t>Aquí tienes tu recompensa por descarga de archivos.</t>
  </si>
  <si>
    <t>Aqui está a sua recompensa por ter transferido o ficheiro.</t>
  </si>
  <si>
    <t>นี่คือรางวัลของคุณสำหรับการดาวน์โหลดไฟล์เสียง\r\n\r\nตรวจสอบที่ว่างในกระเป๋าของคุณก่อนรับรางวัล</t>
  </si>
  <si>
    <t>Aquí tienes tu recompensa por descargar el archivo de voz.\r\n\r\nComprueba que tienes espacio suficiente en la bolsa antes de recogerla.</t>
  </si>
  <si>
    <t>Aqui está a sua recompensa por ter transferido o ficheiro de voz.\r\n\r\nVerifique o espaço disponível na sua bolsa antes de a receber.</t>
  </si>
  <si>
    <t>การจัดส่งรายการซื้อจากร้านค้า</t>
  </si>
  <si>
    <t>Envío de compra en la tienda</t>
  </si>
  <si>
    <t>Entrega das compras na loja</t>
  </si>
  <si>
    <t>ที่ว่างในกระเป๋าไม่เพียงพอ</t>
  </si>
  <si>
    <t>Falta de espacio en la bolsa</t>
  </si>
  <si>
    <t>Espaço insuficiente na bolsa</t>
  </si>
  <si>
    <t>การจัดส่งรางวัลเรด</t>
  </si>
  <si>
    <t>Entrega de recompensa por Asalto</t>
  </si>
  <si>
    <t>Entrega de recompensa de raide</t>
  </si>
  <si>
    <t>รางวัลการเคลียร์ครั้งแรก</t>
  </si>
  <si>
    <t>Recompensa por superar por 1.ª vez</t>
  </si>
  <si>
    <t>Recompensa de primeira conclusão</t>
  </si>
  <si>
    <t>จัดส่งรางวัลการเคลียร์ครั้งแรกแล้ว</t>
  </si>
  <si>
    <t>Recompensa por superar por 1.ª vez entregada</t>
  </si>
  <si>
    <t>Recompensa de primeira conclusão entregue</t>
  </si>
  <si>
    <t>รางวัลการจัดอันดับครั้งแรก</t>
  </si>
  <si>
    <t>Recompensa por 1.ª clasificación</t>
  </si>
  <si>
    <t>Recompensa de primeira classificação</t>
  </si>
  <si>
    <t>รางวัลการจัดอันดับครั้งแรกในการต่อสู้อารีน่าแบบเดี่ยว</t>
  </si>
  <si>
    <t>Recompensa por 1.ª clasificación en batalla en solitario en la arena</t>
  </si>
  <si>
    <t>Recompensa de primeira classificação de Batalha Solo em Arena</t>
  </si>
  <si>
    <t>นี่คือรางวัลการจัดอันดับครั้งแรกของคุณสำหรับการต่อสู้เดี่ยวในอารีน่า\r\n\r\nรางวัลการจัดอันดับครั้งแรกจะรับได้เพียงครั้งเดียวเท่านั้นเมื่อขึ้นสู่อับดับใดๆ\r\n\r\nโปรดเพิ่มอันดับของคุณต่อไป</t>
  </si>
  <si>
    <t>Aquí tienes tu recompensa por tu 1.ª clasificación en una batalla en solitario en la arena.\r\n\r\nLa recompensa por 1.ª clasificación solo está disponible una vez al alcanzar cualquier rango.\r\n\r\nSigue subiendo tu rango.</t>
  </si>
  <si>
    <t>Aqui está a sua recompensa de primeira classificação para uma Batalha Solo na Arena.\r\n\r\nA recompensa de primeira classificação só está disponível uma vez ao atingir qualquer classificação.\r\n\r\nContinue a subir a sua classificação.</t>
  </si>
  <si>
    <t>รางวัลการจัดอันดับรายวัน</t>
  </si>
  <si>
    <t>Recompensa por clasificación diaria</t>
  </si>
  <si>
    <t>Recompensa de classificação diária</t>
  </si>
  <si>
    <t>รางวัลการจัดอันดับที่ได้รับในอารีน่ารายวัน</t>
  </si>
  <si>
    <t>การเปลี่ยนแปลงอันดับในการต่อสู้แบบเดี่ยว</t>
  </si>
  <si>
    <t>Cambio de clasificación en batalla en solitario</t>
  </si>
  <si>
    <t>Alteração na classificação de Batalha Solo</t>
  </si>
  <si>
    <t>อันดับลดลงในการต่อสู้แบบเดี่ยว</t>
  </si>
  <si>
    <t>Caída de puesto de clasificación en batalla en solitario</t>
  </si>
  <si>
    <t>Descida na classificação de Batalha Solo na Arena</t>
  </si>
  <si>
    <t>อันดับในอารีน่าของคุณลดลงและไม่สามารถรับรางวัลนี้ได้\r\n\r\nหากต้องการรับรางวัลการจัดอันดับรายวันอีกครั้ง คุณต้องคว้าอันดับกลับมาให้ได้</t>
  </si>
  <si>
    <t>Ya no apareces en la clasificación de la arena y no puedes recibir la recompensa.\r\n\r\nPara recibirla de nuevo, debes recuperar tu puesto de clasificación.</t>
  </si>
  <si>
    <t>Desceu na classificação da Arena e não é elegível para receber a recompensa.\r\n\r\nPara receber a recompensa de classificação diária, deve recuperar a sua classificação.</t>
  </si>
  <si>
    <t>{1} ของคุณกำลังถูกโจมตี\r\n\r\nรีบไปป้องกันเร็วเข้า</t>
  </si>
  <si>
    <t>Tu {1} está siendo atacado.\r\n\r\nDate prisa para defenderlo.</t>
  </si>
  <si>
    <t>O seu {1} está a ser atacado.\r\n\r\nApresse-se na sua defesa.</t>
  </si>
  <si>
    <t>สูญเสียรางวัลชัยชนะ</t>
  </si>
  <si>
    <t>Pérdida de recompensa por victoria</t>
  </si>
  <si>
    <t>Recompensa de vitória perdida</t>
  </si>
  <si>
    <t>สูญเสียรางวัลชัยชนะแล้ว</t>
  </si>
  <si>
    <t>Has perdido la recompensa por victoria.</t>
  </si>
  <si>
    <t>A recompensa de vitória foi perdida.</t>
  </si>
  <si>
    <t>คำเชิญแคลน</t>
  </si>
  <si>
    <t>Invitación de clan</t>
  </si>
  <si>
    <t>Convite para clã</t>
  </si>
  <si>
    <t>คุณได้รับคำเชิญให้เข้าร่วมแคลน</t>
  </si>
  <si>
    <t>Has recibido una invitación para unirte a un clan.</t>
  </si>
  <si>
    <t>Recebeu um convite para se juntar a um clã.</t>
  </si>
  <si>
    <t>แคลน {1} ได้ส่งคำเชิญให้คุณเข้าร่วมกับพวกเขา\r\n\r\nแต่ปุ่มดูคำเชิญด้านล่างนี้เพื่อดูว่ามีแคลนใดบ้างที่เชิญคุณ\r\n\r\nมีสิทธิประโยชน์มากมายในการเข้าร่วมแคลน</t>
  </si>
  <si>
    <t>El clan {1} te ha enviado una invitación para que te unas.\r\n\r\nPulsa el botón Ver invitación abajo para ver los clanes que te han invitado.\r\n\r\nUnirte a un clan trae muchos beneficios.</t>
  </si>
  <si>
    <t>O clã {1} enviou-lhe um convite para se juntar a eles.\r\n\r\nToque no botão Ver Convite abaixo para ver os clãs que o convidaram.\r\n\r\nExistem muitos benefícios ao juntar-se a um clã.</t>
  </si>
  <si>
    <t>การอนุมัติการเข้าร่วมแคลน</t>
  </si>
  <si>
    <t>Aprobación de unión a un clan</t>
  </si>
  <si>
    <t>Aprovação para se juntar a um clã</t>
  </si>
  <si>
    <t>คุณได้รับอนุมัติให้เข้าร่วมแคลนแล้ว</t>
  </si>
  <si>
    <t>Han aprobado tu solicitud de unión a un clan.</t>
  </si>
  <si>
    <t>Obteve aprovação para se juntar a um clã.</t>
  </si>
  <si>
    <t>แจ้งเตือนการออกจากแคลน</t>
  </si>
  <si>
    <t>Aviso de abandono de clan</t>
  </si>
  <si>
    <t>Aviso de abandono do clã</t>
  </si>
  <si>
    <t>คุณออกจากแคลนแล้ว</t>
  </si>
  <si>
    <t>Has dejado tu clan.</t>
  </si>
  <si>
    <t>Abandonou o seu clã.</t>
  </si>
  <si>
    <t>แจ้งเตือนถูกไล่ออกจากแคลน</t>
  </si>
  <si>
    <t>Aviso de expulsión de clan</t>
  </si>
  <si>
    <t>Aviso de expulsão do clã</t>
  </si>
  <si>
    <t>คุณถูกไล่ออกจากแคลน</t>
  </si>
  <si>
    <t>Te han expulsado de tu clan.</t>
  </si>
  <si>
    <t>Foi expulso do seu clã.</t>
  </si>
  <si>
    <t>ร้านค้าแคลน</t>
  </si>
  <si>
    <t>Tienda del clan</t>
  </si>
  <si>
    <t>Loja do Clã</t>
  </si>
  <si>
    <t>รายการซื้อของคุณมาถึงแล้ว</t>
  </si>
  <si>
    <t>Tu compra ha llegado.</t>
  </si>
  <si>
    <t>A sua compra chegou.</t>
  </si>
  <si>
    <t>ไอเท็มที่คุณซื้อจากร้านค้าแคลนได้ส่งให้คุณทางจดหมายแล้ว\r\n\r\nตรวจสอบที่ว่างในกระเป๋าของคุณก่อนรับรางวัล\r\n\r\nขอขอบคุณ</t>
  </si>
  <si>
    <t>La compra que hiciste en la tienda del clan se ha enviado al correo.\r\n\r\nComprueba que tienes espacio suficiente en la bolsa antes de recogerla.\r\n\r\nGracias.</t>
  </si>
  <si>
    <t>O item que comprou na Loja do Clã foi enviado para o correio.\r\n\r\nVerifique o espaço disponível na sua bolsa antes de o receber.\r\n\r\nObrigado.</t>
  </si>
  <si>
    <t>รางวัลการสำรวจของแคลน</t>
  </si>
  <si>
    <t>Recompensa por Expedición de Clan</t>
  </si>
  <si>
    <t>Recompensa de Expedição do Clã</t>
  </si>
  <si>
    <t>คำขอพันธมิตรแคลน</t>
  </si>
  <si>
    <t>Solicitud de alianza de clan</t>
  </si>
  <si>
    <t>Pedido de aliança de clã</t>
  </si>
  <si>
    <t>คุณได้รับคำเชิญแคลน</t>
  </si>
  <si>
    <t>Has recibido una invitación de clan.</t>
  </si>
  <si>
    <t>Recebeu um convite para clã.</t>
  </si>
  <si>
    <t>แคลน {1} ได้ส่งคำเชิญถึงคุณ\r\n\r\nแตะปุ่ม ดูคำเชิญ ด้านล่างนี้เพื่อดูว่ามีแคลนใดบ้างที่เชิญคุณ\r\n\r\nมีสิทธิประโยชน์มากมายในการเข้าร่วมแคลน</t>
  </si>
  <si>
    <t>El clan {1} te ha enviado una invitación.\r\n\r\nPulsa el botón Ver invitación abajo para ver los clanes que te han invitado.\r\n\r\nGracias.</t>
  </si>
  <si>
    <t>O clã {1} enviou-lhe um convite.\r\n\r\nToque no botão Ver Convite abaixo para ver os clãs que o convidaram.\r\n\r\nObrigado.</t>
  </si>
  <si>
    <t>คลังของแคลน</t>
  </si>
  <si>
    <t>Almacén del clan</t>
  </si>
  <si>
    <t>Armazém do clã</t>
  </si>
  <si>
    <t>ความจุโกดังแคลนล้นแล้ว</t>
  </si>
  <si>
    <t>Capacidad del almacén del clan superada</t>
  </si>
  <si>
    <t>Capacidade do armazém do clã excedida</t>
  </si>
  <si>
    <t>อันดับการสนับสนุนประจำสัปดาห์</t>
  </si>
  <si>
    <t>Clasificación de contribución semanal</t>
  </si>
  <si>
    <t>Classificação de contribuição semanal</t>
  </si>
  <si>
    <t>รางวัลการเคลียร์การสำรวจครั้งแรก</t>
  </si>
  <si>
    <t>1.ª victoria de Expedición</t>
  </si>
  <si>
    <t>Primeira conclusão da Expedição</t>
  </si>
  <si>
    <t>Recompensa por 1.ª victoria</t>
  </si>
  <si>
    <t>นี่คือรางวัลสำหรับการเคลียร์ {1} ครั้งแรกของคุณ\r\n\r\nตรวจสอบที่ว่างในกระเป๋าของคุณก่อนรับรางวัล\r\n\r\nขอขอบคุณ</t>
  </si>
  <si>
    <t>Aquí tienes tu recompensa por superar {1} por 1.ª vez.\r\n\r\nComprueba que tienes espacio suficiente en la bolsa antes de recogerla.\r\n\r\nGracias.</t>
  </si>
  <si>
    <t>Aqui está a sua recompensa pela conclusão de {1} pela primeira vez.\r\n\r\nVerifique o espaço disponível na sua bolsa antes de a receber.\r\n\r\nObrigado.</t>
  </si>
  <si>
    <t>รางวัลการสนับสนุนแคลน</t>
  </si>
  <si>
    <t>Recompensa por contribución al clan</t>
  </si>
  <si>
    <t>Recompensa de contribuição de clã</t>
  </si>
  <si>
    <t>รางวัลการสนับสนุนรายวัน</t>
  </si>
  <si>
    <t>Recompensa por contribución diaria</t>
  </si>
  <si>
    <t>Recompensa de contribuição diária</t>
  </si>
  <si>
    <t>นี่คือรางวัลของคุณสำหรับการบรรลุรางวัลการสนับสนุนรายวันที่อันดับ {1} \r\n\r\nตรวจสอบที่ว่างในกระเป๋าของคุณก่อนรับรางวัล\r\n\r\nขอขอบคุณ</t>
  </si>
  <si>
    <t>Aquí tienes tu recompensa por alcanzar el puesto n.º {1} en la recompensa por contribución diaria.\r\n\r\nComprueba que tienes espacio suficiente en la bolsa antes de recogerla.\r\n\r\nGracias.</t>
  </si>
  <si>
    <t>Aqui está a sua recompensa por alcançar o {1}.º lugar na Recompensa de contribuição diária.\r\n\r\nVerifique o espaço disponível na sua bolsa antes de a receber.\r\n\r\nObrigado.</t>
  </si>
  <si>
    <t>รางวัลการสนับสนุนรายสัปดาห์</t>
  </si>
  <si>
    <t>Recompensa por contribución semanal</t>
  </si>
  <si>
    <t>Recompensa de contribuição semanal</t>
  </si>
  <si>
    <t>นี่คือรางวัลของคุณสำหรับการบรรลุรางวัลการสนับสนุนรายสัปดาห์ที่อันดับ {1} \r\n\r\nตรวจสอบที่ว่างในกระเป๋าของคุณก่อนรับรางวัล\r\n\r\nขอขอบคุณ</t>
  </si>
  <si>
    <t>Aquí tienes tu recompensa por alcanzar el puesto n.º {1} en la recompensa por contribución semanal.\r\n\r\nComprueba que tienes espacio suficiente en la bolsa antes de recogerla.\r\n\r\nGracias.</t>
  </si>
  <si>
    <t>Aqui está a sua recompensa por alcançar o {1}.º lugar na Recompensa de contribuição semanal.\r\n\r\nVerifique o espaço disponível na sua bolsa antes de a receber.\r\n\r\nObrigado.</t>
  </si>
  <si>
    <t>รางวัลอันดับ</t>
  </si>
  <si>
    <t>Recompensa por clasificación</t>
  </si>
  <si>
    <t>Recompensa de classificação</t>
  </si>
  <si>
    <t>รางวัลการจัดอันดับรายสัปดาห์</t>
  </si>
  <si>
    <t>Recompensa por clasificación semanal</t>
  </si>
  <si>
    <t>Recompensa de classificação semanal</t>
  </si>
  <si>
    <t>การส่งต่อผู้นำแคลน</t>
  </si>
  <si>
    <t>Cesión de liderazgo de clan</t>
  </si>
  <si>
    <t>Transferência de liderança do clã</t>
  </si>
  <si>
    <t>รางวัลการจัดอันดับประจำซีซัน</t>
  </si>
  <si>
    <t>Recompensa por clasificación de temporada</t>
  </si>
  <si>
    <t>Recompensa de classificação da temporada</t>
  </si>
  <si>
    <t>นี่คือรางวัลของคุณสำหรับการบรรลุรางวัลอันดับประจำซีซันที่อันดับ {1} \r\n\r\nตรวจสอบที่ว่างในกระเป๋าของคุณก่อนรับรางวัล\r\n\r\nขอขอบคุณ</t>
  </si>
  <si>
    <t>Aquí tienes tu recompensa por alcanzar el puesto n.º {1} en la recompensa por clasificación de temporada.\r\n\r\nComprueba que tienes espacio suficiente en la bolsa antes de recogerla.\r\n\r\nGracias.</t>
  </si>
  <si>
    <t>Aqui está a sua recompensa por alcançar o {1}.º lugar na Recompensa da classificação da temporada.\r\n\r\nVerifique o espaço disponível na sua bolsa antes de a receber.\r\n\r\nObrigado.</t>
  </si>
  <si>
    <t>รางวัลการบริจาค</t>
  </si>
  <si>
    <t>Recompensa por donación</t>
  </si>
  <si>
    <t>Recompensa de doação</t>
  </si>
  <si>
    <t>นี่คือรางวัลการบริจาคให้กับแคลนของคุณ</t>
  </si>
  <si>
    <t>Aquí tienes tu recompensa por donación al clan.</t>
  </si>
  <si>
    <t>Aqui está a sua recompensa de doação do clã.</t>
  </si>
  <si>
    <t>ดินแดน</t>
  </si>
  <si>
    <t>Territorio</t>
  </si>
  <si>
    <t>Território</t>
  </si>
  <si>
    <t>แคลน</t>
  </si>
  <si>
    <t>Clã</t>
  </si>
  <si>
    <t>ชนะ</t>
  </si>
  <si>
    <t>Victoria</t>
  </si>
  <si>
    <t>Vitória</t>
  </si>
  <si>
    <t>รับ</t>
  </si>
  <si>
    <t>Obtener</t>
  </si>
  <si>
    <t>Obter</t>
  </si>
  <si>
    <t>Recuperar</t>
  </si>
  <si>
    <t>ละทิ้ง</t>
  </si>
  <si>
    <t>Abandonar</t>
  </si>
  <si>
    <t>โกดังเต็ม</t>
  </si>
  <si>
    <t>El almacén está lleno.</t>
  </si>
  <si>
    <t>O armazém está cheio.</t>
  </si>
  <si>
    <t>แคลนของคุณได้ละทิ้งดินแดน {1} \r\n สิทธิประโยชน์จากดินแดน {2} ไม่พร้อมให้ใช้งานอีกต่อไป</t>
  </si>
  <si>
    <t>Tu clan ha abandonado el territorio de {1}.\r\nLos beneficios del territorio de {2} ya no están disponibles.</t>
  </si>
  <si>
    <t>O seu clã abandonou o território {1}.\r\nOs benefícios do território {2} já não estão disponíveis.</t>
  </si>
  <si>
    <t>ภารกิจ</t>
  </si>
  <si>
    <t>Misión</t>
  </si>
  <si>
    <t>Missão</t>
  </si>
  <si>
    <t>ภารกิจเสร็จสมบูรณ์</t>
  </si>
  <si>
    <t>Misión completada</t>
  </si>
  <si>
    <t>Missão concluída</t>
  </si>
  <si>
    <t>คำขอเสร็จสมบูรณ์</t>
  </si>
  <si>
    <t>Petición completada</t>
  </si>
  <si>
    <t>Pedido concluído</t>
  </si>
  <si>
    <t>พ่ายแพ้การต่อสู้</t>
  </si>
  <si>
    <t>Batalla perdida</t>
  </si>
  <si>
    <t>Derrota em batalha</t>
  </si>
  <si>
    <t>คุณพ่ายแพ้การต่อสู้</t>
  </si>
  <si>
    <t>Has perdido la batalla.</t>
  </si>
  <si>
    <t>Perdeu a batalha.</t>
  </si>
  <si>
    <t>คุณเรด {1} ได้สำเร็จแล้ว\r\nขอแสดงความยินดีต่อชัยชนะของคุณ</t>
  </si>
  <si>
    <t>Foi bem sucedido no raide {1}.\r\nParabéns pela sua vitória.</t>
  </si>
  <si>
    <t>Has completado el Asalto {1}.\r\nEnhorabuena por la victoria.</t>
  </si>
  <si>
    <t>โปรดระวังบทลงโทษการตายนับจากนี้</t>
  </si>
  <si>
    <t>De ahora en adelante, ten cuidado con la penalización por muerte.</t>
  </si>
  <si>
    <t>Cuidado com a penalidade por morrer a partir de agora.</t>
  </si>
  <si>
    <t>!</t>
  </si>
  <si>
    <t>국내업데이트</t>
  </si>
  <si>
    <t>국내업데이트 날짜를 MM.YY.DD 형식으로 기입</t>
  </si>
  <si>
    <t>수정업데이트</t>
  </si>
  <si>
    <t>국내 수정업데이트 날짜를 MM.YY.DD 형식으로 기입</t>
  </si>
  <si>
    <t>글로벌업데이트</t>
  </si>
  <si>
    <t>글로벌 업데이트 날짜를 MM.YY.DD 형식으로 기입</t>
  </si>
  <si>
    <t>DataOnOff_G</t>
  </si>
  <si>
    <t>글로벌 OnOff</t>
  </si>
  <si>
    <t>글로벌 데이터의 OnOff 값 / 0:적용안함, 1:추출적용</t>
  </si>
  <si>
    <t>DRACO 일일  제련량이 초과하여 요청하신 제련이 실패하였습니다.</t>
    <phoneticPr fontId="1" type="noConversion"/>
  </si>
  <si>
    <t>La guerra de clan se ha aceptado.</t>
  </si>
  <si>
    <t>คำขอพันธมิตรของแคลนถูกปฏิเสธแล้ว</t>
  </si>
  <si>
    <t>La solicitud de alianza de clan se ha rechazado.</t>
  </si>
  <si>
    <t>O pedido de aliança de clã foi rejeitado.</t>
  </si>
  <si>
    <t>{1} ทรัพยากรของรางวัลแห่งชัยชนะได้หายไปเนื่องจากโกดังสินค้าของแคลนเต็ม\r\n\r\nขาดทุน: {2} {3}</t>
  </si>
  <si>
    <t>Se han perdido recursos de recompensa de la victoria en {1} porque el almacén del clan está lleno.\r\n\r\nPérdidas: {2} {3}</t>
  </si>
  <si>
    <t>Os recursos de recompensa de vitória {1} foram perdidos porque o armazém do clã está cheio.\r\n\r\nDerrotas: {2} {3}</t>
  </si>
  <si>
    <t>定期メンテナンスの報酬です</t>
  </si>
  <si>
    <t>ファイルダウンロード報酬です</t>
  </si>
  <si>
    <t>ボイスファイルダウンロード完了に対する報酬を支給します\r\n\r\nカバンの空きスロットを確認してから、お受け取りください</t>
  </si>
  <si>
    <t>決闘場個人戦の初回順位報酬が支給されました\r\n\r\n初回順位報酬は、その順位を達成した時に1回のみ獲得できます\r\n\r\n挑戦を続け、順位を上げていきましょう</t>
  </si>
  <si>
    <t>決闘場の順位を奪われ、報酬を獲得する資格を剥奪されました\r\n\r\n日間順位報酬を獲得するには、再度順位を勝ち取ってください</t>
  </si>
  <si>
    <t>獲得した{1}が攻撃を受けています\r\n\r\n急いで防御しましょう</t>
  </si>
  <si>
    <t>勝利報酬を遺失しました</t>
  </si>
  <si>
    <t>門派登録の招待を受けました</t>
  </si>
  <si>
    <t>{1}門派から登録勧誘の招待を受けました\r\n\r\n以下の「招待確認」ボタンをタッチすると、招待した門派を確認できます\r\n\r\n門派に登録すると、さらに多くの特典を獲得できます</t>
  </si>
  <si>
    <t>門派登録が承認されました</t>
  </si>
  <si>
    <t>門派から脱退しました</t>
  </si>
  <si>
    <t>門派から追放されました</t>
  </si>
  <si>
    <t>購入したアイテムが届きました</t>
  </si>
  <si>
    <t>門派商店で購入したアイテムをメールでお届けします\r\n\r\nカバンの空きスロットを確認してからお受け取りください</t>
  </si>
  <si>
    <t>門派から招待を受けました</t>
  </si>
  <si>
    <t>{1}門派があなたを招待しました\r\n\r\n以下の「招待確認」ボタンをタッチすると、招待した門派を確認できます</t>
  </si>
  <si>
    <t>{1}の初回クリアに成功したので、次の報酬を支給します\r\n\r\nカバンの空きスロットを確認してから、お受け取りください</t>
  </si>
  <si>
    <t>日間貢献度{1}位を達成したので、報酬を支給します\r\n\r\nカバンの空きスロットを確認してから、お受け取りください</t>
  </si>
  <si>
    <t>週間貢献度{1}位を達成したので、報酬を支給します\r\n\r\nカバンの空きスロットを確認してから、お受け取りください</t>
  </si>
  <si>
    <t>シーズンランキング{1}位を達成したので、報酬を支給します\r\n\r\nカバンの空きスロットを確認してから、お受け取りください</t>
  </si>
  <si>
    <t>門派寄付報酬です</t>
  </si>
  <si>
    <t>門派戦争に応戦しました</t>
  </si>
  <si>
    <t>門派挑戦の報酬が届きました</t>
  </si>
  <si>
    <t>{1}の初回クリアに成功したため、次の報酬を支給します\r\n\r\nカバンの空きスロットをご確認のうえ、お受け取りください</t>
  </si>
  <si>
    <t>門派同盟要請が拒否されました</t>
  </si>
  <si>
    <t>倉庫がいっぱいです</t>
  </si>
  <si>
    <t>所属門派が{1}領地の所有権を諦めました\r\nこれから{2}領地に関する特典をご利用いただけません</t>
  </si>
  <si>
    <t>門派倉庫がいっぱいのため{1}勝利報酬として支給された財貨が倉庫に保存されず、消失しました\r\n\r\n消失内訳：{2}{3}</t>
  </si>
  <si>
    <t>戦闘で敗北しました</t>
  </si>
  <si>
    <t>{1}討伐に成功しました\r\n討伐成功、おめでとうございます</t>
  </si>
  <si>
    <t>死亡ペナルティにご注意ください</t>
  </si>
  <si>
    <t>공격받고 있습니다.</t>
  </si>
  <si>
    <t>기간만료</t>
  </si>
  <si>
    <t>D.S.P 당첨 아이템 발송</t>
    <phoneticPr fontId="1" type="noConversion"/>
  </si>
  <si>
    <t>D.S.P 당첨 아이템 발송 안내</t>
    <phoneticPr fontId="1" type="noConversion"/>
  </si>
  <si>
    <t>ของรางวัลการท้าทายของแคลน</t>
  </si>
  <si>
    <t>Recompensa de Desafío de Clan</t>
  </si>
  <si>
    <t>Recompensa do Desafio do Clã</t>
  </si>
  <si>
    <t>รางวัลการท้าทายของแคลนคุณมาถึงแล้ว</t>
  </si>
  <si>
    <t>Tu recompensa de Desafío de Clan ha llegado.</t>
  </si>
  <si>
    <t>Sua recompensa do Desafio do Clã chegou.</t>
  </si>
  <si>
    <t>เคลียร์ท้าทายครั้งแรก</t>
  </si>
  <si>
    <t>Desafío Primero Despejado</t>
  </si>
  <si>
    <t>Primeiro Desafio Claro</t>
  </si>
  <si>
    <t>รางวัลการท้าทายครั้งแรก</t>
  </si>
  <si>
    <t>Recompensa Primera Despejada</t>
  </si>
  <si>
    <t>Recompensa pelo Primeiro Desafio Claro</t>
  </si>
  <si>
    <t>นี่คือรางวัลของคุณสำหรับการเคลียร์ {1} เป็นครั้งแรก\r\n\r\nตรวจสอบพื้นที่ว่างในกระเป๋าของคุณก่อนรับ\r\n\r\nขอบคุณ</t>
  </si>
  <si>
    <t>Aquí tienes tu recompensa por despejar {1} por primera vez.\r\n\r\n Comprueba el espacio disponible en tu bolsa antes de recogerla.\r\n\r\n Gracias.</t>
  </si>
  <si>
    <t>Aqui está sua recompensa por limpar {1} pela primeira vez.\r\n\r\n Verifique o espaço disponível em sua bolsa antes de coletá-la.\r\n\r\nObrigado.</t>
  </si>
  <si>
    <t>금화 지급</t>
    <phoneticPr fontId="1" type="noConversion"/>
  </si>
  <si>
    <t>금화가 지급되었습니다.</t>
    <phoneticPr fontId="1" type="noConversion"/>
  </si>
  <si>
    <t>[ {1} ] 문파의 {2} 님이 [ {3} ] 영지 창고의 {4} {5}개를 보내주었습니다.</t>
    <phoneticPr fontId="1" type="noConversion"/>
  </si>
  <si>
    <t>봉인 금액을 반환해 드립니다.</t>
    <phoneticPr fontId="1" type="noConversion"/>
  </si>
  <si>
    <t>2021.11.02</t>
    <phoneticPr fontId="1" type="noConversion"/>
  </si>
  <si>
    <t>2021.12.14</t>
    <phoneticPr fontId="1" type="noConversion"/>
  </si>
  <si>
    <t>캐릭터 봉인 실패</t>
    <phoneticPr fontId="1" type="noConversion"/>
  </si>
  <si>
    <t>요청하신 캐릭터 봉인에 실패하였습니다.\r\n\r\n실패한 금화는 다시 반환하여 드립니다.\r\n감사합니다.</t>
    <phoneticPr fontId="1" type="noConversion"/>
  </si>
  <si>
    <t>NFT 캐릭터 등록 실패</t>
    <phoneticPr fontId="1" type="noConversion"/>
  </si>
  <si>
    <t>NFT 캐릭터 등록 금액을 반환해 드립니다.</t>
    <phoneticPr fontId="1" type="noConversion"/>
  </si>
  <si>
    <t>요청하신 NFT 캐릭터 등록에 실패하였습니다.\r\n\r\n실패한 금화는 다시 반환하여 드립니다.\r\n감사합니다.</t>
    <phoneticPr fontId="1" type="noConversion"/>
  </si>
  <si>
    <t>2021.11.30</t>
    <phoneticPr fontId="1" type="noConversion"/>
  </si>
  <si>
    <t>EXD에 등록한 아이템이 판매 되었습니다.</t>
    <phoneticPr fontId="1" type="noConversion"/>
  </si>
  <si>
    <t>EXD 판매 완료 안내</t>
    <phoneticPr fontId="1" type="noConversion"/>
  </si>
  <si>
    <t>EXD 구매 완료 안내</t>
    <phoneticPr fontId="1" type="noConversion"/>
  </si>
  <si>
    <t>EXD에서 구매한 아이템이 지급 되었습니다.</t>
    <phoneticPr fontId="1" type="noConversion"/>
  </si>
  <si>
    <t>EXD sale complete</t>
  </si>
  <si>
    <t>EXD purchase complete</t>
  </si>
  <si>
    <t>The purchased item fron EXD has been delivered.</t>
  </si>
  <si>
    <t>EXD販賣完成說明</t>
  </si>
  <si>
    <t>EXD贩卖完成说明</t>
  </si>
  <si>
    <t>EXD売却完了案内</t>
  </si>
  <si>
    <t>ขาย EXD เสร็จสมบูรณ์</t>
  </si>
  <si>
    <t>Venta de EXD completa</t>
  </si>
  <si>
    <t>Venda de EXD completa</t>
  </si>
  <si>
    <t>EXD購買完成說明</t>
  </si>
  <si>
    <t>EXD购买完成说明</t>
  </si>
  <si>
    <t>EXD購入完了案内</t>
  </si>
  <si>
    <t>การซื้อ EXD เสร็จสมบูรณ์</t>
  </si>
  <si>
    <t>Compra de EXD completa</t>
  </si>
  <si>
    <t>在EXD購買的道具已發放。</t>
  </si>
  <si>
    <t>在EXD购买的道具已发放。</t>
  </si>
  <si>
    <t>EXDで購入したアイテムが支給されました</t>
  </si>
  <si>
    <t>ส่งไอเทมที่ซื้อจาก EXD เรียบร้อยแล้ว</t>
  </si>
  <si>
    <t>El artículo comprado de EXD ha sido entregado.</t>
  </si>
  <si>
    <t>O item comprado de EXD foi entregue.</t>
  </si>
  <si>
    <t>약탈전</t>
  </si>
  <si>
    <t>DRACO 제련에 실패하였습니다.\r\nDRACO 일일 제련량을 초과 하였습니다.</t>
    <phoneticPr fontId="1" type="noConversion"/>
  </si>
  <si>
    <t>DRACO 제련에 실패하였습니다.\r\nDRACO 총 제련량을 초과 하였습니다.</t>
    <phoneticPr fontId="1" type="noConversion"/>
  </si>
  <si>
    <t>D.S.P 당첨을 축하합니다. \r\n\r\n당첨 아이템 수량: {1} \r\n당첨 아이템 이름: {2}\r\n\r\n 당첨된 아이템은 XDRACO 창고에서 확인할 수 있습니다.</t>
    <phoneticPr fontId="1" type="noConversion"/>
  </si>
  <si>
    <t>Parabéns por ganhar o D.S.P! \r\n\r\nMontante do Item: {1}\r\nNome do item: {2}\r\n\r\n O item pode ser verificado no armazém de XDRACO.</t>
    <phoneticPr fontId="1" type="noConversion"/>
  </si>
  <si>
    <t>우편 발송 실패</t>
    <phoneticPr fontId="1" type="noConversion"/>
  </si>
  <si>
    <t>우편 발송 실패 하였습니다.</t>
    <phoneticPr fontId="1" type="noConversion"/>
  </si>
  <si>
    <t>발송하신 우편에 캐릭터가 존재하지 않아 우편 발송에 실패하였습니다.\r\n우편 발송 금액 환불 : {1}</t>
    <phoneticPr fontId="1" type="noConversion"/>
  </si>
  <si>
    <t>약탈경고</t>
  </si>
  <si>
    <t>약탈결과</t>
  </si>
  <si>
    <t>문파 전쟁 종료</t>
  </si>
  <si>
    <t>문파 전쟁이 종료되었습니다.</t>
  </si>
  <si>
    <t>22.02.08</t>
    <phoneticPr fontId="1" type="noConversion"/>
  </si>
  <si>
    <t>2022.02.08</t>
    <phoneticPr fontId="1" type="noConversion"/>
  </si>
  <si>
    <t>It is under attack.</t>
  </si>
  <si>
    <t>正在遭受攻擊。</t>
  </si>
  <si>
    <t>正在遭受攻击。</t>
  </si>
  <si>
    <t>攻撃を受けています。</t>
  </si>
  <si>
    <t>กำลังถูกโจมตี</t>
  </si>
  <si>
    <t>Está siendo atacado.</t>
  </si>
  <si>
    <t>Está sendo atacado.</t>
  </si>
  <si>
    <t>Expired</t>
  </si>
  <si>
    <t>已到期</t>
  </si>
  <si>
    <t>หมดอายุ</t>
  </si>
  <si>
    <t>Expirado</t>
  </si>
  <si>
    <t>Duração Expirada</t>
  </si>
  <si>
    <t>2022.01.11</t>
    <phoneticPr fontId="1" type="noConversion"/>
  </si>
  <si>
    <t>2022.01.25</t>
    <phoneticPr fontId="1" type="noConversion"/>
  </si>
  <si>
    <t>2021.10.06</t>
  </si>
  <si>
    <t>2022.02.22</t>
  </si>
  <si>
    <t>문파 동맹요청</t>
  </si>
  <si>
    <t>문파 동맹거절</t>
  </si>
  <si>
    <t>문파 동맹요청이 거절 되었습니다.</t>
  </si>
  <si>
    <t>아이템 이동 안내</t>
  </si>
  <si>
    <t>아이템이 웹 가방으로 이동 하였습니다.</t>
  </si>
  <si>
    <t>요청하신 HYDRA 정제에 실패하였습니다.\r\n\r\n정제 요청 수량 : {1} 개\r\n정제 비용 : Septaria {2} 개\r\n\r\n정제에 실패한 재료는 다시 반환하여 드립니다.\r\n\r\n감사합니다.</t>
    <phoneticPr fontId="1" type="noConversion"/>
  </si>
  <si>
    <t>아이템 이동 안내</t>
    <phoneticPr fontId="1" type="noConversion"/>
  </si>
  <si>
    <t>Clan War Ended</t>
  </si>
  <si>
    <t>門派戰爭結束</t>
  </si>
  <si>
    <t>门派战争结束</t>
  </si>
  <si>
    <t>門派戦争終了</t>
  </si>
  <si>
    <t>สิ้นสุดสงครามแคลน</t>
  </si>
  <si>
    <t>Conclusión de la guerra de clanes</t>
  </si>
  <si>
    <t>A Guerra de Clãs Terminou</t>
  </si>
  <si>
    <t>The clan war has ended.</t>
  </si>
  <si>
    <t>門派戰爭已結束。</t>
  </si>
  <si>
    <t>门派战争已结束。</t>
  </si>
  <si>
    <t>門派戦争が終了しました。</t>
  </si>
  <si>
    <t>สงครามแคลนสิ้นสุดลงแล้ว</t>
  </si>
  <si>
    <t>La guerra de clanes ha concluido.</t>
  </si>
  <si>
    <t>A Guerra de Clãs terminou.</t>
  </si>
  <si>
    <t>Fim da Guerra de Clãs</t>
  </si>
  <si>
    <t>Item Move Notice</t>
  </si>
  <si>
    <t>道具移動說明</t>
  </si>
  <si>
    <t>道具移动说明</t>
  </si>
  <si>
    <t>アイテム移動案内</t>
  </si>
  <si>
    <t>แนะนำการย้ายไอเทม</t>
  </si>
  <si>
    <t>Traslado de objetos</t>
  </si>
  <si>
    <t>Aviso de movimentação de item</t>
  </si>
  <si>
    <t>The item was moved to your Web Bag.</t>
  </si>
  <si>
    <t>道具已移動至網頁背包。</t>
  </si>
  <si>
    <t>道具已移动至网页背包。</t>
  </si>
  <si>
    <t>アイテムをWEBカバンへ移動しました。</t>
  </si>
  <si>
    <t>ย้ายไอเทมไปยังกระเป๋าเว็บแล้ว</t>
  </si>
  <si>
    <t>Los objetos se han trasladado a la bolsa web.</t>
  </si>
  <si>
    <t>O item foi movido para a Bolsa Web.</t>
  </si>
  <si>
    <t>{1} 문파에서 공격제외 문파 등록을 해제 하였습니다.\r\n\r\n아래의 문파정보확인 버튼을 터치하여 공격제외문파로 등록을 해제할 수 있습니다.\r\n\r\n감사합니다.</t>
    <phoneticPr fontId="1" type="noConversion"/>
  </si>
  <si>
    <t>[{1}] {2} 문파에서 공격제외 문파 등록을 해제 하였습니다.\r\n\r\n아래의 문파정보확인 버튼을 터치하여 공격제외문파로 등록을 해제할 수 있습니다.\r\n\r\n감사합니다.</t>
    <phoneticPr fontId="1" type="noConversion"/>
  </si>
  <si>
    <t>2022.04.28</t>
  </si>
  <si>
    <t>已應戰門派戰爭。</t>
  </si>
  <si>
    <t>已应战门派战争。</t>
  </si>
  <si>
    <t>เปิดศึกตอบโต้กลับสงครามแคลนแล้ว</t>
  </si>
  <si>
    <t>A guerra de clãs foi aceita.</t>
  </si>
  <si>
    <t>2022.04.28</t>
    <phoneticPr fontId="1" type="noConversion"/>
  </si>
  <si>
    <t>2022.04.19</t>
  </si>
  <si>
    <t>2022.04.19</t>
    <phoneticPr fontId="1" type="noConversion"/>
  </si>
  <si>
    <t>Pedido de Aliança de Clãs</t>
  </si>
  <si>
    <t>拒絕門派結盟</t>
  </si>
  <si>
    <t>拒绝门派结盟</t>
  </si>
  <si>
    <t>ปฏิเสธพันธมิตรแคลน</t>
  </si>
  <si>
    <t>Alianza del clan rechazada</t>
  </si>
  <si>
    <t>Rejeição de Aliança de Clãs</t>
  </si>
  <si>
    <t>門派同盟要請が拒否されました。</t>
  </si>
  <si>
    <t>ปฏิเสธคำขอเป็นพันธมิตรแคลนแล้ว</t>
  </si>
  <si>
    <t>La solicitud de alianza del clan ha sido rechazada.</t>
  </si>
  <si>
    <t>門派戦争に応戦しました。</t>
  </si>
  <si>
    <t>Se te ha declarado venganza.</t>
  </si>
  <si>
    <t>[{1}] {2} 문파와 전쟁이 종료되었습니다.\r\n&lt;span color="#92CDFF"&gt;내 문파원이 처치당한 수 : &lt;/&gt;\r\nTotal {3} Kills\r\n&lt;span color="#FF3333"&gt;적 문파원을 처치한 수 : &lt;/&gt;\r\nTotal {4} Kills\r\n감사합니다.</t>
    <phoneticPr fontId="1" type="noConversion"/>
  </si>
  <si>
    <t>2022.05.12</t>
    <phoneticPr fontId="1" type="noConversion"/>
  </si>
  <si>
    <t>2022.07.12</t>
    <phoneticPr fontId="1" type="noConversion"/>
  </si>
  <si>
    <t>{1} 문파와 전쟁이 종료되었습니다.\r\n&lt;span color="#92CDFF"&gt;내 문파원이 처치당한 수 : &lt;/&gt;\r\nTotal {2} Kills\r\n&lt;span color="#FF3333"&gt;적 문파원을 처치한 수 : &lt;/&gt;\r\nTotal {3} Kills\r\n감사합니다.</t>
    <phoneticPr fontId="1" type="noConversion"/>
  </si>
  <si>
    <t>Heist</t>
  </si>
  <si>
    <t>掠奪戰</t>
  </si>
  <si>
    <t>掠夺战</t>
  </si>
  <si>
    <t>略奪戦</t>
  </si>
  <si>
    <t>การปล้นสะดม</t>
  </si>
  <si>
    <t>Saqueos</t>
  </si>
  <si>
    <t>Saque</t>
  </si>
  <si>
    <t>Heist Warning</t>
  </si>
  <si>
    <t>掠奪警告</t>
  </si>
  <si>
    <t>掠夺警告</t>
  </si>
  <si>
    <t>略奪警告</t>
  </si>
  <si>
    <t>คำเตือนการปล้นสะดม</t>
  </si>
  <si>
    <t>Advertencia de saqueo</t>
  </si>
  <si>
    <t>Alerta de Saque</t>
  </si>
  <si>
    <t>Heist Results</t>
  </si>
  <si>
    <t>掠奪結果</t>
  </si>
  <si>
    <t>掠夺结果</t>
  </si>
  <si>
    <t>略奪結果</t>
  </si>
  <si>
    <t>ผลการปล้นสะดม</t>
  </si>
  <si>
    <t>Resultado del saqueo</t>
  </si>
  <si>
    <t>Resultado do Saque</t>
  </si>
  <si>
    <t>어둠의제단</t>
    <phoneticPr fontId="1" type="noConversion"/>
  </si>
  <si>
    <t>생성</t>
    <phoneticPr fontId="1" type="noConversion"/>
  </si>
  <si>
    <t>파괴</t>
    <phoneticPr fontId="1" type="noConversion"/>
  </si>
  <si>
    <t>[{1}] 지역의 어둠의제단이 파괴되었습니다. 
제부터 [{2}] 지역 흑철 세금은 {3}%로 적용됩니다.</t>
  </si>
  <si>
    <t>[{1}] 지역의 어둠의제단이 파괴되었습니다. 
제부터 [{2}] 지역 흑철 세금은 {3}%로 적용됩니다.</t>
    <phoneticPr fontId="1" type="noConversion"/>
  </si>
  <si>
    <t>[{1}] 지역에 어둠의제단이 생성되어 [{2}] 지역의 흑철 세입 감소 효과가 사라졌습니다. 이제부터 흑철 세율은 {3}% 로 적용됩니다.</t>
    <phoneticPr fontId="1" type="noConversion"/>
  </si>
  <si>
    <t>협동임무</t>
    <phoneticPr fontId="1" type="noConversion"/>
  </si>
  <si>
    <t>39001~40000</t>
    <phoneticPr fontId="1" type="noConversion"/>
  </si>
  <si>
    <t>40001~41000</t>
    <phoneticPr fontId="1" type="noConversion"/>
  </si>
  <si>
    <t>41001~42000</t>
    <phoneticPr fontId="1" type="noConversion"/>
  </si>
  <si>
    <t>협동보스</t>
  </si>
  <si>
    <t>협동보스 소환 보상</t>
  </si>
  <si>
    <t>일언무천장에게 마지막 일격을 가하여 다음의 보상을 전해드립니다.\r\n\r\n가방의 여유공간을 확인하시고 수령하시기 바랍니다.\r\n\r\n감사합니다.</t>
  </si>
  <si>
    <t>천후라호장에게 마지막 일격을 가하여 다음의 보상을 전해드립니다.\r\n\r\n가방의 여유공간을 확인하시고 수령하시기 바랍니다.\r\n\r\n감사합니다.</t>
  </si>
  <si>
    <t>고천홍지장에게 마지막 일격을 가하여 다음의 보상을 전해드립니다.\r\n\r\n가방의 여유공간을 확인하시고 수령하시기 바랍니다.\r\n\r\n감사합니다.</t>
  </si>
  <si>
    <t>마락다천장에게 마지막 일격을 가하여 다음의 보상을 전해드립니다.\r\n\r\n가방의 여유공간을 확인하시고 수령하시기 바랍니다.\r\n\r\n감사합니다.</t>
  </si>
  <si>
    <t>차우거마장에게 마지막 일격을 가하여 다음의 보상을 전해드립니다.\r\n\r\n가방의 여유공간을 확인하시고 수령하시기 바랍니다.\r\n\r\n감사합니다.</t>
  </si>
  <si>
    <t>백월창갑장에게 마지막 일격을 가하여 다음의 보상을 전해드립니다.\r\n\r\n가방의 여유공간을 확인하시고 수령하시기 바랍니다.\r\n\r\n감사합니다.</t>
  </si>
  <si>
    <t>구장취월장에게 마지막 일격을 가하여 다음의 보상을 전해드립니다.\r\n\r\n가방의 여유공간을 확인하시고 수령하시기 바랍니다.\r\n\r\n감사합니다.</t>
  </si>
  <si>
    <t>암괴녹호장에게 마지막 일격을 가하여 다음의 보상을 전해드립니다.\r\n\r\n가방의 여유공간을 확인하시고 수령하시기 바랍니다.\r\n\r\n감사합니다.</t>
  </si>
  <si>
    <t>화월괴여장에게 마지막 일격을 가하여 다음의 보상을 전해드립니다.\r\n\r\n가방의 여유공간을 확인하시고 수령하시기 바랍니다.\r\n\r\n감사합니다.</t>
  </si>
  <si>
    <t>창천주현장에게 마지막 일격을 가하여 다음의 보상을 전해드립니다.\r\n\r\n가방의 여유공간을 확인하시고 수령하시기 바랍니다.\r\n\r\n감사합니다.</t>
  </si>
  <si>
    <t>사북성 영지</t>
    <phoneticPr fontId="1" type="noConversion"/>
  </si>
  <si>
    <t>43001~44000</t>
    <phoneticPr fontId="1" type="noConversion"/>
  </si>
  <si>
    <t>44001~45000</t>
    <phoneticPr fontId="1" type="noConversion"/>
  </si>
  <si>
    <t>45001~46000</t>
    <phoneticPr fontId="1" type="noConversion"/>
  </si>
  <si>
    <t>지옥토벌 성공</t>
  </si>
  <si>
    <t>지옥토벌에 성공하였습니다.</t>
  </si>
  <si>
    <t>{1} 지옥토벌을 성공하였습니다.\r\n지옥토벌 성공을 축하합니다.</t>
  </si>
  <si>
    <t>지옥토벌 실패</t>
  </si>
  <si>
    <t>지옥토벌을 실패하였습니다.</t>
  </si>
  <si>
    <t>{1} 지옥토벌을 실패하였습니다.\r\n스스로 좀더 강해지거나 더 강한 인원을 섭외하여 재도전 해보세요.</t>
  </si>
  <si>
    <t>2022.10.04</t>
    <phoneticPr fontId="1" type="noConversion"/>
  </si>
  <si>
    <t>Hell Raid Successful</t>
  </si>
  <si>
    <t>地獄討伐成功</t>
  </si>
  <si>
    <t>地狱讨伐成功</t>
  </si>
  <si>
    <t>เรดนรกสำเร็จ</t>
  </si>
  <si>
    <t>Asalto infernal completada</t>
  </si>
  <si>
    <t>Sucesso no Raide Infernal</t>
  </si>
  <si>
    <t>You have successfully completed the Hell Raid.</t>
  </si>
  <si>
    <t>地獄討伐已成功。</t>
  </si>
  <si>
    <t>地狱讨伐成功。</t>
  </si>
  <si>
    <t>地獄討伐に成功しました。</t>
  </si>
  <si>
    <t>สำเร็จเรดนรกแล้ว</t>
  </si>
  <si>
    <t>Has completado el asalto infernal.</t>
  </si>
  <si>
    <t>Você foi bem-sucedido no Raide Infernal.</t>
  </si>
  <si>
    <t>{1}地獄討伐已成功。\r\n恭喜地獄討伐成功。</t>
  </si>
  <si>
    <t>{1}地狱讨伐成功。\r\n恭喜你成功通关地狱讨伐。</t>
  </si>
  <si>
    <t>{1}地獄討伐に成功しました\r\n地獄討伐成功、おめでとうございます</t>
  </si>
  <si>
    <t>{1}สำเร็จเรดนรกแล้ว\r\nยินดีด้วยที่สำเร็จเรดนรกแล้ว</t>
  </si>
  <si>
    <t>Has completado el asalto infernal de {1}.\r\nEnhorabuena por la victoria.</t>
  </si>
  <si>
    <t>Você foi bem-sucedido no Raide Infernal de {1}.\r\nParabéns pela sua vitória.</t>
  </si>
  <si>
    <t>Hell Raid Failed</t>
  </si>
  <si>
    <t>地獄討伐失敗</t>
  </si>
  <si>
    <t>地狱讨伐失败</t>
  </si>
  <si>
    <t>เรดนรกล้มเหลว</t>
  </si>
  <si>
    <t>Asalto infernal fallido</t>
  </si>
  <si>
    <t>Fracasso no Raide Infernal</t>
  </si>
  <si>
    <t>You have failed the Hell Raid.</t>
  </si>
  <si>
    <t>地獄討伐已失敗。</t>
  </si>
  <si>
    <t>地狱讨伐失败。</t>
  </si>
  <si>
    <t>地獄討伐に失敗しました。</t>
  </si>
  <si>
    <t>Has fallado el asalto infernal.</t>
  </si>
  <si>
    <t>Você fracassou no Raide Infernal.</t>
  </si>
  <si>
    <t>You have failed to complete the {1} raid.\r\nBecome stronger or gather powerful people to try again.</t>
  </si>
  <si>
    <t>{1}地獄討伐已失敗。\r\n試著讓自己變強，或是招募更強的人員再來重新挑戰吧。</t>
  </si>
  <si>
    <t>{1}地狱讨伐失败。\r\n请变得更加强大，或者邀请更强大的队员后重新挑战。</t>
  </si>
  <si>
    <t>{1}地獄討伐に失敗しました\r\n自ら成長して強くなるか、さらに強いメンバーを迎え入れて再挑戦してみましょう</t>
  </si>
  <si>
    <t>{1}เรดนรกล้มเหลว\r\nโปรดลองใหม่อีกครั้งหลังจากแข็งแกร่งขึ้นหรือมีสมาชิกที่แข็งแรงกว่านี้</t>
  </si>
  <si>
    <t>Has fracasado en el asalto infernal de {1}.\r\nHazte más fuerte o inténtalo de nuevo con un grupo más fuerte.</t>
  </si>
  <si>
    <t>Você fracassou no Raide Infernal de {1}.\r\nFique mais forte ou tente novamente com uma equipe mais forte.</t>
  </si>
  <si>
    <t>Cooperation Boss</t>
  </si>
  <si>
    <t>協同首領</t>
  </si>
  <si>
    <t>协同首领</t>
  </si>
  <si>
    <t>協力ボス</t>
  </si>
  <si>
    <t>บอสร่วมมือ</t>
  </si>
  <si>
    <t>Jefe cooperativo</t>
  </si>
  <si>
    <t>Boss Cooperativo</t>
  </si>
  <si>
    <t>Cooperation Boss Summon Reward</t>
  </si>
  <si>
    <t>協同首領召喚獎勵</t>
  </si>
  <si>
    <t>协同首领召唤奖励</t>
  </si>
  <si>
    <t>協力ボス召喚報酬</t>
  </si>
  <si>
    <t>รางวัลอัญเชิญบอสร่วมมือ</t>
  </si>
  <si>
    <t>Recompensa de invocación de jefe cooperativo</t>
  </si>
  <si>
    <t>Recompensa de Invocação do Boss Cooperativo</t>
  </si>
  <si>
    <t>You have been given the following reward for dealing the final blow to the Spiked Mace General.\r\n\r\nCheck the available space in your bag before collecting it.\r\n\r\nThank you.</t>
  </si>
  <si>
    <t>因對一言武天將施予最後一擊，給予以下獎勵。\r\n\r\n請確認背包空間後領取獎勵。\r\n\r\n謝謝。</t>
  </si>
  <si>
    <t>您对一言武天将造成了最后一击，特此发放以下奖励。\r\n\r\n请确认背包的剩余空间后领取奖励。\r\n\r\n谢谢。</t>
  </si>
  <si>
    <t>一言武天将に最後の一撃を与えたため次の報酬を支給します\r\n\r\nカバンの空きスロットを確認してからお受け取りください\r\n\r\nありがとうございます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</si>
  <si>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เนื่องจากโจมตีรอบสุดท้ายใส่นายพลถือกระบองเหล็ก\r\n\r\nกรุณาตรวจสอบพื้นที่เหลือในกระเป๋า ก่อนที่จะเก็บ\r\n\r\nขอบคุณ</t>
  </si>
  <si>
    <t>Recibirás las siguientes recompensas por causar el último golpe al General maza de púas.\r\n\r\nRecibe las recompensas tras verificar el espacio en la bolsa.\r\n\r\nGracias.</t>
  </si>
  <si>
    <t>Aqui está sua recompensa por desferir o último golpe no General Rino da Clava de Ferro.\r\n\r\nVerifique o espaço disponível na sua bolsa antes de a receber.\r\n\r\nObrigado.</t>
  </si>
  <si>
    <t>You have been given the following reward for dealing the final blow to the Winged Demon Axe General.\r\n\r\nCheck the available space in your bag before collecting it.\r\n\r\nThank you.</t>
  </si>
  <si>
    <t>因對天厚羅豪將施予最後一擊，給予以下獎勵。\r\n\r\n請確認背包空間後領取獎勵。\r\n\r\n謝謝。</t>
  </si>
  <si>
    <t>您对天侯罗虎将造成了最后一击，特此发放以下奖励。\r\n\r\n请确认背包的剩余空间后领取奖励。\r\n\r\n谢谢。</t>
  </si>
  <si>
    <t>天厚羅豪将に最後の一撃を与えたため次の報酬を支給します\r\n\r\nカバンの空きスロットを確認してからお受け取りください\r\n\r\nありがとうございます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</si>
  <si>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เนื่องจากโจมตีรอบสุดท้ายใส่นายพลเหยี่ยวถือขวาน\r\n\r\nกรุณาตรวจสอบพื้นที่เหลือในกระเป๋า ก่อนที่จะเก็บ\r\n\r\nขอบคุณ</t>
  </si>
  <si>
    <t>Recibirás las siguientes recompensas por causar el último golpe al General hacha de demonio alado.\r\n\r\nRecibe las recompensas tras verificar el espacio en la bolsa.\r\n\r\nGracias.</t>
  </si>
  <si>
    <t>Aqui está sua recompensa por desferir o último golpe no General Grifo Monstruoso Cortante.\r\n\r\nVerifique o espaço disponível na sua bolsa antes de a receber.\r\n\r\nObrigado.</t>
  </si>
  <si>
    <t>You have been given the following reward for dealing the final blow to the Monk Pillar General.\r\n\r\nCheck the available space in your bag before collecting it.\r\n\r\nThank you.</t>
  </si>
  <si>
    <t>因對古天泓志將施予最後一擊，給予以下獎勵。\r\n\r\n請確認背包空間後領取獎勵。\r\n\r\n謝謝。</t>
  </si>
  <si>
    <t>您对古天弘地将造成了最后一击，特此发放以下奖励。\r\n\r\n请确认背包的剩余空间后领取奖励。\r\n\r\n谢谢。</t>
  </si>
  <si>
    <t>古天弘志将に最後の一撃を与えたため次の報酬を支給します\r\n\r\nカバンの空きスロットを確認してからお受け取りください\r\n\r\nありがとうございます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</si>
  <si>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เนื่องจากโจมตีรอบสุดท้ายใส่นายพลพระสงฆ์ถือเสา\r\n\r\nกรุณาตรวจสอบพื้นที่เหลือในกระเป๋า ก่อนที่จะเก็บ\r\n\r\nขอบคุณ</t>
  </si>
  <si>
    <t>Recibirás las siguientes recompensas por causar el último golpe al General pilar monje.\r\n\r\nRecibe las recompensas tras verificar el espacio en la bolsa.\r\n\r\nGracias.</t>
  </si>
  <si>
    <t>Aqui está sua recompensa por desferir o último golpe no General Monge do Pilar.\r\n\r\nVerifique o espaço disponível na sua bolsa antes de a receber.\r\n\r\nObrigado.</t>
  </si>
  <si>
    <t>You have been given the following reward for dealing the final blow to the Corrupted Demon Spider General.\r\n\r\nCheck the available space in your bag before collecting it.\r\n\r\nThank you.</t>
  </si>
  <si>
    <t>因對魔洛多天將施予最後一擊，給予以下獎勵。\r\n\r\n請確認背包空間後領取獎勵。\r\n\r\n謝謝。</t>
  </si>
  <si>
    <t>您对魔洛多天将造成了最后一击，特此发放以下奖励。\r\n\r\n请确认背包的剩余空间后领取奖励。\r\n\r\n谢谢。</t>
  </si>
  <si>
    <t>魔落多天将に最後の一撃を与えたため次の報酬を支給します\r\n\r\nカバンの空きスロットを確認してからお受け取りください\r\n\r\nありがとうございます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</si>
  <si>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เนื่องจากโจมตีรอบสุดท้ายใส่นายพลแมงมุมอสูร\r\n\r\nกรุณาตรวจสอบพื้นที่เหลือในกระเป๋า ก่อนที่จะเก็บ\r\n\r\nขอบคุณ</t>
  </si>
  <si>
    <t>Recibirás las siguientes recompensas por causar el último golpe al General demonio araña corrupto.\r\n\r\nRecibe las recompensas tras verificar el espacio en la bolsa.\r\n\r\nGracias.</t>
  </si>
  <si>
    <t>Aqui está sua recompensa por desferir o último golpe no General Aranha Demoníaca Corrupta.\r\n\r\nVerifique o espaço disponível na sua bolsa antes de a receber.\r\n\r\nObrigado.</t>
  </si>
  <si>
    <t>You have been given the following reward for dealing the final blow to the Raptor-riding Lance General.\r\n\r\nCheck the available space in your bag before collecting it.\r\n\r\nThank you.</t>
  </si>
  <si>
    <t>因對叉愚巨魔將施予最後一擊，給予以下獎勵。\r\n\r\n請確認背包空間後領取獎勵。\r\n\r\n謝謝。</t>
  </si>
  <si>
    <t>您对叉愚巨魔将造成了最后一击，特此发放以下奖励。\r\n\r\n请确认背包的剩余空间后领取奖励。\r\n\r\n谢谢。</t>
  </si>
  <si>
    <t>叉愚巨魔将に最後の一撃を与えたため次の報酬を支給します\r\n\r\nカバンの空きスロットを確認してからお受け取りください\r\n\r\nありがとうございます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</si>
  <si>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เนื่องจากโจมตีรอบสุดท้ายใส่นายพลหอกขี่สัตว์ประหลาด\r\n\r\nกรุณาตรวจสอบพื้นที่เหลือในกระเป๋า ก่อนที่จะเก็บ\r\n\r\nขอบคุณ</t>
  </si>
  <si>
    <t>Recibirás las siguientes recompensas por causar el último golpe al General de lanza raptor.\r\n\r\nRecibe las recompensas tras verificar el espacio en la bolsa.\r\n\r\nGracias.</t>
  </si>
  <si>
    <t>Aqui está sua recompensa por desferir o último golpe no General Lança Raptora.\r\n\r\nVerifique o espaço disponível na sua bolsa antes de a receber.\r\n\r\nObrigado.</t>
  </si>
  <si>
    <t>You have been given the following reward for dealing the final blow to the Hoary Lance General.\r\n\r\nCheck the available space in your bag before collecting it.\r\n\r\nThank you.</t>
  </si>
  <si>
    <t>因對白月槍甲將施予最後一擊，給予以下獎勵。\r\n\r\n請確認背包空間後領取獎勵。\r\n\r\n謝謝。</t>
  </si>
  <si>
    <t>您对白月枪甲将造成了最后一击，特此发放以下奖励。\r\n\r\n请确认背包的剩余空间后领取奖励。\r\n\r\n谢谢。</t>
  </si>
  <si>
    <t>白月槍甲将に最後の一撃を与えたため次の報酬を支給します\r\n\r\nカバンの空きスロットを確認してからお受け取りください\r\n\r\nありがとうございます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</si>
  <si>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เนื่องจากโจมตีรอบสุดท้ายใส่นายพลอาวุโสหนวดขาว\r\n\r\nกรุณาตรวจสอบพื้นที่เหลือในกระเป๋า ก่อนที่จะเก็บ\r\n\r\nขอบคุณ</t>
  </si>
  <si>
    <t>Recibirás las siguientes recompensas por causar el último golpe al General de lanza blanca.\r\n\r\nRecibe las recompensas tras verificar el espacio en la bolsa.\r\n\r\nGracias.</t>
  </si>
  <si>
    <t>Aqui está sua recompensa por desferir o último golpe no General da Lança Grisalha.\r\n\r\nVerifique o espaço disponível na sua bolsa antes de a receber.\r\n\r\nObrigado.</t>
  </si>
  <si>
    <t>You have been given the following reward for dealing the final blow to the Heavy Armor General.\r\n\r\nCheck the available space in your bag before collecting it.\r\n\r\nThank you.</t>
  </si>
  <si>
    <t>因對九丈醉月將施予最後一擊，給予以下獎勵。\r\n\r\n請確認背包空間後領取獎勵。\r\n\r\n謝謝。</t>
  </si>
  <si>
    <t>您对九章醉月将造成了最后一击，特此发放以下奖励。\r\n\r\n请确认背包的剩余空间后领取奖励。\r\n\r\n谢谢。</t>
  </si>
  <si>
    <t>九丈酔月将に最後の一撃を与えたため次の報酬を支給します\r\n\r\nカバンの空きスロットを確認してからお受け取りください\r\n\r\nありがとうございます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</si>
  <si>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เนื่องจากโจมตีรอบสุดท้ายใส่นายพลไร้หัวดาบใหญ่\r\n\r\nกรุณาตรวจสอบพื้นที่เหลือในกระเป๋า ก่อนที่จะเก็บ\r\n\r\nขอบคุณ</t>
  </si>
  <si>
    <t>Recibirás las siguientes recompensas por causar el último golpe al General de armadura pesada.\r\n\r\nRecibe las recompensas tras verificar el espacio en la bolsa.\r\n\r\nGracias.</t>
  </si>
  <si>
    <t>Aqui está sua recompensa por desferir o último golpe no General da Armadura Pesada.\r\n\r\nVerifique o espaço disponível na sua bolsa antes de a receber.\r\n\r\nObrigado.</t>
  </si>
  <si>
    <t>You have been given the following reward for dealing the final blow to the Green Stone Golem General.\r\n\r\nCheck the available space in your bag before collecting it.\r\n\r\nThank you.</t>
  </si>
  <si>
    <t>因對暗怪綠豪將施予最後一擊，給予以下獎勵。\r\n\r\n請確認背包空間後領取獎勵。\r\n\r\n謝謝。</t>
  </si>
  <si>
    <t>您对暗怪绿虎将造成了最后一击，特此发放以下奖励。\r\n\r\n请确认背包的剩余空间后领取奖励。\r\n\r\n谢谢。</t>
  </si>
  <si>
    <t>暗怪緑豪将に最後の一撃を与えたため次の報酬を支給します\r\n\r\nカバンの空きスロットを確認してからお受け取りください\r\n\r\nありがとうございます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</si>
  <si>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เนื่องจากโจมตีรอบสุดท้ายใส่นายพลอสูรหินเขียว\r\n\r\nกรุณาตรวจสอบพื้นที่เหลือในกระเป๋า ก่อนที่จะเก็บ\r\n\r\nขอบคุณ</t>
  </si>
  <si>
    <t>Recibirás las siguientes recompensas por causar el último golpe al General gólem de piedra verde.\r\n\r\nRecibe las recompensas tras verificar el espacio en la bolsa.\r\n\r\nGracias.</t>
  </si>
  <si>
    <t>Aqui está sua recompensa por desferir o último golpe no General Golem da Pedra Verde.\r\n\r\nVerifique o espaço disponível na sua bolsa antes de a receber.\r\n\r\nObrigado.</t>
  </si>
  <si>
    <t>You have been given the following reward for dealing the final blow to the Bloated Monk General.\r\n\r\nCheck the available space in your bag before collecting it.\r\n\r\nThank you.</t>
  </si>
  <si>
    <t>因對火月怪如將施予最後一擊，給予以下獎勵。\r\n\r\n請確認背包空間後領取獎勵。\r\n\r\n謝謝。</t>
  </si>
  <si>
    <t>您对花月怪如将造成了最后一击，特此发放以下奖励。\r\n\r\n请确认背包的剩余空间后领取奖励。\r\n\r\n谢谢。</t>
  </si>
  <si>
    <t>火月怪如将に最後の一撃を与えたため次の報酬を支給します\r\n\r\nカバンの空きスロットを確認してからお受け取りください\r\n\r\nありがとうございます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</si>
  <si>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เนื่องจากโจมตีรอบสุดท้ายใส่นายพลอ้วนที่คดโกง\r\n\r\nกรุณาตรวจสอบพื้นที่เหลือในกระเป๋า ก่อนที่จะเก็บ\r\n\r\nขอบคุณ</t>
  </si>
  <si>
    <t>Recibirás las siguientes recompensas por causar el último golpe al General monje hinchado.\r\n\r\nRecibe las recompensas tras verificar el espacio en la bolsa.\r\n\r\nGracias.</t>
  </si>
  <si>
    <t>Aqui está sua recompensa por desferir o último golpe no General Monge Corpulento.\r\n\r\nVerifique o espaço disponível na sua bolsa antes de a receber.\r\n\r\nObrigado.</t>
  </si>
  <si>
    <t>You have been given the following reward for dealing the final blow to the Azure Stone Golem General.\r\n\r\nCheck the available space in your bag before collecting it.\r\n\r\nThank you.</t>
  </si>
  <si>
    <t>因對蒼天朱玄將施予最後一擊，給予以下獎勵。\r\n\r\n請確認背包空間後領取獎勵。\r\n\r\n謝謝。</t>
  </si>
  <si>
    <t>您对苍天周玄将造成了最后一击，特此发放以下奖励。\r\n\r\n请确认背包的剩余空间后领取奖励。\r\n\r\n谢谢。</t>
  </si>
  <si>
    <t>蒼天主玄将に最後の一撃を与えたため次の報酬を支給します\r\n\r\nカバンの空きスロットを確認してからお受け取りください\r\n\r\nありがとうございます</t>
  </si>
  <si>
    <t>มอบรางวัลดังต่อไปนี้ เนื่องจากโจมตีรอบสุดท้ายใส่นายพลอสูรหินนภา\r\n\r\nกรุณาตรวจสอบพื้นที่เหลือในกระเป๋า ก่อนที่จะเก็บ\r\n\r\nขอบคุณ</t>
  </si>
  <si>
    <t>Recibirás las siguientes recompensas por causar el último golpe al General gólem de piedra azul.\r\n\r\nRecibe las recompensas tras verificar el espacio en la bolsa.\r\n\r\nGracias.</t>
  </si>
  <si>
    <t>Aqui está sua recompensa por desferir o último golpe no General Golem da Pedra Azul.\r\n\r\nVerifique o espaço disponível na sua bolsa antes de a receber.\r\n\r\nObrigado.</t>
  </si>
  <si>
    <t>2022.11.10</t>
    <phoneticPr fontId="1" type="noConversion"/>
  </si>
  <si>
    <t>국왕</t>
  </si>
  <si>
    <t>{1} 구역의 병사들이 패배하였습니다.\r\n이제부터 영지의 자원이 약탈될 수 있습니다.</t>
  </si>
  <si>
    <t>{1} 구역의 약탈전이 종료되었습니다.\r\n약탈된 재화는 영지 세금 입고 시 차감됩니다.\r\n\r\n약탈된 최종 흑철량: {2}</t>
  </si>
  <si>
    <t>수렵허가 선포</t>
  </si>
  <si>
    <t>채집독려 선포</t>
  </si>
  <si>
    <t>Level Reward</t>
  </si>
  <si>
    <t>等級達成獎勵</t>
  </si>
  <si>
    <t>等级达成奖励</t>
  </si>
  <si>
    <t>レベル達成報酬</t>
  </si>
  <si>
    <t>รางวัลบรรลุเลเวล</t>
  </si>
  <si>
    <t>Recompensa por alcanzar nv.</t>
  </si>
  <si>
    <t>Recompensa de nível</t>
  </si>
  <si>
    <t>King</t>
  </si>
  <si>
    <t>國王</t>
  </si>
  <si>
    <t>国王</t>
  </si>
  <si>
    <t>ราชา</t>
  </si>
  <si>
    <t>Rey</t>
  </si>
  <si>
    <t>Rei</t>
  </si>
  <si>
    <t>Hunting Permission Decree</t>
  </si>
  <si>
    <t>發佈狩獵許可</t>
  </si>
  <si>
    <t>宣布允许狩猎</t>
  </si>
  <si>
    <t>狩猟許可宣布</t>
  </si>
  <si>
    <t>ประกาศการอนุญาตให้ล่าสัตว์</t>
  </si>
  <si>
    <t>Decreto de Permiso de caza</t>
  </si>
  <si>
    <t>Declaração de Permissão de Caça</t>
  </si>
  <si>
    <t>發佈鼓勵採集</t>
  </si>
  <si>
    <t>宣布鼓励采集</t>
  </si>
  <si>
    <t>採集督励宣布</t>
  </si>
  <si>
    <t>ประกาศการสนับสนุนการเก็บรวบรวม</t>
  </si>
  <si>
    <t>Decreto de Estímulo de recolección</t>
  </si>
  <si>
    <t>Declaração de Incentivo de Recolha</t>
  </si>
  <si>
    <t>Soldiers in the {1} zone have been defeated.\r\nThe territory resources may be heisted from now on.</t>
  </si>
  <si>
    <t>{1}區域的士兵戰敗了。\r\n從現在起，領地的資源可能會被掠奪。</t>
  </si>
  <si>
    <t>{1}区域的士兵们战斗失败了。\r\n从现在开始，领地的资源可能会被掠夺。</t>
  </si>
  <si>
    <t>{1}区域の兵士たちが敗北しました\r\nこれから、領地の資源が略奪される恐れがあります</t>
  </si>
  <si>
    <t>ทหารในเขต {1} พ่ายแพ้แล้ว\r\nต่อไปนี้ทรัพยากรของดินแดนอาจถูกปล้นสะดมได้</t>
  </si>
  <si>
    <t>Los soldados del área de {1} han sido derrotados.\r\nLos recursos del territorio están disponibles para saquear.</t>
  </si>
  <si>
    <t>Os soldados da zona {1} foram derrotados.\r\nOs recursos do território podem ser saqueados a partir de agora.</t>
  </si>
  <si>
    <t>Heist in the {1} zone has ended.\r\nThe heisted currency will be deducted when the territory Darksteel tax is received.\r\n\r\nTotal Darksteel Heisted: {2}</t>
  </si>
  <si>
    <t>{1}區域的掠奪戰已結束。\r\n領地稅金入帳時，將扣除被掠奪的物資。\r\n\r\n被掠奪的最終黑鐵量：{2}</t>
  </si>
  <si>
    <t>{1}区域掠夺战已结束。\r\n被掠夺的物资在领地税金入库时扣除。\r\n\r\n被掠夺的最终黑铁量：{2}</t>
  </si>
  <si>
    <t>{1}区域の略奪戦が終了しました\r\n略奪された財貨は領地の税金入庫の際に差し引かれます\r\n\r\n略奪された最終黒鉄量：{2}</t>
  </si>
  <si>
    <t>การปล้นสะดมในเขต {1} ได้สิ้นสุดลงแล้ว\r\nทรัพย์สินที่ปล้นสะดมได้ จะถูกหักเมื่อได้รับภาษีดินแดน\r\n\r\nปริมาณเหล็กดำทั้งหมดที่ถูกปล้นสะดม: {2}</t>
  </si>
  <si>
    <t>El saqueo del área de {1} ha concluido.\r\nLos recursos saqueados serán cubiertos con los tributos de territorio.\r\n\r\nAcero oscuro saqueado: {2}</t>
  </si>
  <si>
    <t>O Saque à zona {1} terminou.\r\nOs recursos saqueados serão deduzidos ao recolher impostos no território.\r\n\r\nAço Negro Saqueado: {2}</t>
  </si>
  <si>
    <t>從現在起請注意死亡懲罰。</t>
  </si>
  <si>
    <t>从现在开始，请注意死亡惩罚。</t>
  </si>
  <si>
    <t>보관 한도 초과로 발송합니다.</t>
    <phoneticPr fontId="1" type="noConversion"/>
  </si>
  <si>
    <t>Storage limit reached. The item has been sent to your mailbox.</t>
    <phoneticPr fontId="1" type="noConversion"/>
  </si>
  <si>
    <t>因達保管上限，而發送此信件。</t>
    <phoneticPr fontId="1" type="noConversion"/>
  </si>
  <si>
    <t>保管限度を超過したため、発送します。</t>
    <phoneticPr fontId="1" type="noConversion"/>
  </si>
  <si>
    <t>ส่งไอเทมเนื่องจากเกินขีดจำกัดในการเก็บ</t>
    <phoneticPr fontId="1" type="noConversion"/>
  </si>
  <si>
    <t>Se enviará como exceso almacenado.</t>
    <phoneticPr fontId="1" type="noConversion"/>
  </si>
  <si>
    <t>Aviso de limite de armazenamento excedido.</t>
    <phoneticPr fontId="1" type="noConversion"/>
  </si>
  <si>
    <t>상점에서 구매하신 {1}을\r\n\r\n보관 한도 초과로 우편으로 발송합니다.\r\n\r\n물품을 수령하시면 우편은 자동 삭제 됩니다.</t>
    <phoneticPr fontId="1" type="noConversion"/>
  </si>
  <si>
    <t>在商店購買的{1}\r\n\r\n已達保管上限，而發送此信件。\r\n\r\n領取物品後將自動刪除信件。</t>
    <phoneticPr fontId="1" type="noConversion"/>
  </si>
  <si>
    <t>{1} ที่ซื้อจากร้านค้า\r\n\r\nถูกส่งไปทางจดหมาย เนื่องจากเกินขีดจำกัดในการเก็บ\r\n\r\nเมื่อรับสินค้าแล้วจะลบจดหมายโดยอัตโนมัติ</t>
    <phoneticPr fontId="1" type="noConversion"/>
  </si>
  <si>
    <t>El objeto [{1}] comprado en la tienda\r\n\r\nse enviará al correo como exceso almacenado.\r\n\r\nAl recibir el objeto, se eliminará el correo automáticamente.</t>
    <phoneticPr fontId="1" type="noConversion"/>
  </si>
  <si>
    <t>O item {1} comprado na Loja será enviado ao seu correio\r\n\r\ndevido ao limite de armazenamento excedido.\r\n\r\nA mensagem será apagada automaticamente quando o produto for recebido.</t>
    <phoneticPr fontId="1" type="noConversion"/>
  </si>
  <si>
    <t>축하합니다!\r\n{1} 공성전에서 승리했습니다.\r\n해당 공성전에서 획득한 개인 총점은 {2}점이며, \r\n랭킹 {3}위를 달성했습니다.\r\n\r\n다음 사북쟁패 1라운드 전쟁 시작일까지 국왕문파 자격을 유지하면 사북쟁패 전쟁 참여 권한을 획득할 수 있습니다.</t>
    <phoneticPr fontId="1" type="noConversion"/>
  </si>
  <si>
    <t>Congratulations!\r\nYou won the {1} Castle Siege.\r\nThe total individual score you obtained in this Castle Siege is {2}\r\nand your rank is {3}.\r\n\r\nIf you maintain your King clan position until the starting date of the next Sabuk Clash Gateway 1 War, you may participate in the Sabuk Clash War.</t>
    <phoneticPr fontId="1" type="noConversion"/>
  </si>
  <si>
    <t>恭喜！\r\n{1}在攻城战中获胜。\r\n本轮攻城战获得的个人总分为{2}分，\r\n排位达到第{3}名。\r\n\r\n直到下一个沙巴克争霸第1回合战争开始为止维持国王门派资格不变，即可获得沙巴克争霸参与权限。</t>
    <phoneticPr fontId="1" type="noConversion"/>
  </si>
  <si>
    <t>おめでとうございます！\r\n{1}攻城戦で勝利しました\r\n今回の攻城戦で獲得した個人スコアは合計{2}点で、\r\nランキング{3}位を達成しました\r\n\r\n次の沙北争覇1関門戦争の開始日まで国王門派の資格を維持すると、沙北争覇戦争の参加権限を獲得できます</t>
    <phoneticPr fontId="1" type="noConversion"/>
  </si>
  <si>
    <t>ยินดีด้วย!\r\nได้รับชัยชนะในสงครามยึดปราสาท{1}\r\nคะแนนทั้งหมดที่คุณได้รับในสงครามยึดปราสาทรอบนี้คือ {2} คะแนน\r\nได้รับอันดับ {3} \r\n\r\nหากสามารถรักษาคุณสมบัติของแคลนราชาไว้จนถึงวันที่เริ่มการแย่งชิงซาบัครอบที่ 1 ครั้งถัดไปได้จะได้รับสิทธิ์ในการเข้าร่วมการแย่งชิงซาบัค</t>
    <phoneticPr fontId="1" type="noConversion"/>
  </si>
  <si>
    <t>Parabéns!\r\nGanhou o Cerco do castelo {1}.\r\nA sua pontuação pessoal total para este Cerco do castelo foi de {2} pontos,\r\ne ficou classificado em n.º {3}.\r\n\r\n É possível obter a permissão de participação da Guerra do Confronto de Sabuk ao manter a qualificação de Clã Real até o início da próxima primeira rodada da Guerra do Confronto de Sabuk.</t>
    <phoneticPr fontId="1" type="noConversion"/>
  </si>
  <si>
    <t>사북쟁패</t>
    <phoneticPr fontId="1" type="noConversion"/>
  </si>
  <si>
    <t>Sabuk Clash</t>
    <phoneticPr fontId="1" type="noConversion"/>
  </si>
  <si>
    <t>沙巴克爭霸</t>
    <phoneticPr fontId="1" type="noConversion"/>
  </si>
  <si>
    <t>沙巴克争霸</t>
    <phoneticPr fontId="1" type="noConversion"/>
  </si>
  <si>
    <t>沙北争覇</t>
    <phoneticPr fontId="1" type="noConversion"/>
  </si>
  <si>
    <t>การแย่งชิงซาบัค</t>
    <phoneticPr fontId="1" type="noConversion"/>
  </si>
  <si>
    <t>Colisión de Sabuk</t>
    <phoneticPr fontId="1" type="noConversion"/>
  </si>
  <si>
    <t>Confronto de Sabuk</t>
    <phoneticPr fontId="1" type="noConversion"/>
  </si>
  <si>
    <t>Territory</t>
    <phoneticPr fontId="1" type="noConversion"/>
  </si>
  <si>
    <t>領地</t>
    <phoneticPr fontId="1" type="noConversion"/>
  </si>
  <si>
    <t>领地</t>
    <phoneticPr fontId="1" type="noConversion"/>
  </si>
  <si>
    <t>ดินแดน</t>
    <phoneticPr fontId="1" type="noConversion"/>
  </si>
  <si>
    <t>Territorio</t>
    <phoneticPr fontId="1" type="noConversion"/>
  </si>
  <si>
    <t>Território</t>
    <phoneticPr fontId="1" type="noConversion"/>
  </si>
  <si>
    <t>진출권한 획득</t>
    <phoneticPr fontId="1" type="noConversion"/>
  </si>
  <si>
    <t>Obtained Advancement Rights</t>
    <phoneticPr fontId="1" type="noConversion"/>
  </si>
  <si>
    <t>獲得進出權</t>
    <phoneticPr fontId="1" type="noConversion"/>
  </si>
  <si>
    <t>获得进军权限</t>
    <phoneticPr fontId="1" type="noConversion"/>
  </si>
  <si>
    <t>進出権限獲得</t>
    <phoneticPr fontId="1" type="noConversion"/>
  </si>
  <si>
    <t>รับสิทธิ์ออกรบ</t>
    <phoneticPr fontId="1" type="noConversion"/>
  </si>
  <si>
    <t>Obtención de derecho de participación</t>
    <phoneticPr fontId="1" type="noConversion"/>
  </si>
  <si>
    <t>Obtenção da Permissão de Avanço</t>
    <phoneticPr fontId="1" type="noConversion"/>
  </si>
  <si>
    <t>Defeat</t>
    <phoneticPr fontId="1" type="noConversion"/>
  </si>
  <si>
    <t>戰敗</t>
    <phoneticPr fontId="1" type="noConversion"/>
  </si>
  <si>
    <t>失败</t>
    <phoneticPr fontId="1" type="noConversion"/>
  </si>
  <si>
    <t>敗北</t>
    <phoneticPr fontId="1" type="noConversion"/>
  </si>
  <si>
    <t>แพ้</t>
    <phoneticPr fontId="1" type="noConversion"/>
  </si>
  <si>
    <t>Derrota</t>
    <phoneticPr fontId="1" type="noConversion"/>
  </si>
  <si>
    <t>Obtain</t>
    <phoneticPr fontId="1" type="noConversion"/>
  </si>
  <si>
    <t>獲得</t>
    <phoneticPr fontId="1" type="noConversion"/>
  </si>
  <si>
    <t>获得</t>
    <phoneticPr fontId="1" type="noConversion"/>
  </si>
  <si>
    <t>รับ</t>
    <phoneticPr fontId="1" type="noConversion"/>
  </si>
  <si>
    <t>Obtención</t>
    <phoneticPr fontId="1" type="noConversion"/>
  </si>
  <si>
    <t>Obter</t>
    <phoneticPr fontId="1" type="noConversion"/>
  </si>
  <si>
    <t>Retrieve</t>
    <phoneticPr fontId="1" type="noConversion"/>
  </si>
  <si>
    <t>回收</t>
    <phoneticPr fontId="1" type="noConversion"/>
  </si>
  <si>
    <t>回収</t>
    <phoneticPr fontId="1" type="noConversion"/>
  </si>
  <si>
    <t>คืน</t>
    <phoneticPr fontId="1" type="noConversion"/>
  </si>
  <si>
    <t>Recuperación</t>
    <phoneticPr fontId="1" type="noConversion"/>
  </si>
  <si>
    <t>Recuperar</t>
    <phoneticPr fontId="1" type="noConversion"/>
  </si>
  <si>
    <t>Victory</t>
    <phoneticPr fontId="1" type="noConversion"/>
  </si>
  <si>
    <t>勝利</t>
    <phoneticPr fontId="1" type="noConversion"/>
  </si>
  <si>
    <t>胜利</t>
    <phoneticPr fontId="1" type="noConversion"/>
  </si>
  <si>
    <t>ชนะ</t>
    <phoneticPr fontId="1" type="noConversion"/>
  </si>
  <si>
    <t>Victoria</t>
    <phoneticPr fontId="1" type="noConversion"/>
  </si>
  <si>
    <t>Vitória</t>
    <phoneticPr fontId="1" type="noConversion"/>
  </si>
  <si>
    <t>진출실패</t>
    <phoneticPr fontId="1" type="noConversion"/>
  </si>
  <si>
    <t>Advancement Failed</t>
    <phoneticPr fontId="1" type="noConversion"/>
  </si>
  <si>
    <t>進出失敗</t>
    <phoneticPr fontId="1" type="noConversion"/>
  </si>
  <si>
    <t>进军失败</t>
    <phoneticPr fontId="1" type="noConversion"/>
  </si>
  <si>
    <t>เข้าร่วมล้มเหลว</t>
    <phoneticPr fontId="1" type="noConversion"/>
  </si>
  <si>
    <t>Fallo en la participación</t>
    <phoneticPr fontId="1" type="noConversion"/>
  </si>
  <si>
    <t>Falha no Avanço</t>
    <phoneticPr fontId="1" type="noConversion"/>
  </si>
  <si>
    <t>축하합니다!\r\n\r\n소속 문파가 사북쟁패 [{1}] 지역을 점령하여 [{2}] 진출 자격을 획득하였습니다!\r\n문파 보상인 {3}의 문파자금은 문파창고로 지급하였습니다.</t>
    <phoneticPr fontId="1" type="noConversion"/>
  </si>
  <si>
    <t>Congratulations!\r\n\r\nYour clan occupied the [{1}] area of Sabuk Clash and obtained the right to advance to [{2}]!\r\n{3} Clan Funds were provided to the Clan Warehouse as your clan reward.</t>
    <phoneticPr fontId="1" type="noConversion"/>
  </si>
  <si>
    <t>恭喜！\r\n\r\n因所属门派占领了沙巴克争霸【{1}】地区，获得了【{2}】入围资格！\r\n{3}的门派资金作为门派奖励，已发放至门派仓库。</t>
    <phoneticPr fontId="1" type="noConversion"/>
  </si>
  <si>
    <t>おめでとうございます！\r\n\r\n所属した門派が沙北争覇[{1}]地域を占領し、[{2}]進出資格を獲得しました！\r\n門派報酬である{3}の門派資金は門派倉庫に支給しました</t>
    <phoneticPr fontId="1" type="noConversion"/>
  </si>
  <si>
    <t>ยินดีด้วย!\r\n\r\nแคลนของคุณยึดครองพื้นที่ [{1}] ของการแย่งชิงซาบัคได้ และได้รับสิทธิ์ออกรบ [{2}] แล้ว!\r\nมอบรางวัลของแคลนเป็นกองทุนแคลน {3} ไปยังคลังของแคลนแล้ว</t>
    <phoneticPr fontId="1" type="noConversion"/>
  </si>
  <si>
    <t>¡Felicidades!\r\n\r\n¡Tu clan ha capturado la zona [{1}] de la Colisión de Sabuk y ha obtenido el derecho de participación para [{2}]!\r\nLos fondos del clan de {3} han sido enviados al almacén del clan como recompensa.</t>
    <phoneticPr fontId="1" type="noConversion"/>
  </si>
  <si>
    <t>Parabéns!\r\n\r\nSeu Clã ocupou a área [{1}] do Confronto de Sabuk e obteu a qualificação para avançar até o(a) [{2}]!\r\nOs fundos de clã da recompensa do clã {3} foram entregues ao Armazém do Clã.</t>
    <phoneticPr fontId="1" type="noConversion"/>
  </si>
  <si>
    <t>축하합니다!\r\n\r\n소속 문파가 [{1}] 지역의 점령석을 점령하여 사북쟁패에서 최종 승리하였습니다!\r\n승리 문파의 문주는 황제로 등극되며 이제부터 사북성 영지 기능을 이용할 수 있습니다.\r\n문파 보상인 {2}의 문파자금은 문파창고로 지급되었습니다.</t>
    <phoneticPr fontId="1" type="noConversion"/>
  </si>
  <si>
    <t>Congratulations!\r\n\r\nYour clan occupied the Monolith of the [{1}] area and became the final winner of the Sabuk Clash!\r\nThe leader of the winning clan will become the emperor and can now use Sabuk Castle's Territory features.\r\n{2} Clan Funds were provided to the Clan Warehouse as your clan reward.</t>
    <phoneticPr fontId="1" type="noConversion"/>
  </si>
  <si>
    <t>恭喜！\r\n\r\n因所属门派占领了【{1}】地区的占领石，在沙巴克争霸中获得了最终胜利！\r\n胜利门派的掌门将登基为皇帝，并从现在开始可使用沙巴克城领地功能。\r\n{2}的门派资金作为门派奖励，已发放至门派仓库。</t>
    <phoneticPr fontId="1" type="noConversion"/>
  </si>
  <si>
    <t>おめでとうございます！\r\n\r\n所属した門派が[{1}]地域の占領石を占領し、沙北争覇で最終的に勝利しました！\r\n勝利門派の門主は皇帝に即位し、これから沙北城の領地機能をご利用いただけます\r\n門派報酬である{2}の門派資金は門派倉庫に支給しました</t>
    <phoneticPr fontId="1" type="noConversion"/>
  </si>
  <si>
    <t>ยินดีด้วย!\r\n\r\nแคลนของคุณยึดครองศิลายึดครองพื้นที่ [{1}] ของการแย่งชิงซาบัคได้ และเป็นผู้ชนะในท้ายที่สุด!\r\nผู้นำแคลนของแคลนที่ชนะได้ขึ้นเป็นจักรพรรดิ และสามารถใช้ฟังก์ชั่นดินแดนปราสาทซาบัคได้ตั้งแต่นี้ไป\r\nมอบรางวัลของแคลนเป็นกองทุนแคลน {2} ไปยังคลังของแคลนแล้ว</t>
    <phoneticPr fontId="1" type="noConversion"/>
  </si>
  <si>
    <t>Parabéns!\r\n\r\nSeu Clã conquistou a vitória final no Confronto de Sabuk após ocupar a Pedra de Captura da área [{1}]!\r\nO líder do clã vencedor ascenderá ao trono como Imperador e poderá utilizar a função Território do Castelo Sabuk.\r\nOs fundos de clã da recompensa do clã {2} foram entregues ao Armazém do Clã.</t>
    <phoneticPr fontId="1" type="noConversion"/>
  </si>
  <si>
    <t>아쉽게도 소속한 문파가 사북쟁패 [{1}] 전쟁에서 패배하였습니다.\r\n다음 도전에 대한 응원으로 소정의 보상을 지급해 드립니다.</t>
    <phoneticPr fontId="1" type="noConversion"/>
  </si>
  <si>
    <t>Unfortunately, your clan lost the Sabuk Clash [{1}] War.\r\nTo support your next challenge, we will provide you with a small reward.</t>
    <phoneticPr fontId="1" type="noConversion"/>
  </si>
  <si>
    <t>很遗憾，所属门派于沙巴克争霸【{1}】战争中战败。\r\n为鼓励继续挑战，将发放一些奖励。</t>
    <phoneticPr fontId="1" type="noConversion"/>
  </si>
  <si>
    <t>残念ながら所属した門派が沙北争覇[{1}]戦争で敗北しました\r\n次の挑戦に対する応援の意味で、所定の報酬を支給します</t>
    <phoneticPr fontId="1" type="noConversion"/>
  </si>
  <si>
    <t>เสียใจด้วย แคลนของคุณพ่ายแพ้ในการแย่งชิงซาบัค [{1}]\r\nมอบรางวัลตามที่กำหนดให้เป็นกำลังใจในการท้าทายครั้งหน้า</t>
    <phoneticPr fontId="1" type="noConversion"/>
  </si>
  <si>
    <t>Lamentablemente, tu clan ha sido derrotado en la guerra de [{1}] de la Colisión de Sabuk.\r\nTe enviaremos una pequeña recompensa de apoyo para el próximo desafío.</t>
    <phoneticPr fontId="1" type="noConversion"/>
  </si>
  <si>
    <t>Infelizmente o seu clã foi derrotado na Guerra [{1}] do Confronto de Sabuk.\r\nReceba uma pequena recompensa como apoio ao próximo desafio.</t>
    <phoneticPr fontId="1" type="noConversion"/>
  </si>
  <si>
    <t>축하합니다!\r\n\r\n사북쟁패 [{1}] 지역에서 점령석 각인에 성공하여 MVP로 선정되셨습니다.\r\n최고의 플레이에 찬사를 드리며, 소정의 보상을 지급해 드립니다.</t>
    <phoneticPr fontId="1" type="noConversion"/>
  </si>
  <si>
    <t>Congratulations!\r\n\r\nYou have been selected as the MVP for successfully engraving the Monolith in the Sabuk Clash [{1}] area.\r\nTo praise your excellent gameplay, we will provide you with a small reward.</t>
    <phoneticPr fontId="1" type="noConversion"/>
  </si>
  <si>
    <t>おめでとうございます！\r\n\r\n沙北争覇[{1}]地域で占領石の刻印に成功したため、MVPに選ばれました\r\n最高のプレイを褒め称えながら、所定の報酬を支給します</t>
    <phoneticPr fontId="1" type="noConversion"/>
  </si>
  <si>
    <t>ยินดีด้วย!\r\n\r\nคุณประทับตราศิลายึดครองของพื้นที่ [{1}] ในการแย่งชิงซาบัคได้สำเร็จ และกลายเป็น MVP\r\nขอชื่นชมในฝีมือการเล่นที่ยอดเยี่ยมและมอบรางวัลที่กำหนดให้</t>
    <phoneticPr fontId="1" type="noConversion"/>
  </si>
  <si>
    <t>¡Felicidades!\r\n\r\nHas grabado la piedra de captura de la zona [{1}] de la Colisión de Sabuk y has sido elegido como MVP.\r\nFelicidades por ser el mejor de los jugadores, te enviaremos una pequeña recompensa.</t>
    <phoneticPr fontId="1" type="noConversion"/>
  </si>
  <si>
    <t>Parabéns!\r\n\r\nVocê foi nomeado MVP após obter sucesso na impregnação da Pedra de Captura na área [{1}] do Confronto de Sabuk.\r\nSaudamos o melhor jogador e oferecemos uma pequena recompensa.</t>
    <phoneticPr fontId="1" type="noConversion"/>
  </si>
  <si>
    <t>축하합니다!\r\n\r\n소속 문파가 사북쟁패에서 최종 승리하였습니다.\r\n보상으로 {1}영지를 획득하였습니다.\r\n이제부터 세율변경, 포상지급, 칙명공표 등의 영지 관련 혜택을 이용하실 수 있습니다.</t>
    <phoneticPr fontId="1" type="noConversion"/>
  </si>
  <si>
    <t>Congratulations!\r\n\r\nYour clan became the final winner of the Sabuk Clash.\r\nAs a reward, your clan obtained the {1} territory.\r\nYou may now enjoy the benefits of your territory such as changing tax rates, giving prizes, and issuing mandates.</t>
    <phoneticPr fontId="1" type="noConversion"/>
  </si>
  <si>
    <t>恭喜！\r\n\r\n所屬門派於沙巴克爭霸中獲得最終勝利。\r\n獲得{1}領地作為獎勵。\r\n現在起可使用稅率變更、獎賞發放、敕令發布等領地相關特惠。</t>
    <phoneticPr fontId="1" type="noConversion"/>
  </si>
  <si>
    <t>恭喜！\r\n\r\n所属门派在沙巴克争霸中获得了最终胜利。\r\n作为奖励获得了{1}领地。\r\n现在起可使用税率更改、发放奖赏、发布敕令等领地相关特惠。</t>
    <phoneticPr fontId="1" type="noConversion"/>
  </si>
  <si>
    <t>おめでとうございます！\r\n\r\n所属した門派が沙北争覇で最終的に勝利しました\r\n報酬として{1}領地を獲得しました\r\nこれから税率変更・褒賞支給・勅命公表など、領地に関する特典をご利用いただけます</t>
    <phoneticPr fontId="1" type="noConversion"/>
  </si>
  <si>
    <t>¡Felicidades!\r\n\r\nTu clan ha obtenido la victoria final en la Colisión de Sabuk.\r\nHas obtenido el territorio {1} como recompensa.\r\nAhora puedes usar el cambio de tasa, entrega de premios, mandatos y otros beneficios del territorio.</t>
    <phoneticPr fontId="1" type="noConversion"/>
  </si>
  <si>
    <t>Parabéns!\r\n\r\nO seu clã foi vitorioso no Confronto de Sabuk.\r\nVocê ganhou o território {1}.\r\nAgora você pode aproveitar os benefícios por ocupar o território, como alterar taxa de imposto, conceder prêmios, emitir mandatos entre outros.</t>
    <phoneticPr fontId="1" type="noConversion"/>
  </si>
  <si>
    <t>새로운 황제 선출기간이 되어 {1}의 영지 소유권을 상실하였습니다.\r\n이제부터 {1} 영지에 대한 혜택을 이용할 수 없습니다.</t>
    <phoneticPr fontId="1" type="noConversion"/>
  </si>
  <si>
    <t>You lost ownership of the {1} territory due to the period for selecting the new Emperor has begun.\r\nBenefits from the {1} territory are no longer available.</t>
    <phoneticPr fontId="1" type="noConversion"/>
  </si>
  <si>
    <t>被選為新皇帝的期間，已喪失{1}的領地持有權。\r\n現在起無法使用{1}領地相關特惠。</t>
    <phoneticPr fontId="1" type="noConversion"/>
  </si>
  <si>
    <t>已到新皇帝选举期间，丧失{1}领地的所有权。\r\n现在起，将无法使用{1}领地相关特惠。</t>
    <phoneticPr fontId="1" type="noConversion"/>
  </si>
  <si>
    <t>新しい皇帝選出期間のため、{1}領地の所有権を喪失しました\r\nこれから{1}領地に関する特典をご利用いただけません</t>
    <phoneticPr fontId="1" type="noConversion"/>
  </si>
  <si>
    <t>สูญเสียสิทธิ์ครอบครองดินแดน{1}เนื่องจากถึงเวลาแต่งตั้งจักรพรรดิใหม่แล้ว\r\nไม่สามารถใช้สิทธิประโยชน์ของดินแดน{1}ได้อีกต่อไป</t>
    <phoneticPr fontId="1" type="noConversion"/>
  </si>
  <si>
    <t>Debido a que es el período de elección de un nuevo emperador, se te ha retirado la autoridad del territorio {1}.\r\nA partir de ahora, no podrás usar los beneficios del territorio {1}.</t>
    <phoneticPr fontId="1" type="noConversion"/>
  </si>
  <si>
    <t>A propriedade do território {1} foi perdida pois foi iniciado o período de eleição do novo Imperador.\r\nOs benefícios do território {1} estão indisponíveis.</t>
    <phoneticPr fontId="1" type="noConversion"/>
  </si>
  <si>
    <t>아쉽게도 소속한 문파가 사북쟁패 [{1}] 전쟁에서 패배하여 진출 권한 획득에 실패하였습니다.\r\n다음 도전에 대한 응원으로 소정의 보상을 지급해 드립니다.</t>
    <phoneticPr fontId="1" type="noConversion"/>
  </si>
  <si>
    <t>Unfortunately, your clan lost the Sabuk Clash [{1}] War and failed to make an advancement.\r\nTo support your next challenge, we will provide you with a small reward.</t>
    <phoneticPr fontId="1" type="noConversion"/>
  </si>
  <si>
    <t>很遗憾，所属门派于沙巴克争霸【{1}】战争中战败，获得入围权限失败。\r\n为鼓励继续挑战，将发放一些奖励。</t>
    <phoneticPr fontId="1" type="noConversion"/>
  </si>
  <si>
    <t>残念ながら所属した門派が沙北争覇[{1}]戦争で敗北したため、進出権限獲得に失敗しました\r\n次の挑戦に対する応援の意味で、所定の報酬を支給します</t>
    <phoneticPr fontId="1" type="noConversion"/>
  </si>
  <si>
    <t>เสียใจด้วย แคลนของคุณพ่ายแพ้ในการแย่งชิงซาบัค [{1}] และล้มเหลวในการได้รับสิทธิ์ออกรบ\r\nมอบรางวัลตามที่กำหนดให้เป็นกำลังใจในการท้าทายครั้งหน้า</t>
    <phoneticPr fontId="1" type="noConversion"/>
  </si>
  <si>
    <t>Lamentablemente, tu clan ha fallado en la guerra de [{1}] de la Colisión de Sabuk y no ha obtenido el derecho de participación.\r\nTe enviaremos una pequeña recompensa de apoyo para el próximo desafío.</t>
    <phoneticPr fontId="1" type="noConversion"/>
  </si>
  <si>
    <t>Infelizmente o seu clã foi derrotado na Guerra [{1}] do Confronto de Sabuk e falhou na obtenção da permissão de avanço.\r\nReceba uma pequena recompensa como apoio ao próximo desafio.</t>
    <phoneticPr fontId="1" type="noConversion"/>
  </si>
  <si>
    <t>황제</t>
    <phoneticPr fontId="1" type="noConversion"/>
  </si>
  <si>
    <t>Emperor</t>
    <phoneticPr fontId="1" type="noConversion"/>
  </si>
  <si>
    <t>皇帝</t>
    <phoneticPr fontId="1" type="noConversion"/>
  </si>
  <si>
    <t>จักรพรรดิ</t>
    <phoneticPr fontId="1" type="noConversion"/>
  </si>
  <si>
    <t>Emperador</t>
    <phoneticPr fontId="1" type="noConversion"/>
  </si>
  <si>
    <t>Imperador</t>
    <phoneticPr fontId="1" type="noConversion"/>
  </si>
  <si>
    <t>제국칭호 임명</t>
    <phoneticPr fontId="1" type="noConversion"/>
  </si>
  <si>
    <t>Grant Imperial Title</t>
    <phoneticPr fontId="1" type="noConversion"/>
  </si>
  <si>
    <t>任命帝國稱謂</t>
    <phoneticPr fontId="1" type="noConversion"/>
  </si>
  <si>
    <t>任命帝国称谓</t>
    <phoneticPr fontId="1" type="noConversion"/>
  </si>
  <si>
    <t>帝国称号任命</t>
    <phoneticPr fontId="1" type="noConversion"/>
  </si>
  <si>
    <t>Asignar título imperial</t>
    <phoneticPr fontId="1" type="noConversion"/>
  </si>
  <si>
    <t>제국칭호 해제</t>
    <phoneticPr fontId="1" type="noConversion"/>
  </si>
  <si>
    <t>Remove Imperial Title</t>
    <phoneticPr fontId="1" type="noConversion"/>
  </si>
  <si>
    <t>解除帝國稱謂</t>
    <phoneticPr fontId="1" type="noConversion"/>
  </si>
  <si>
    <t>解除帝国称谓</t>
    <phoneticPr fontId="1" type="noConversion"/>
  </si>
  <si>
    <t>帝国称号解除</t>
    <phoneticPr fontId="1" type="noConversion"/>
  </si>
  <si>
    <t>Remover título imperial</t>
    <phoneticPr fontId="1" type="noConversion"/>
  </si>
  <si>
    <t>황명 선포</t>
    <phoneticPr fontId="1" type="noConversion"/>
  </si>
  <si>
    <t>Declare Imperial Decree</t>
    <phoneticPr fontId="1" type="noConversion"/>
  </si>
  <si>
    <t>發佈聖旨</t>
    <phoneticPr fontId="1" type="noConversion"/>
  </si>
  <si>
    <t>宣布圣旨</t>
    <phoneticPr fontId="1" type="noConversion"/>
  </si>
  <si>
    <t>皇命宣布</t>
    <phoneticPr fontId="1" type="noConversion"/>
  </si>
  <si>
    <t>ประกาศคำสั่งจักรพรรดิ</t>
    <phoneticPr fontId="1" type="noConversion"/>
  </si>
  <si>
    <t>Decreto de orden imperial</t>
    <phoneticPr fontId="1" type="noConversion"/>
  </si>
  <si>
    <t>Declaração da Ordem Imperial</t>
    <phoneticPr fontId="1" type="noConversion"/>
  </si>
  <si>
    <t>황명 해제</t>
    <phoneticPr fontId="1" type="noConversion"/>
  </si>
  <si>
    <t>Remove Imperial Decree</t>
    <phoneticPr fontId="1" type="noConversion"/>
  </si>
  <si>
    <t>解除聖旨</t>
    <phoneticPr fontId="1" type="noConversion"/>
  </si>
  <si>
    <t>解除圣旨</t>
    <phoneticPr fontId="1" type="noConversion"/>
  </si>
  <si>
    <t>皇命解除</t>
    <phoneticPr fontId="1" type="noConversion"/>
  </si>
  <si>
    <t>ยกเลิกคำสั่งจักรพรรดิ</t>
    <phoneticPr fontId="1" type="noConversion"/>
  </si>
  <si>
    <t>Remover orden imperial</t>
    <phoneticPr fontId="1" type="noConversion"/>
  </si>
  <si>
    <t>Remover a Ordem Imperial</t>
    <phoneticPr fontId="1" type="noConversion"/>
  </si>
  <si>
    <t>황제가 [{1}] 문파를 [{2}] 제국칭호로 임명했습니다.\r\n\r\n이제부터 [{1}] 문파의 모든 문파원은 [{2}] 제국칭호의 효과를 적용 받습니다.</t>
    <phoneticPr fontId="1" type="noConversion"/>
  </si>
  <si>
    <t>The Emperor granted the [{2}] Imperial Title to the [{1}] clan.\r\n\r\nAll members of the [{1}] clan will be applied with the [{2}] Imperial Title effect from now on.</t>
    <phoneticPr fontId="1" type="noConversion"/>
  </si>
  <si>
    <t>皇帝将【{1}】门派任命为【{2}】帝国称谓。\r\n\r\n从现在开始，对【{1}】门派的所有门派成员适用【{2}】帝国称谓的效果。</t>
    <phoneticPr fontId="1" type="noConversion"/>
  </si>
  <si>
    <t>皇帝が[{1}]門派を[{2}]帝国称号に任命しました。\r\n\r\nこれから[{1}]門派の門派員全員に[{2}]帝国称号の効果が適用されます。</t>
    <phoneticPr fontId="1" type="noConversion"/>
  </si>
  <si>
    <t>El emperador ha asignado al clan [{1}] con el título imperial [{2}].\r\n\r\nTodos los miembro del clan [{1}] recibirán los efectos del título imperial [{2}].</t>
    <phoneticPr fontId="1" type="noConversion"/>
  </si>
  <si>
    <t>황제가 [{1}] 문파의 [{2}] 제국칭호를 해제하였습니다.\r\n\r\n[{1}] 문파의 모든 문파원은 더 이상 [{2}] 제국칭호의 효과를 적용받지 않습니다.</t>
    <phoneticPr fontId="1" type="noConversion"/>
  </si>
  <si>
    <t>The Emperor removed the [{2}] Imperial Title from the [{1}] clan.\r\n\r\nAll members of the [{1}] clan will no longer be applied with the [{2}] Imperial Title effect.</t>
    <phoneticPr fontId="1" type="noConversion"/>
  </si>
  <si>
    <t>皇帝解除了【{1}】门派的【{2}】帝国称谓。\r\n\r\n【{1}】门派的所有门派成员将不再适用【{2}】帝国称谓的效果。</t>
    <phoneticPr fontId="1" type="noConversion"/>
  </si>
  <si>
    <t>皇帝が[{1}]門派の[{2}]帝国称号を解除しました。\r\n\r\nこれ以上[{1}]門派の門派員全員に[{2}]帝国称号の効果が適用されません。</t>
    <phoneticPr fontId="1" type="noConversion"/>
  </si>
  <si>
    <t>El emperador ha removido el título imperial [{2}] del clan [{1}].\r\n\r\nLos efectos del título imperial [{2}] ya no se aplicarán a ningún miembro del clan [{1}].</t>
    <phoneticPr fontId="1" type="noConversion"/>
  </si>
  <si>
    <t>황제가 [{1}] 서버에 [{2}] 황명을 내렸습니다.\r\n\r\n황명의 효과로 일정 기간 동안 [{3}] 효과를 적용 받습니다.</t>
    <phoneticPr fontId="1" type="noConversion"/>
  </si>
  <si>
    <t>The Emperor declared the [{2}] Imperial Decree to the [{1}] server.\r\n\r\nDue to the Imperial Decree, the [{3}] effect will be applied for a certain period.</t>
    <phoneticPr fontId="1" type="noConversion"/>
  </si>
  <si>
    <t>皇帝向【{1}】服务器下达了【{2}】圣旨。\r\n\r\n在圣旨的效果下，一定期间内将适用【{3}】效果。</t>
    <phoneticPr fontId="1" type="noConversion"/>
  </si>
  <si>
    <t>皇帝が[{1}]サーバーに[{2}]皇命を付与しました。\r\n\r\n皇命の効果で一定期間、[{3}]効果が適用されます。</t>
    <phoneticPr fontId="1" type="noConversion"/>
  </si>
  <si>
    <t>จักรพรรดิมอบคำสั่งจักรพรรดิ [{2}] ให้เซิร์ฟเวอร์ [{1}] แล้ว\r\n\r\nสามารถได้รับเอฟเฟกต์ [{3}] จากคำสั่งจักรพรรดิเป็นระยะเวลาหนึ่ง</t>
    <phoneticPr fontId="1" type="noConversion"/>
  </si>
  <si>
    <t>El emperador ha asignado la orden imperial [{2}] al servidor [{1}].\r\n\r\nGracias a la orden imperial, recibirás el efecto [{3}] por cierto período de tiempo.</t>
    <phoneticPr fontId="1" type="noConversion"/>
  </si>
  <si>
    <t>O Imperador estabeleceu a Ordem Imperial [{2}] no servidor [{1}].\r\n\r\nO efeito [{3}] da Ordem Imperial será aplicado por um período.</t>
    <phoneticPr fontId="1" type="noConversion"/>
  </si>
  <si>
    <t>황제가 [{1}] 서버에 [{2}] 황명을 해제하였습니다.\r\n\r\n더 이상 황명 효과를 적용받지 않습니다.</t>
    <phoneticPr fontId="1" type="noConversion"/>
  </si>
  <si>
    <t>The Emperor removed the [{2}] Imperial Decree from the [{1}] server.\r\n\r\nThe effect of the Imperial Decree will no longer be applied.</t>
    <phoneticPr fontId="1" type="noConversion"/>
  </si>
  <si>
    <t>皇帝解除了【{1}】服务器的【{2}】圣旨。\r\n\r\n不再适用圣旨效果。</t>
    <phoneticPr fontId="1" type="noConversion"/>
  </si>
  <si>
    <t>皇帝が[{1}]サーバーの[{2}]皇命を解除しました。\r\n\r\nこれ以上皇命効果が適用されません。</t>
    <phoneticPr fontId="1" type="noConversion"/>
  </si>
  <si>
    <t>จักรพรรดิถอนคำสั่งจักรพรรดิ [{2}] จากเซิร์ฟเวอร์ [{1}] แล้ว\r\n\r\nไม่สามารถได้รับเอฟเฟกต์คำสั่งจักรพรรดิอีก</t>
    <phoneticPr fontId="1" type="noConversion"/>
  </si>
  <si>
    <t>El emperador ha removido la orden imperial [{2}] del servidor [{1}].\r\n\r\nDejarás de recibir los efectos de la orden imperial.</t>
    <phoneticPr fontId="1" type="noConversion"/>
  </si>
  <si>
    <t>O Imperador removeu a Ordem Imperial [{2}] no servidor [{1}].\r\n\r\n O efeito da Ordem Imperial não será mais aplicado.</t>
    <phoneticPr fontId="1" type="noConversion"/>
  </si>
  <si>
    <t>선물 안내</t>
    <phoneticPr fontId="1" type="noConversion"/>
  </si>
  <si>
    <t>선물을 받았습니다.</t>
    <phoneticPr fontId="1" type="noConversion"/>
  </si>
  <si>
    <t>{1}님으로부터 선물을 {2}개 받았습니다.\r\n\r\n받은 선물은 상점의 보관함에서 수령 가능합니다.\r\n\r\n감사합니다.</t>
    <phoneticPr fontId="1" type="noConversion"/>
  </si>
  <si>
    <t>Gift Guide</t>
  </si>
  <si>
    <t>禮物說明</t>
  </si>
  <si>
    <t>礼物说明</t>
  </si>
  <si>
    <t>贈り物案内</t>
  </si>
  <si>
    <t>ข้อมูลของขวัญ</t>
  </si>
  <si>
    <t>Aviso de regalo</t>
  </si>
  <si>
    <t>Aviso de Presente</t>
  </si>
  <si>
    <t>Gift received.</t>
  </si>
  <si>
    <t>已領取禮物。</t>
  </si>
  <si>
    <t>您收到了礼物。</t>
  </si>
  <si>
    <t>贈り物を受け取りました。</t>
  </si>
  <si>
    <t>ได้รับของขวัญแล้ว</t>
  </si>
  <si>
    <t>Recibiste un regalo.</t>
  </si>
  <si>
    <t>Você recebeu um presente.</t>
  </si>
  <si>
    <t>HYDRA 정제 성공</t>
    <phoneticPr fontId="1" type="noConversion"/>
  </si>
  <si>
    <t>HYDRA Refining Success</t>
    <phoneticPr fontId="1" type="noConversion"/>
  </si>
  <si>
    <t>HYDRA精製成功</t>
    <phoneticPr fontId="1" type="noConversion"/>
  </si>
  <si>
    <t>HYDRA精制成功</t>
    <phoneticPr fontId="1" type="noConversion"/>
  </si>
  <si>
    <t>กลั่น HYDRA สำเร็จ</t>
    <phoneticPr fontId="1" type="noConversion"/>
  </si>
  <si>
    <t>Éxito en el refinamiento de HYDRA</t>
    <phoneticPr fontId="1" type="noConversion"/>
  </si>
  <si>
    <t>Sucesso no Refino de HYDRA</t>
    <phoneticPr fontId="1" type="noConversion"/>
  </si>
  <si>
    <t>HYDRA 정제 실패</t>
    <phoneticPr fontId="1" type="noConversion"/>
  </si>
  <si>
    <t>HYDRA Refining Failure</t>
    <phoneticPr fontId="1" type="noConversion"/>
  </si>
  <si>
    <t>HYDRA精製失敗</t>
    <phoneticPr fontId="1" type="noConversion"/>
  </si>
  <si>
    <t>HYDRA精制失败</t>
    <phoneticPr fontId="1" type="noConversion"/>
  </si>
  <si>
    <t>กลั่น HYDRA ล้มเหลว</t>
    <phoneticPr fontId="1" type="noConversion"/>
  </si>
  <si>
    <t>Falla en el refinamiento de HYDRA</t>
    <phoneticPr fontId="1" type="noConversion"/>
  </si>
  <si>
    <t>Fracasso no Refino de HYDRA</t>
    <phoneticPr fontId="1" type="noConversion"/>
  </si>
  <si>
    <t>HYDRA 정제에 성공하였습니다.</t>
    <phoneticPr fontId="1" type="noConversion"/>
  </si>
  <si>
    <t>HYDRA refining was successful.</t>
    <phoneticPr fontId="1" type="noConversion"/>
  </si>
  <si>
    <t>HYDRA精製已成功。</t>
    <phoneticPr fontId="1" type="noConversion"/>
  </si>
  <si>
    <t>HYDRA精制成功。</t>
    <phoneticPr fontId="1" type="noConversion"/>
  </si>
  <si>
    <t>HYDRA精製に成功しました。</t>
    <phoneticPr fontId="1" type="noConversion"/>
  </si>
  <si>
    <t>การกลั่น HYDRA สำเร็จ</t>
    <phoneticPr fontId="1" type="noConversion"/>
  </si>
  <si>
    <t>El refinamiento de HYDRA ha sido exitoso.</t>
    <phoneticPr fontId="1" type="noConversion"/>
  </si>
  <si>
    <t>Refino de HYDRA bem-sucedido.</t>
    <phoneticPr fontId="1" type="noConversion"/>
  </si>
  <si>
    <t>HYDRA 정제에 실패하였습니다.</t>
    <phoneticPr fontId="1" type="noConversion"/>
  </si>
  <si>
    <t>HYDRA refining was unsuccessful.</t>
    <phoneticPr fontId="1" type="noConversion"/>
  </si>
  <si>
    <t>HYDRA精製已失敗。</t>
    <phoneticPr fontId="1" type="noConversion"/>
  </si>
  <si>
    <t>HYDRA精制失败。</t>
    <phoneticPr fontId="1" type="noConversion"/>
  </si>
  <si>
    <t>HYDRA精製に失敗しました。</t>
    <phoneticPr fontId="1" type="noConversion"/>
  </si>
  <si>
    <t>การกลั่น HYDRA ล้มเหลว</t>
    <phoneticPr fontId="1" type="noConversion"/>
  </si>
  <si>
    <t>El refinamiento de HYDRA ha fallado.</t>
    <phoneticPr fontId="1" type="noConversion"/>
  </si>
  <si>
    <t>The requested HYDRA refining was unsuccessful.\r\n\r\nRequested Refining Amount: {1}\r\nRefining Cost: {2} Septaria\r\n\r\nUnsuccessfully refined materials will be returned.\r\n\r\nThank you.</t>
    <phoneticPr fontId="1" type="noConversion"/>
  </si>
  <si>
    <t>您所請求的HYDRA精製已失敗。\r\n\r\n請求的精製數量：{1}個\r\n精製費用：{2}個Septaria\r\n\r\n將歸還精製失敗的材料。\r\n\r\n謝謝。</t>
    <phoneticPr fontId="1" type="noConversion"/>
  </si>
  <si>
    <t>请求的HYDRA精制失败。\r\n\r\n精制请求数量：{1}个\r\n精制费用：{2}个Septaria\r\n\r\n精制失败的材料将会重新返还。\r\n\r\n谢谢。</t>
    <phoneticPr fontId="1" type="noConversion"/>
  </si>
  <si>
    <t>HYDRA精製に失敗しました。\r\n\r\n精製要請数量：{1}個\r\n精製費用：Septaria{2}個\r\n\r\n精製に失敗した素材は返却させていただきます。\r\n\r\nご利用ありがとうございます。</t>
    <phoneticPr fontId="1" type="noConversion"/>
  </si>
  <si>
    <t>การกลั่น HYDRA ที่ร้องขอล้มเหลว\r\n\r\nจำนวนการกลั่นที่ขอ: {1} ชิ้น\r\nค่าใช้จ่ายในการกลั่น: {2} Septaria\r\n\r\nวัตถุดิบในการกลั่นที่ล้มเหลวจะถูกส่งคืน\r\n\r\nขอบคุณ</t>
    <phoneticPr fontId="1" type="noConversion"/>
  </si>
  <si>
    <t>El refinamiento de HYDRA que solicitaste ha fallado.\r\n\r\nCantidad solicitada: {1}\r\nCosto: Septaria: {2}\r\n\r\nLos materiales del refinamiento fallido te serán devueltos.\r\n\r\nGracias.</t>
    <phoneticPr fontId="1" type="noConversion"/>
  </si>
  <si>
    <t>흑룡의 제단</t>
  </si>
  <si>
    <t>47001~48000</t>
  </si>
  <si>
    <t>46001~47000</t>
  </si>
  <si>
    <t>48001~49000</t>
  </si>
  <si>
    <t>2023.07.06</t>
    <phoneticPr fontId="1" type="noConversion"/>
  </si>
  <si>
    <t>[Mission] Completion Report</t>
    <phoneticPr fontId="1" type="noConversion"/>
  </si>
  <si>
    <t>【任务】完成报告</t>
    <phoneticPr fontId="1" type="noConversion"/>
  </si>
  <si>
    <t>[任務] 完了報告</t>
    <phoneticPr fontId="1" type="noConversion"/>
  </si>
  <si>
    <t>[ภารกิจ] รายงานความสำเร็จ</t>
    <phoneticPr fontId="1" type="noConversion"/>
  </si>
  <si>
    <t>[Misión] Informe de finalización</t>
    <phoneticPr fontId="1" type="noConversion"/>
  </si>
  <si>
    <t>Relatório de conclusão de [Missão]</t>
    <phoneticPr fontId="1" type="noConversion"/>
  </si>
  <si>
    <t>DRACO 제련에 실패하였습니다.</t>
    <phoneticPr fontId="1" type="noConversion"/>
  </si>
  <si>
    <t>DRACO smelting failed.</t>
    <phoneticPr fontId="1" type="noConversion"/>
  </si>
  <si>
    <t>DRACO冶鍊已失敗。</t>
    <phoneticPr fontId="1" type="noConversion"/>
  </si>
  <si>
    <t>DRACO冶炼已失败。</t>
    <phoneticPr fontId="1" type="noConversion"/>
  </si>
  <si>
    <t>DRACO製錬に失敗しました。</t>
    <phoneticPr fontId="1" type="noConversion"/>
  </si>
  <si>
    <t>การถลุง DRACO ล้มเหลว</t>
    <phoneticPr fontId="1" type="noConversion"/>
  </si>
  <si>
    <t>Fundición de DRACO fallida.</t>
    <phoneticPr fontId="1" type="noConversion"/>
  </si>
  <si>
    <t>DRACO smelting failed.\r\nDaily DRACO smelt limit reached.</t>
    <phoneticPr fontId="1" type="noConversion"/>
  </si>
  <si>
    <t>DRACO冶鍊已失敗。\r\nDRACO超出每日冶煉量。</t>
    <phoneticPr fontId="1" type="noConversion"/>
  </si>
  <si>
    <t>DRACO冶炼已失败。\r\nDRACO超出每日冶炼量。</t>
    <phoneticPr fontId="1" type="noConversion"/>
  </si>
  <si>
    <t>DRACO製錬に失敗しました。\r\n1日最大のDRACO製錬数量を超過しました。</t>
    <phoneticPr fontId="1" type="noConversion"/>
  </si>
  <si>
    <t>การถลุง DRACO ล้มเหลว\r\nเกินขีดจำกัดของถลุง DRACO รายวันแล้ว</t>
    <phoneticPr fontId="1" type="noConversion"/>
  </si>
  <si>
    <t>Fundición de DRACO fallida.\r\nSe alcanzó el límite diario de fundición de DRACO.</t>
    <phoneticPr fontId="1" type="noConversion"/>
  </si>
  <si>
    <t>DRACO smelting failed.\r\nTotal DRACO smelt limit reached.</t>
    <phoneticPr fontId="1" type="noConversion"/>
  </si>
  <si>
    <t>DRACO冶鍊已失敗。\r\nDRACO超出總冶煉量。</t>
    <phoneticPr fontId="1" type="noConversion"/>
  </si>
  <si>
    <t>DRACO冶炼已失败。\r\nDRACO超出总冶炼量。</t>
    <phoneticPr fontId="1" type="noConversion"/>
  </si>
  <si>
    <t>DRACO製錬に失敗しました。\r\nDRACOの総製錬数量を超過しました。</t>
    <phoneticPr fontId="1" type="noConversion"/>
  </si>
  <si>
    <t>การถลุง DRACO ล้มเหลว\r\nเกินขีดจำกัดของจำนวนถลุง DRACO ทั้งหมดแล้ว</t>
    <phoneticPr fontId="1" type="noConversion"/>
  </si>
  <si>
    <t>Fundición de DRACO fallida.\r\nSe alcanzó el límite de fundición total de DRACO.</t>
    <phoneticPr fontId="1" type="noConversion"/>
  </si>
  <si>
    <t>Issuing DRACO was unsuccessful because the max limit was reached.</t>
    <phoneticPr fontId="1" type="noConversion"/>
  </si>
  <si>
    <t>DRACO超出每日冶煉量，要求冶煉失敗。</t>
    <phoneticPr fontId="1" type="noConversion"/>
  </si>
  <si>
    <t>เกินขีดจำกัดของถลุง DRACO รายวัน จึงถลุงล้มเหลว</t>
    <phoneticPr fontId="1" type="noConversion"/>
  </si>
  <si>
    <t>Fallo al fundir, debido a que se excedió el límite de fundición diaria de DRACO.</t>
    <phoneticPr fontId="1" type="noConversion"/>
  </si>
  <si>
    <t>[{1}]님이 [{2}] 지역에 흑룡의 제단을 설치 하였습니다.\r\n10분 동안 제단을 방어하면 아래의 보상 버프를 받을 수 있습니다.\r\n\r\n적용 : {3}\r\n적용 : {4}\r\n\r\n단. 우선 순위가 높은 효과를 받고 있는 경우에는 적용되지 않습니다.</t>
    <phoneticPr fontId="1" type="noConversion"/>
  </si>
  <si>
    <t>[{2}] 지역의 흑룡의 제단이 [{1}] 문파의 공격으로 파괴되었습니다.\r\n제단 파괴로 아래의 보상 버프가 사라집니다.\r\n\r\n적용 : {3} \r\n적용 : {4}\r\n단. 차순위 제단을 점령하고 있는 경우에는 해당 효과를 적용 받습니다.</t>
    <phoneticPr fontId="1" type="noConversion"/>
  </si>
  <si>
    <t>[{1}] 지역의 흑룡의 제단 유지시간이 만료되어 회수 되었습니다.\r\n제단 파괴로 아래의 보상 버프가 사라집니다.\r\n\r\n적용 : {2}\r\n적용 : {3}\r\n\r\n단. 차순위 제단을 점령하고 있는 경우에는 해당 효과를 적용 받습니다.</t>
    <phoneticPr fontId="1" type="noConversion"/>
  </si>
  <si>
    <t>2023.08.22</t>
    <phoneticPr fontId="1" type="noConversion"/>
  </si>
  <si>
    <t>Routine Maintenance</t>
    <phoneticPr fontId="1" type="noConversion"/>
  </si>
  <si>
    <t>定期維護</t>
    <phoneticPr fontId="1" type="noConversion"/>
  </si>
  <si>
    <t>定期维护</t>
    <phoneticPr fontId="1" type="noConversion"/>
  </si>
  <si>
    <t>定期メンテナンス</t>
    <phoneticPr fontId="1" type="noConversion"/>
  </si>
  <si>
    <t>การปิดปรับปรุงตามปกติ</t>
    <phoneticPr fontId="1" type="noConversion"/>
  </si>
  <si>
    <t>Mantenimiento rutinario</t>
    <phoneticPr fontId="1" type="noConversion"/>
  </si>
  <si>
    <t>Manutenção de Rotina</t>
    <phoneticPr fontId="1" type="noConversion"/>
  </si>
  <si>
    <t>Bounty Hunt Reward</t>
    <phoneticPr fontId="1" type="noConversion"/>
  </si>
  <si>
    <t>懸賞通緝獎勵</t>
    <phoneticPr fontId="1" type="noConversion"/>
  </si>
  <si>
    <t>悬赏通缉奖励</t>
    <phoneticPr fontId="1" type="noConversion"/>
  </si>
  <si>
    <t>รางวัลประกาศจับ</t>
    <phoneticPr fontId="1" type="noConversion"/>
  </si>
  <si>
    <t>Recompensa por más buscado</t>
    <phoneticPr fontId="1" type="noConversion"/>
  </si>
  <si>
    <t>Recompensa de Mais Procurado</t>
    <phoneticPr fontId="1" type="noConversion"/>
  </si>
  <si>
    <t>Bounty Hunt Completion Reward</t>
    <phoneticPr fontId="1" type="noConversion"/>
  </si>
  <si>
    <t>懸賞通緝完成獎勵</t>
    <phoneticPr fontId="1" type="noConversion"/>
  </si>
  <si>
    <t>悬赏通缉完成奖励</t>
    <phoneticPr fontId="1" type="noConversion"/>
  </si>
  <si>
    <t>รางวัลการประกาศจับสำเร็จ</t>
    <phoneticPr fontId="1" type="noConversion"/>
  </si>
  <si>
    <t>Recompensa de finalización de más buscado</t>
    <phoneticPr fontId="1" type="noConversion"/>
  </si>
  <si>
    <t>Recompensa de conclusão de Mais Procurado</t>
    <phoneticPr fontId="1" type="noConversion"/>
  </si>
  <si>
    <t>Here is your reward for defeating the Bounty Target, {1}.\r\n\r\nCheck the available space in your bag before claiming it.</t>
    <phoneticPr fontId="1" type="noConversion"/>
  </si>
  <si>
    <t>成功擊敗懸賞通緝犯{1}，發放下列獎勵。\r\n\r\n請確認背包空間後領取獎勵。</t>
    <phoneticPr fontId="1" type="noConversion"/>
  </si>
  <si>
    <t>นี่คือรางวัลของคุณสำหรับการเอาชนะอาชญากรประกาศจับได้ {1}\r\n\r\nตรวจสอบที่ว่างในกระเป๋าของคุณก่อนรับรางวัล</t>
    <phoneticPr fontId="1" type="noConversion"/>
  </si>
  <si>
    <t>Aqui está a sua recompensa por derrotar o Criminoso Mais Procurado, {1}.\r\n\r\nVerifique o espaço disponível na sua bolsa antes de a receber.</t>
    <phoneticPr fontId="1" type="noConversion"/>
  </si>
  <si>
    <t>Sent to your mail due to insufficient bag space.</t>
    <phoneticPr fontId="1" type="noConversion"/>
  </si>
  <si>
    <t>背包空間不足，特以信件傳送。</t>
    <phoneticPr fontId="1" type="noConversion"/>
  </si>
  <si>
    <t>背包空间不足，特以信件发送。</t>
    <phoneticPr fontId="1" type="noConversion"/>
  </si>
  <si>
    <t>カバンの空きスロット不足による発送です</t>
    <phoneticPr fontId="1" type="noConversion"/>
  </si>
  <si>
    <t>ส่งให้ทางจดหมายเนื่องจากที่ว่างในกระเป๋าไม่เพียงพอ</t>
    <phoneticPr fontId="1" type="noConversion"/>
  </si>
  <si>
    <t>Enviado al correo por falta de espacio en la bolsa.</t>
    <phoneticPr fontId="1" type="noConversion"/>
  </si>
  <si>
    <t>Enviada para o correio devido a espaço insuficiente na bolsa.</t>
    <phoneticPr fontId="1" type="noConversion"/>
  </si>
  <si>
    <t>Your obtained item\r\n\r\nhas been sent to your mail due to insufficient bag space.\r\n\r\nCollecting the item deletes the mail automatically.</t>
    <phoneticPr fontId="1" type="noConversion"/>
  </si>
  <si>
    <t>獲得アイテムを保存する\r\n\r\nカバンの空きスロット不足のため、メールで発送します\r\n\r\nアイテムを受領すると、メールは自動削除されます</t>
    <phoneticPr fontId="1" type="noConversion"/>
  </si>
  <si>
    <t>ไอเท็มที่ได้รับของคุณ\r\n\r\nถูกส่งให้ทางจดหมายเนื่องจากที่ว่างในกระเป๋าไม่เพียงพอ\r\n\r\nการรับไอเท็มจะลบจดหมายโดยอัตโนมัติ</t>
    <phoneticPr fontId="1" type="noConversion"/>
  </si>
  <si>
    <t>El objeto\r\n\r\nse ha enviado al correo por falta de espacio en la bolsa.\r\n\r\nAl recogerlo, el correo se borra automáticamente.</t>
    <phoneticPr fontId="1" type="noConversion"/>
  </si>
  <si>
    <t>O seu item obtido\r\n\r\nfoi enviado para o correio devido a espaço insuficiente na bolsa.\r\n\r\nAo receber o item, elimina automaticamente a mensagem.</t>
    <phoneticPr fontId="1" type="noConversion"/>
  </si>
  <si>
    <t>Your Raid reward\r\n\r\nhas been sent to your mail due to insufficient bag space.\r\n\r\nCollecting the item deletes the mail automatically.</t>
    <phoneticPr fontId="1" type="noConversion"/>
  </si>
  <si>
    <t>討伐で獲得したアイテムを\r\n\r\nカバンの空きスロット不足のため、メールで発送します\r\n\r\nアイテムを受領すると、メールは自動削除されます</t>
    <phoneticPr fontId="1" type="noConversion"/>
  </si>
  <si>
    <t>รางวัลเรดของคุณ\r\n\r\nถูกส่งให้ทางจดหมายเนื่องจากที่ว่างในกระเป๋าไม่เพียงพอ\r\n\r\nการรับไอเท็มจะลบจดหมายโดยอัตโนมัติ</t>
    <phoneticPr fontId="1" type="noConversion"/>
  </si>
  <si>
    <t>Tu recompensa por Asalto\r\n\r\nse ha enviado al correo por falta de espacio en la bolsa.\r\n\r\nAl recogerla, el correo se borra automáticamente.</t>
    <phoneticPr fontId="1" type="noConversion"/>
  </si>
  <si>
    <t>A sua recompensa de raide\r\n\r\nfoi enviada para o correio devido a espaço insuficiente na bolsa.\r\n\r\nAo receber o item, elimina automaticamente a mensagem.</t>
    <phoneticPr fontId="1" type="noConversion"/>
  </si>
  <si>
    <t>Congratulations on clearing {1}.\r\n\r\nCongratulations on your first success. Here is your reward.\r\n\r\nThank you.</t>
    <phoneticPr fontId="1" type="noConversion"/>
  </si>
  <si>
    <t>恭喜你！成功完成{1}的挑戰。\r\n\r\n為表祝賀首次成功，特此發放下列獎勵。\r\n\r\n謝謝。</t>
    <phoneticPr fontId="1" type="noConversion"/>
  </si>
  <si>
    <t>{1}の討伐完了、おめでとうございます\r\n\r\n初成功のお祝いとして、次の報酬をお送りします</t>
    <phoneticPr fontId="1" type="noConversion"/>
  </si>
  <si>
    <t>ขอแสดงความยินดีกับการเคลียร์ {1}\r\n\r\nยินดีด้วยกับความสำเร็จครั้งแรก และนี่คือรางวัลของคุณ\r\n\r\nขอขอบคุณ</t>
    <phoneticPr fontId="1" type="noConversion"/>
  </si>
  <si>
    <t>Enhorabuena por superar {1}.\r\n\r\nEnhorabuena por tu primer éxito, aquí tienes tu recompensa.\r\n\r\nGracias.</t>
    <phoneticPr fontId="1" type="noConversion"/>
  </si>
  <si>
    <t>Parabéns pela conclusão de {1}.\r\n\r\nParabéns pelo seu primeiro sucesso, e aqui está a sua recompensa.\r\n\r\nObrigado.</t>
    <phoneticPr fontId="1" type="noConversion"/>
  </si>
  <si>
    <t>점령전 랭킹 보상</t>
    <phoneticPr fontId="1" type="noConversion"/>
  </si>
  <si>
    <t>Base Capture Ranking Reward</t>
    <phoneticPr fontId="1" type="noConversion"/>
  </si>
  <si>
    <t>占領戰排位獎勵</t>
    <phoneticPr fontId="1" type="noConversion"/>
  </si>
  <si>
    <t>占领战排位奖励</t>
    <phoneticPr fontId="1" type="noConversion"/>
  </si>
  <si>
    <t>占領戦ランキング報酬</t>
    <phoneticPr fontId="1" type="noConversion"/>
  </si>
  <si>
    <t>รางวัลอันดับการยึดฐาน</t>
    <phoneticPr fontId="1" type="noConversion"/>
  </si>
  <si>
    <t>Recompensa por clasificación en Captura de base</t>
    <phoneticPr fontId="1" type="noConversion"/>
  </si>
  <si>
    <t>Base Capture Ranking Reward Notice</t>
    <phoneticPr fontId="1" type="noConversion"/>
  </si>
  <si>
    <t>占領戰排位獎勵發放說明</t>
    <phoneticPr fontId="1" type="noConversion"/>
  </si>
  <si>
    <t>占领战排位奖励发放说明</t>
    <phoneticPr fontId="1" type="noConversion"/>
  </si>
  <si>
    <t>占領戦ランキング報酬支給の案内</t>
    <phoneticPr fontId="1" type="noConversion"/>
  </si>
  <si>
    <t>การแจ้งเตือนรางวัลอันดับการยึดฐาน</t>
    <phoneticPr fontId="1" type="noConversion"/>
  </si>
  <si>
    <t>Aviso de recompensa por clasificación en Captura de base</t>
    <phoneticPr fontId="1" type="noConversion"/>
  </si>
  <si>
    <t>You have achieved [S] grade in Base Capture.\r\n\r\nHere is the reward for your grade.</t>
    <phoneticPr fontId="1" type="noConversion"/>
  </si>
  <si>
    <t>占领战达到【S】阶级。\r\n\r\n发放阶级相应奖励。</t>
    <phoneticPr fontId="1" type="noConversion"/>
  </si>
  <si>
    <t>占領戦で[ S ]等級を達成しました\r\n\r\n等級による報酬を支給します</t>
    <phoneticPr fontId="1" type="noConversion"/>
  </si>
  <si>
    <t>Has conseguido el grado [S] en Captura de base.\r\n\r\nAquí está tu recompensa por el grado.</t>
    <phoneticPr fontId="1" type="noConversion"/>
  </si>
  <si>
    <t>You have achieved [A] grade in Base Capture.\r\n\r\nHere is the reward for your grade.</t>
    <phoneticPr fontId="1" type="noConversion"/>
  </si>
  <si>
    <t>占领战达到【A】阶级。\r\n\r\n发放阶级相应奖励。</t>
    <phoneticPr fontId="1" type="noConversion"/>
  </si>
  <si>
    <t>占領戦で[ A ]等級を達成しました\r\n\r\n等級による報酬を支給します</t>
    <phoneticPr fontId="1" type="noConversion"/>
  </si>
  <si>
    <t>Has conseguido el grado [A] en Captura de base.\r\n\r\nAquí está tu recompensa por el grado.</t>
    <phoneticPr fontId="1" type="noConversion"/>
  </si>
  <si>
    <t>You have achieved [B] grade in Base Capture.\r\n\r\nHere is the reward for your grade.</t>
    <phoneticPr fontId="1" type="noConversion"/>
  </si>
  <si>
    <t>占领战达到【B】阶级。\r\n\r\n发放阶级相应奖励。</t>
    <phoneticPr fontId="1" type="noConversion"/>
  </si>
  <si>
    <t>占領戦で[ B ]等級を達成しました\r\n\r\n等級による報酬を支給します</t>
    <phoneticPr fontId="1" type="noConversion"/>
  </si>
  <si>
    <t>Has conseguido el grado [B] en Captura de base.\r\n\r\nAquí está tu recompensa por el grado.</t>
    <phoneticPr fontId="1" type="noConversion"/>
  </si>
  <si>
    <t>You have achieved [C] grade in Base Capture.\r\n\r\nHere is the reward for your grade.</t>
    <phoneticPr fontId="1" type="noConversion"/>
  </si>
  <si>
    <t>占领战达到【C】阶级。\r\n\r\n发放阶级相应奖励。</t>
    <phoneticPr fontId="1" type="noConversion"/>
  </si>
  <si>
    <t>占領戦で[ C ]等級を達成しました\r\n\r\n等級による報酬を支給します</t>
    <phoneticPr fontId="1" type="noConversion"/>
  </si>
  <si>
    <t>Has conseguido el grado [C] en Captura de base.\r\n\r\nAquí está tu recompensa por el grado.</t>
    <phoneticPr fontId="1" type="noConversion"/>
  </si>
  <si>
    <t>You have achieved [D] grade in Base Capture.\r\n\r\nHere is the reward for your grade.</t>
    <phoneticPr fontId="1" type="noConversion"/>
  </si>
  <si>
    <t>占领战达到【D】阶级。\r\n\r\n发放阶级相应奖励。</t>
    <phoneticPr fontId="1" type="noConversion"/>
  </si>
  <si>
    <t>占領戦で[ D ]等級を達成しました\r\n\r\n等級による報酬を支給します</t>
    <phoneticPr fontId="1" type="noConversion"/>
  </si>
  <si>
    <t>Has conseguido el grado [D] en Captura de base.\r\n\r\nAquí está tu recompensa por el grado.</t>
    <phoneticPr fontId="1" type="noConversion"/>
  </si>
  <si>
    <t>Base Capture Victory Reward</t>
    <phoneticPr fontId="1" type="noConversion"/>
  </si>
  <si>
    <t>占領戰勝利獎勵</t>
    <phoneticPr fontId="1" type="noConversion"/>
  </si>
  <si>
    <t>占领战胜利奖励</t>
    <phoneticPr fontId="1" type="noConversion"/>
  </si>
  <si>
    <t>占領戦の勝利報酬</t>
    <phoneticPr fontId="1" type="noConversion"/>
  </si>
  <si>
    <t>รางวัลชัยชนะการยึดฐาน</t>
    <phoneticPr fontId="1" type="noConversion"/>
  </si>
  <si>
    <t>Recompensa por victoria en Captura de base</t>
    <phoneticPr fontId="1" type="noConversion"/>
  </si>
  <si>
    <t>Base Capture Participation Victory Reward</t>
    <phoneticPr fontId="1" type="noConversion"/>
  </si>
  <si>
    <t>參與占領戰勝利獎勵</t>
    <phoneticPr fontId="1" type="noConversion"/>
  </si>
  <si>
    <t>参与占领战胜利奖励</t>
    <phoneticPr fontId="1" type="noConversion"/>
  </si>
  <si>
    <t>占領戦参加の勝利報酬</t>
    <phoneticPr fontId="1" type="noConversion"/>
  </si>
  <si>
    <t>รางวัลชัยชนะการเข้าร่วมการยึดฐาน</t>
    <phoneticPr fontId="1" type="noConversion"/>
  </si>
  <si>
    <t>Recompensa por participación en victoria en Captura de base</t>
    <phoneticPr fontId="1" type="noConversion"/>
  </si>
  <si>
    <t>This reward is for the victorious clan and their allies in Base Capture.</t>
    <phoneticPr fontId="1" type="noConversion"/>
  </si>
  <si>
    <t>發放給占領戰獲勝門派及同盟的獎勵。</t>
    <phoneticPr fontId="1" type="noConversion"/>
  </si>
  <si>
    <t>发放给占领战获胜门派及同盟的奖励。</t>
    <phoneticPr fontId="1" type="noConversion"/>
  </si>
  <si>
    <t>占領戦で勝利した門派や同盟に支給する報酬です</t>
    <phoneticPr fontId="1" type="noConversion"/>
  </si>
  <si>
    <t>รางวัลนี้สำหรับแคลนและพันธมิตรที่ได้รับชัยชนะในการยึดฐาน</t>
    <phoneticPr fontId="1" type="noConversion"/>
  </si>
  <si>
    <t>Esta recompensa es para el clan ganador y sus aliados en Captura de base.</t>
    <phoneticPr fontId="1" type="noConversion"/>
  </si>
  <si>
    <t>Base Capture Defeat Reward</t>
    <phoneticPr fontId="1" type="noConversion"/>
  </si>
  <si>
    <t>占領戰失敗獎勵</t>
    <phoneticPr fontId="1" type="noConversion"/>
  </si>
  <si>
    <t>占领战失败奖励</t>
    <phoneticPr fontId="1" type="noConversion"/>
  </si>
  <si>
    <t>占領戦の敗北報酬</t>
    <phoneticPr fontId="1" type="noConversion"/>
  </si>
  <si>
    <t>รางวัลการพ่ายแพ้การยึดฐาน</t>
    <phoneticPr fontId="1" type="noConversion"/>
  </si>
  <si>
    <t>Recompensa por derrota en Captura de base</t>
    <phoneticPr fontId="1" type="noConversion"/>
  </si>
  <si>
    <t>Base Capture Participation Defeat Reward</t>
    <phoneticPr fontId="1" type="noConversion"/>
  </si>
  <si>
    <t>參與占領戰失敗獎勵</t>
    <phoneticPr fontId="1" type="noConversion"/>
  </si>
  <si>
    <t>参与占领战失败奖励</t>
    <phoneticPr fontId="1" type="noConversion"/>
  </si>
  <si>
    <t>占領戦参加の敗北報酬</t>
    <phoneticPr fontId="1" type="noConversion"/>
  </si>
  <si>
    <t>รางวัลการพ่ายแพ้การเข้าร่วมการยึดฐาน</t>
    <phoneticPr fontId="1" type="noConversion"/>
  </si>
  <si>
    <t>Recompensa por participación en derrota en Captura de base</t>
    <phoneticPr fontId="1" type="noConversion"/>
  </si>
  <si>
    <t>This reward is for the defeated clan and their allies in Base Capture.</t>
    <phoneticPr fontId="1" type="noConversion"/>
  </si>
  <si>
    <t>發放給占領戰失敗門派及同盟的獎勵。</t>
    <phoneticPr fontId="1" type="noConversion"/>
  </si>
  <si>
    <t>发放给占领战失败门派及同盟的奖励。</t>
    <phoneticPr fontId="1" type="noConversion"/>
  </si>
  <si>
    <t>占領戦で敗北した門派や同盟に支給する報酬です</t>
    <phoneticPr fontId="1" type="noConversion"/>
  </si>
  <si>
    <t>รางวัลนี้สำหรับแคลนและพันธมิตรที่ได้พ่ายแพ้ในการยึดฐาน</t>
    <phoneticPr fontId="1" type="noConversion"/>
  </si>
  <si>
    <t>Esta recompensa es para el clan perdedor y sus aliados en Captura de base.</t>
    <phoneticPr fontId="1" type="noConversion"/>
  </si>
  <si>
    <t>Valley Capture MVP</t>
    <phoneticPr fontId="1" type="noConversion"/>
  </si>
  <si>
    <t>占領秘谷MVP</t>
    <phoneticPr fontId="1" type="noConversion"/>
  </si>
  <si>
    <t>秘谷占領MVP</t>
    <phoneticPr fontId="1" type="noConversion"/>
  </si>
  <si>
    <t>MVP na Captura do Vale Oculto</t>
    <phoneticPr fontId="1" type="noConversion"/>
  </si>
  <si>
    <t>Selected as MVP in Valley Capture</t>
    <phoneticPr fontId="1" type="noConversion"/>
  </si>
  <si>
    <t>當選秘谷占領戰MVP</t>
    <phoneticPr fontId="1" type="noConversion"/>
  </si>
  <si>
    <t>秘谷占領戦でMVPに選定</t>
    <phoneticPr fontId="1" type="noConversion"/>
  </si>
  <si>
    <t>Escolhido como MVP na Captura do Vale Oculto</t>
    <phoneticPr fontId="1" type="noConversion"/>
  </si>
  <si>
    <t>Congratulations! You have captured {1}.\r\nYou have been selected as MVP for your great contribution in the battle.\r\nClan Coins: {2}\r\nThis reward is available only once for each Valley on the day of the Base Capture.\r\nOnce again, congratulations.</t>
    <phoneticPr fontId="1" type="noConversion"/>
  </si>
  <si>
    <t>おめでとうございます。{1}を占領しました\r\n戦闘に大いに寄与したため、MVPに選ばれました\r\n門派鋳貨：{2}獲得\r\nこの報酬は当日の占領戦を進行すると、秘谷ごとに1回のみ獲得できます\r\n再び、おめでとうございます</t>
    <phoneticPr fontId="1" type="noConversion"/>
  </si>
  <si>
    <t>ขอแสดงความยินดี! คุณได้ยึดครองแล้ว {1}\r\nคุณได้รับเลือกให้เป็น MVP สำหรับผลงานอันยอดเยี่ยมของคุณในการต่อสู้\r\nเหรียญของแคลน: {2}\r\nรางวัลนี้มีให้เพียงแค่หนึ่งครั้งสำหรับหุบเขาลับแต่ละแห่งในวันแห่งการยึดครองฐานทัพ\r\nขอแสดงความยินดีอีกครั้ง</t>
    <phoneticPr fontId="1" type="noConversion"/>
  </si>
  <si>
    <t>Valley Captured</t>
    <phoneticPr fontId="1" type="noConversion"/>
  </si>
  <si>
    <t>占領秘谷</t>
    <phoneticPr fontId="1" type="noConversion"/>
  </si>
  <si>
    <t>占领秘谷</t>
    <phoneticPr fontId="1" type="noConversion"/>
  </si>
  <si>
    <t>秘谷占領</t>
    <phoneticPr fontId="1" type="noConversion"/>
  </si>
  <si>
    <t>Vale Oculto capturado</t>
    <phoneticPr fontId="1" type="noConversion"/>
  </si>
  <si>
    <t>You have captured a Valley.</t>
    <phoneticPr fontId="1" type="noConversion"/>
  </si>
  <si>
    <t>成功占領秘谷。</t>
    <phoneticPr fontId="1" type="noConversion"/>
  </si>
  <si>
    <t>成功占领秘谷。</t>
    <phoneticPr fontId="1" type="noConversion"/>
  </si>
  <si>
    <t>秘谷を占領しました</t>
    <phoneticPr fontId="1" type="noConversion"/>
  </si>
  <si>
    <t>Capturou um Vale Oculto.</t>
    <phoneticPr fontId="1" type="noConversion"/>
  </si>
  <si>
    <t>Congratulations! You have captured {1}.\r\nSell the abundant Darksteel earned from the captured Valley to build the most powerful clan there is.\r\nClan Coins: {2}\r\nClan Funds: {3} (Stored in the Clan Warehouse)\r\nThe next Valley Capture will begin in a week.\r\nThis reward is available only once for each Valley on the day of the Base Capture.</t>
    <phoneticPr fontId="1" type="noConversion"/>
  </si>
  <si>
    <t>恭喜！成功占領{1}。\r\n將占領秘谷中獲取的豐富黑鐵變賣，成為強大的門派吧。\r\n獲得門派鑄幣：{2}\r\n獲得門派資金：{3}（發放至門派倉庫）\r\n下一輪秘谷占領戰將於一週後展開。\r\n該獎勵僅限當天進行占領戰時，每個秘谷獲得1次。</t>
    <phoneticPr fontId="1" type="noConversion"/>
  </si>
  <si>
    <t>恭喜！成功占领{1}。\r\n将占领秘谷中获取的丰富黑铁变卖，成为强大的门派吧。\r\n获得门派铸币：{2}\r\n获得门派资金：{3}（发放至门派仓库）\r\n下一轮秘谷占领战将于一周后展开。\r\n该奖励仅限当天进行占领战时，每个秘谷获得1次。</t>
    <phoneticPr fontId="1" type="noConversion"/>
  </si>
  <si>
    <t>おめでとうございます。{1}を占領しました\r\n占領した秘谷で豊富に採鉱される黒鉄を売却し、最強の門派になってみましょう\r\n門派鋳貨：{2}獲得\r\n門派資金：{3}獲得(門派倉庫へ支給)\r\n次の秘谷占領戦は、1週間後に再び開始されます\r\nこの報酬は、当日の占領戦を進行すると、秘谷ごとに1回のみ獲得できます</t>
    <phoneticPr fontId="1" type="noConversion"/>
  </si>
  <si>
    <t>ขอแสดงความยินดี! คุณได้ยึดครองแล้ว {1}\r\nขายเหล็กดำจำนวนมากที่ได้รับมาจากหุบเขาลับที่ถูกยึดครองไว้ เพื่อสร้างแคลนที่ทรงพลังมากที่สุดที่มี\r\nเหรียญของแคลน: {2}\r\nเงินทุนของแคลน: {3} (ถูกเก็บไว้ในโกดังสินค้าของแคลน)\r\nการยึดครองหุบเขาลับครั้งต่อไปจะเริ่มในอีกหนึ่งสัปดาห์\r\nรางวัลนี้มีให้เพียงแค่หนึ่งครั้งสำหรับหุบเขาลับแต่ละแห่งในวันแห่งการยึดครองฐานทัพ</t>
    <phoneticPr fontId="1" type="noConversion"/>
  </si>
  <si>
    <t>Your Valley is under attack.</t>
    <phoneticPr fontId="1" type="noConversion"/>
  </si>
  <si>
    <t>秘谷正在遭受攻擊。</t>
    <phoneticPr fontId="1" type="noConversion"/>
  </si>
  <si>
    <t>秘谷正在遭受攻击。</t>
    <phoneticPr fontId="1" type="noConversion"/>
  </si>
  <si>
    <t>秘谷が攻撃を受けています</t>
    <phoneticPr fontId="1" type="noConversion"/>
  </si>
  <si>
    <t>O seu Vale Oculto está a ser atacado.</t>
    <phoneticPr fontId="1" type="noConversion"/>
  </si>
  <si>
    <t>Your Valley has been lost.</t>
    <phoneticPr fontId="1" type="noConversion"/>
  </si>
  <si>
    <t>秘谷被搶走了。</t>
    <phoneticPr fontId="1" type="noConversion"/>
  </si>
  <si>
    <t>秘谷被抢走了。</t>
    <phoneticPr fontId="1" type="noConversion"/>
  </si>
  <si>
    <t>秘谷を奪い取られました</t>
    <phoneticPr fontId="1" type="noConversion"/>
  </si>
  <si>
    <t>Perdeu o seu Vale Oculto.</t>
    <phoneticPr fontId="1" type="noConversion"/>
  </si>
  <si>
    <t>Valley Abandoned</t>
    <phoneticPr fontId="1" type="noConversion"/>
  </si>
  <si>
    <t>放棄秘谷</t>
    <phoneticPr fontId="1" type="noConversion"/>
  </si>
  <si>
    <t>放弃秘谷</t>
    <phoneticPr fontId="1" type="noConversion"/>
  </si>
  <si>
    <t>秘谷断念</t>
    <phoneticPr fontId="1" type="noConversion"/>
  </si>
  <si>
    <t>Vale Oculto abandonado</t>
    <phoneticPr fontId="1" type="noConversion"/>
  </si>
  <si>
    <t>The Valley has been abandoned.</t>
    <phoneticPr fontId="1" type="noConversion"/>
  </si>
  <si>
    <t>放棄了秘谷。</t>
    <phoneticPr fontId="1" type="noConversion"/>
  </si>
  <si>
    <t>放弃了秘谷。</t>
    <phoneticPr fontId="1" type="noConversion"/>
  </si>
  <si>
    <t>秘谷を諦めました</t>
    <phoneticPr fontId="1" type="noConversion"/>
  </si>
  <si>
    <t>O Vale Oculto foi abandonado.</t>
    <phoneticPr fontId="1" type="noConversion"/>
  </si>
  <si>
    <t>You have succeeded in capturing {1}.\r\n\r\nThe previously captured {2} is abandoned automatically.\r\n\r\nTypically, you can occupy 1 Valley at a time.</t>
    <phoneticPr fontId="1" type="noConversion"/>
  </si>
  <si>
    <t>成功佔領{1}。\r\n\r\n自動交出先前占領的{2}所有權。\r\n\r\n普通秘谷只限占領1個。</t>
    <phoneticPr fontId="1" type="noConversion"/>
  </si>
  <si>
    <t>成功占领{1}。\r\n\r\n自动交出先前占领的{2}所有权。\r\n\r\n普通秘谷只限占领1个。</t>
    <phoneticPr fontId="1" type="noConversion"/>
  </si>
  <si>
    <t>{1}占領に成功しました\r\n\r\n以前に占領した{2}の所有権を自動で返却します\r\n\r\n一般秘谷は1か所のみ占領できます</t>
    <phoneticPr fontId="1" type="noConversion"/>
  </si>
  <si>
    <t>Capturou {1} com sucesso.\r\n\r\nO {2} anteriormente capturado foi automaticamente abandonado.\r\n\r\nNormalmente, pode ocupar 1 Vale Oculto de cada vez.</t>
    <phoneticPr fontId="1" type="noConversion"/>
  </si>
  <si>
    <t>指名通緝成功</t>
    <phoneticPr fontId="1" type="noConversion"/>
  </si>
  <si>
    <t>指名通缉成功</t>
    <phoneticPr fontId="1" type="noConversion"/>
  </si>
  <si>
    <t>指名手配成功</t>
    <phoneticPr fontId="1" type="noConversion"/>
  </si>
  <si>
    <t>ล่าค่าหัวสำเร็จ</t>
    <phoneticPr fontId="1" type="noConversion"/>
  </si>
  <si>
    <t>Lista de buscados completado</t>
    <phoneticPr fontId="1" type="noConversion"/>
  </si>
  <si>
    <t>Procurado capturado</t>
    <phoneticPr fontId="1" type="noConversion"/>
  </si>
  <si>
    <t>You have caught a Wanted Criminal.</t>
    <phoneticPr fontId="1" type="noConversion"/>
  </si>
  <si>
    <t>Prizes Received</t>
    <phoneticPr fontId="1" type="noConversion"/>
  </si>
  <si>
    <t>发放奖赏</t>
    <phoneticPr fontId="1" type="noConversion"/>
  </si>
  <si>
    <t>褒賞支給</t>
    <phoneticPr fontId="1" type="noConversion"/>
  </si>
  <si>
    <t>มอบบำเหน็จ</t>
    <phoneticPr fontId="1" type="noConversion"/>
  </si>
  <si>
    <t>Premio recibido</t>
    <phoneticPr fontId="1" type="noConversion"/>
  </si>
  <si>
    <t>Prêmios recebidos</t>
    <phoneticPr fontId="1" type="noConversion"/>
  </si>
  <si>
    <t>You have received a prize.</t>
    <phoneticPr fontId="1" type="noConversion"/>
  </si>
  <si>
    <t>獲得獎賞。</t>
    <phoneticPr fontId="1" type="noConversion"/>
  </si>
  <si>
    <t>获得奖赏。</t>
    <phoneticPr fontId="1" type="noConversion"/>
  </si>
  <si>
    <t>褒賞を獲得しました</t>
    <phoneticPr fontId="1" type="noConversion"/>
  </si>
  <si>
    <t>คุณได้รับบำเหน็จแล้ว</t>
    <phoneticPr fontId="1" type="noConversion"/>
  </si>
  <si>
    <t>You have received {1} in appreciation for your efforts.\r\n\r\nYou can obtain various rewards by opening prize boxes.\r\n\r\nWork harder to receive even better prizes.</t>
    <phoneticPr fontId="1" type="noConversion"/>
  </si>
  <si>
    <t>為感謝閣下的辛勞，特此發放{1}。\r\n\r\n開啟獲得的獎賞箱，即可獲得各式各樣的獎勵。\r\n\r\n努力精進獲得更好的獎賞吧。</t>
    <phoneticPr fontId="1" type="noConversion"/>
  </si>
  <si>
    <t>为感谢阁下的辛劳，特此发放{1}。\r\n\r\n开启获得的奖赏箱，即可获得各式各样的奖励。\r\n\r\n努力成长获得更好的奖赏吧。</t>
    <phoneticPr fontId="1" type="noConversion"/>
  </si>
  <si>
    <t>取り組みへの感謝の心を込めて、{1}を支給します\r\n\r\n褒賞箱を獲得して開けると、様々な報酬を獲得できます\r\n\r\n今後も取り組み続けて、さらに豪華な褒賞を獲得してみましょう</t>
    <phoneticPr fontId="1" type="noConversion"/>
  </si>
  <si>
    <t>คุณได้รับ {1} เพื่อเป็นการขอบคุณต่อความพยายามของคุณ\r\n\r\nคุณสามารถรับรางวัลต่างๆ มากมายได้โดยการเปิดกล่องบำเหน็จ\r\n\r\nพยายามให้มากขึ้นเพื่อรับรางวัลที่ดียิ่งขึ้น</t>
    <phoneticPr fontId="1" type="noConversion"/>
  </si>
  <si>
    <t>Has recibido {1} en agradecimiento por tus esfuerzos.\r\n\r\nPuedes conseguir distintas recompensas abriendo cajas de premios.\r\n\r\nEsfuérzate más para conseguir mejores recompensas.</t>
    <phoneticPr fontId="1" type="noConversion"/>
  </si>
  <si>
    <t>Recebeu {1} como agradecimento pelos seus esforços.\r\n\r\nPode obter várias recompensas ao abrir caixas de prêmio.\r\n\r\nEsforce-se mais para receber recompensas ainda melhores.</t>
    <phoneticPr fontId="1" type="noConversion"/>
  </si>
  <si>
    <t>비곡회수</t>
    <phoneticPr fontId="1" type="noConversion"/>
  </si>
  <si>
    <t>秘谷回收</t>
    <phoneticPr fontId="1" type="noConversion"/>
  </si>
  <si>
    <t>秘谷回収</t>
    <phoneticPr fontId="1" type="noConversion"/>
  </si>
  <si>
    <t>Vale Oculto Retirado</t>
    <phoneticPr fontId="1" type="noConversion"/>
  </si>
  <si>
    <t>비곡을 회수당했습니다.</t>
    <phoneticPr fontId="1" type="noConversion"/>
  </si>
  <si>
    <t>秘谷被回收。</t>
    <phoneticPr fontId="1" type="noConversion"/>
  </si>
  <si>
    <t>秘谷が回収されました</t>
    <phoneticPr fontId="1" type="noConversion"/>
  </si>
  <si>
    <t>O Vale Oculto foi retirado.</t>
    <phoneticPr fontId="1" type="noConversion"/>
  </si>
  <si>
    <t>{1} 의 점령석의 소유권을 지키지 못하여\r\n\r\n비곡을 회수 당했습니다.\r\n\r\n다음 비곡 점령전은 일주일 후에 다시 시작합니다.</t>
    <phoneticPr fontId="1" type="noConversion"/>
  </si>
  <si>
    <t>未能守住{1}的占領石所有權。\r\n\r\n秘谷被回收。\r\n\r\n下一次的秘谷占領戰將於一周後重新開始。</t>
    <phoneticPr fontId="1" type="noConversion"/>
  </si>
  <si>
    <t>未能守住{1}的占领石所有权。\r\n\r\n秘谷被回收。\r\n\r\n下一次的秘谷占领战将于一周后重新开始。</t>
    <phoneticPr fontId="1" type="noConversion"/>
  </si>
  <si>
    <t>{1}の占領石の所有権を守れなかったため\r\n\r\n秘谷が回収されました\r\n\r\n次の秘谷占領戦は一週間後に再び開始されます</t>
    <phoneticPr fontId="1" type="noConversion"/>
  </si>
  <si>
    <t>A propriedade da Pedra de Captura de {1} foi perdida,\r\n\r\npor isso o Vale Oculto foi retirado.\r\n\r\nA próxima Captura do Vale Oculto começará dentro de uma semana.</t>
    <phoneticPr fontId="1" type="noConversion"/>
  </si>
  <si>
    <t>국왕이 [수렵허가]를 선포하였습니다.\r\n\r\n왕명의 효과로 일정시간 동안 [사냥 경험치 증가, 사냥 금전획득량 증가, 드랍확률 증가] 능력이 상승합니다.\r\n\r\n국왕님의 은총에 감사드립니다!</t>
    <phoneticPr fontId="1" type="noConversion"/>
  </si>
  <si>
    <t>The King has decreed the [Hunting Permission].\r\n\r\nThe [Hunting EXP Boost, Hunting Copper Gain Boost, and Drop Chance Boost] abilities will be increased for a certain amount of time due to the decree.\r\n\r\nAll hail the generous King!</t>
    <phoneticPr fontId="1" type="noConversion"/>
  </si>
  <si>
    <t>国王已宣布【允许狩猎】敕令。\r\n\r\n受到敕令的效果影响，将在一定时间内提升【狩猎经验值增加、狩猎铜钱获得量增加和掉落率增加】能力值。\r\n\r\n感谢国王的恩宠！</t>
    <phoneticPr fontId="1" type="noConversion"/>
  </si>
  <si>
    <t>El rey ha decretado el mandato [Permiso de caza].\r\n\r\nLas estadísticas de [Aum. de EXP de caza, Aum. de probab. de cobre de caza y Aum. de probab. de caída] aumentarán durante un tiempo mediante el efecto del mandato.\r\n\r\n¡Alabado sea el generoso rey!</t>
    <phoneticPr fontId="1" type="noConversion"/>
  </si>
  <si>
    <t>O Rei declarou [Permissão de Caça].\r\n\r\nO Comando Real eleva as habilidades de [Aumento de EXP de Caça, Aumento de Ganho de Ouro de Caça e Aumento da Probabilidade de Obtenção] durante o tempo estabelecido.\r\n\r\nSaúdem o generoso Rei!</t>
    <phoneticPr fontId="1" type="noConversion"/>
  </si>
  <si>
    <t>국왕이 [채집독려]를 선포하였습니다.\r\n\r\n왕명의 효과로 일정시간 동안 [채집시간 가속, 진기채집시간 가속, 행운드랍 확률증가] 능력이 상승합니다.\r\n\r\n국왕님의 은총에 감사드립니다!</t>
    <phoneticPr fontId="1" type="noConversion"/>
  </si>
  <si>
    <t>The King has decreed the [Gathering Encouragement].\r\n\r\nThe [Gathering Boost, Energy Gathering Boost, and Lucky Drop Chance Boost] abilities will be increased for a certain amount of time due to the decree.\r\n\r\nAll hail the generous King!</t>
    <phoneticPr fontId="1" type="noConversion"/>
  </si>
  <si>
    <t>O Rei declarou [Incentivo de Recolha].\r\n\r\nO Comando Real eleva as habilidades de [Aceleramento do Tempo de Recolha, Aceleramento do Tempo de Recolha de Energia e Aumento da Probabilidade de Obtenção de Sorte] durante o tempo estabelecido.\r\n\r\nSaúdem o generoso Rei!</t>
    <phoneticPr fontId="1" type="noConversion"/>
  </si>
  <si>
    <t>국왕이 [왕국수호]를 선포하였습니다.\r\n\r\n왕명의 효과로 일정시간 동안 [PVP 공격피해 증가, 받는 PVP 피해 감소] 능력이 상승합니다.\r\n\r\n국왕님의 은총에 감사드립니다!</t>
    <phoneticPr fontId="1" type="noConversion"/>
  </si>
  <si>
    <t>ราชาได้ประกาศคำสั่งให้ [ปกป้องอาณาจักร]\r\n\r\nเอฟเฟกต์จากคำสั่งจะเพิ่มค่าสถานะ [เพิ่มความเสียหายพลังโจมตีใน PvP, ลดความเสียหายที่ได้รับใน PvP] เป็นระยะเวลาหนึ่ง\r\n\r\nพวกเราซาบซึ้งในความกรุณาของท่านราชา!</t>
    <phoneticPr fontId="1" type="noConversion"/>
  </si>
  <si>
    <t>O Rei declarou [Proteção do Reino].\r\n\r\nO Comando Real eleva as habilidades de [Aumento do DANO DE ATAQUE em PvP e Redução de DANO em PvP] durante o tempo estabelecido.\r\n\r\nSaúdem o generoso Rei!</t>
    <phoneticPr fontId="1" type="noConversion"/>
  </si>
  <si>
    <t>흑철 지급</t>
    <phoneticPr fontId="1" type="noConversion"/>
  </si>
  <si>
    <t>Darksteel Distribution</t>
    <phoneticPr fontId="1" type="noConversion"/>
  </si>
  <si>
    <t>發放黑鐵</t>
    <phoneticPr fontId="1" type="noConversion"/>
  </si>
  <si>
    <t>黑铁发放</t>
    <phoneticPr fontId="1" type="noConversion"/>
  </si>
  <si>
    <t>黒鉄支給</t>
    <phoneticPr fontId="1" type="noConversion"/>
  </si>
  <si>
    <t>การแจกจ่ายเหล็กดำ</t>
    <phoneticPr fontId="1" type="noConversion"/>
  </si>
  <si>
    <t>흑철이 지급되었습니다.</t>
    <phoneticPr fontId="1" type="noConversion"/>
  </si>
  <si>
    <t>Darksteel has been given.</t>
    <phoneticPr fontId="1" type="noConversion"/>
  </si>
  <si>
    <t>已發放黑鐵。</t>
    <phoneticPr fontId="1" type="noConversion"/>
  </si>
  <si>
    <t>已发放黑铁。</t>
    <phoneticPr fontId="1" type="noConversion"/>
  </si>
  <si>
    <t>黒鉄が支給されました</t>
    <phoneticPr fontId="1" type="noConversion"/>
  </si>
  <si>
    <t>ได้รับเหล็กดำแล้ว</t>
    <phoneticPr fontId="1" type="noConversion"/>
  </si>
  <si>
    <t>El Acero Oscuro ha sido dado.</t>
    <phoneticPr fontId="1" type="noConversion"/>
  </si>
  <si>
    <t>{1}門派の{2}さんが{3}領地倉庫の{4}を{5}個送りました</t>
    <phoneticPr fontId="1" type="noConversion"/>
  </si>
  <si>
    <t>{2} จาก {1}แคลนได้มอบ {5} {4}จาก {3} ไปยังคลังของดินแดน</t>
    <phoneticPr fontId="1" type="noConversion"/>
  </si>
  <si>
    <t>{2} de {1}clan ha dado {5} {4}de {3} almacén del territorio.</t>
    <phoneticPr fontId="1" type="noConversion"/>
  </si>
  <si>
    <t>{2} de {1} clã deu {5} {4} de {3} armazém do território.</t>
    <phoneticPr fontId="1" type="noConversion"/>
  </si>
  <si>
    <t>Distribute Gold</t>
    <phoneticPr fontId="1" type="noConversion"/>
  </si>
  <si>
    <t>發放金幣</t>
    <phoneticPr fontId="1" type="noConversion"/>
  </si>
  <si>
    <t>发放金币</t>
    <phoneticPr fontId="1" type="noConversion"/>
  </si>
  <si>
    <t>金貨支給</t>
    <phoneticPr fontId="1" type="noConversion"/>
  </si>
  <si>
    <t>แจกจ่ายทอง</t>
    <phoneticPr fontId="1" type="noConversion"/>
  </si>
  <si>
    <t>Gold was given.</t>
    <phoneticPr fontId="1" type="noConversion"/>
  </si>
  <si>
    <t>金币发放完毕。</t>
    <phoneticPr fontId="1" type="noConversion"/>
  </si>
  <si>
    <t>金貨が支給されました。</t>
    <phoneticPr fontId="1" type="noConversion"/>
  </si>
  <si>
    <t>แจกทองแล้ว</t>
    <phoneticPr fontId="1" type="noConversion"/>
  </si>
  <si>
    <t>Se dio oro.</t>
    <phoneticPr fontId="1" type="noConversion"/>
  </si>
  <si>
    <t>Here is your reward for a successful Clan Expedition.\r\n\r\nThe reward has been sent to your mail due to insufficient bag space.\r\n\r\nThank you.</t>
    <phoneticPr fontId="1" type="noConversion"/>
  </si>
  <si>
    <t>門派遠征成功，特此發放下列獎勵。\r\n\r\n背包空間不足，獎勵將透過信件傳送。\r\n\r\n謝謝。</t>
    <phoneticPr fontId="1" type="noConversion"/>
  </si>
  <si>
    <t>門派遠征に成功したので、次の報酬を支給します\r\n\r\nカバンの空きスロット不足のため、メールで発送します</t>
    <phoneticPr fontId="1" type="noConversion"/>
  </si>
  <si>
    <t>นี่คือรางวัลการสำรวจของแคลนของคุณ\r\n\r\nรางวัลถูกส่งให้ทางจดหมายเนื่องจากที่ว่างในกระเป๋าไม่เพียงพอ\r\n\r\nขอขอบคุณ</t>
    <phoneticPr fontId="1" type="noConversion"/>
  </si>
  <si>
    <t>Aquí tienes tu recompensa por una Expedición de Clan completada.\r\n\r\nLa recompensa se ha enviado al correo por falta de espacio en la bolsa.\r\n\r\nGracias.</t>
    <phoneticPr fontId="1" type="noConversion"/>
  </si>
  <si>
    <t>Aqui está a sua recompensa por uma Expedição do Clã bem sucedida.\r\n\r\nA sua recompensa foi enviada para o correio devido a espaço insuficiente na bolsa.\r\n\r\nObrigado.</t>
    <phoneticPr fontId="1" type="noConversion"/>
  </si>
  <si>
    <t>흑철 판매종료</t>
    <phoneticPr fontId="1" type="noConversion"/>
  </si>
  <si>
    <t>Darksteel Sale Ended</t>
    <phoneticPr fontId="1" type="noConversion"/>
  </si>
  <si>
    <t>黑鐵出售結束</t>
    <phoneticPr fontId="1" type="noConversion"/>
  </si>
  <si>
    <t>黑铁出售结束</t>
    <phoneticPr fontId="1" type="noConversion"/>
  </si>
  <si>
    <t>黒鉄販売終了</t>
    <phoneticPr fontId="1" type="noConversion"/>
  </si>
  <si>
    <t>การขายเหล็กดำสิ้นสุดลงแล้ว</t>
    <phoneticPr fontId="1" type="noConversion"/>
  </si>
  <si>
    <t>Venta de acero oscuro finalizada</t>
    <phoneticPr fontId="1" type="noConversion"/>
  </si>
  <si>
    <t>Venda de Aço Negro terminada</t>
    <phoneticPr fontId="1" type="noConversion"/>
  </si>
  <si>
    <t>흑철 상인의 흑철 판매가 종료 되었습니다.</t>
    <phoneticPr fontId="1" type="noConversion"/>
  </si>
  <si>
    <t>The Darksteel Merchant has ended the Darksteel sale.</t>
    <phoneticPr fontId="1" type="noConversion"/>
  </si>
  <si>
    <t>黑鐵商人已停止出售黑鐵。</t>
    <phoneticPr fontId="1" type="noConversion"/>
  </si>
  <si>
    <t>黑铁商人已停止出售黑铁。</t>
    <phoneticPr fontId="1" type="noConversion"/>
  </si>
  <si>
    <t>黒鉄商人が黒鉄の販売を終了しました</t>
    <phoneticPr fontId="1" type="noConversion"/>
  </si>
  <si>
    <t>เจ้าของร้านค้าเหล็กดำได้สิ้นสุดการขายเหล็กดำแล้ว</t>
    <phoneticPr fontId="1" type="noConversion"/>
  </si>
  <si>
    <t>El mercader de acero oscuro ha finalizado su venta.</t>
    <phoneticPr fontId="1" type="noConversion"/>
  </si>
  <si>
    <t>[ {1} ] 흑철 상인의 흑철 판매가 종료되었습니다.\r\n사유 : 흑철상인 운영시간 종료\r\n수익 : {2} 금화.\r\n회수한 흑철 : {3} 개\r\n미회수 흑철 : {4} 개\r\n비곡 점령을 유지하면 계속해서 흑철을 판매할 수 있습니다.</t>
    <phoneticPr fontId="1" type="noConversion"/>
  </si>
  <si>
    <t>The [{1}] Darksteel Merchant has ended the Darksteel sale.\r\nReason: Darksteel Merchant operating hours ended\r\nProfit: {2} Gold\r\nRetrieved Darksteel: {3}\r\nUnretrieved Darksteel: {4}\r\nYou can continue selling Darksteel if you are occupying the Valley.</t>
    <phoneticPr fontId="1" type="noConversion"/>
  </si>
  <si>
    <t>【{1}】黑铁商人已停止出售黑铁。\r\n原因：黑铁商人营运时间结束\r\n收益：{2}金币。\r\n回收黑铁：{3}个\r\n未回收黑铁：{4}个\r\n保持秘谷占领状态，即可继续出售黑铁。</t>
    <phoneticPr fontId="1" type="noConversion"/>
  </si>
  <si>
    <t>[{1}]黒鉄商人が黒鉄の販売を終了しました\r\n理由：黒鉄商人運営時間終了\r\n収益：{2}金貨\r\n回収した黒鉄：{3}個\r\n未回収黒鉄：{4}個\r\n秘谷占領を維持すると、継続して黒鉄を販売できます</t>
    <phoneticPr fontId="1" type="noConversion"/>
  </si>
  <si>
    <t>판매한 흑철이 매진 되었습니다.</t>
    <phoneticPr fontId="1" type="noConversion"/>
  </si>
  <si>
    <t>Darksteel has sold out.</t>
    <phoneticPr fontId="1" type="noConversion"/>
  </si>
  <si>
    <t>出售中的黑鐵售罄。</t>
    <phoneticPr fontId="1" type="noConversion"/>
  </si>
  <si>
    <t>出售中的黑铁售罄。</t>
    <phoneticPr fontId="1" type="noConversion"/>
  </si>
  <si>
    <t>販売した黒鉄が品切れになりました</t>
    <phoneticPr fontId="1" type="noConversion"/>
  </si>
  <si>
    <t>เหล็กดำได้ถูกขายหมดแล้ว</t>
    <phoneticPr fontId="1" type="noConversion"/>
  </si>
  <si>
    <t>El acero oscuro se ha agotado.</t>
    <phoneticPr fontId="1" type="noConversion"/>
  </si>
  <si>
    <t>[ {1} ] 흑철 상인의 흑철 판매가 종료되었습니다.\r\n사유 : 매진\r\n수익 : {2} 금화\r\n판매 수익은 문파 창고로 바로 저장됩니다.</t>
    <phoneticPr fontId="1" type="noConversion"/>
  </si>
  <si>
    <t>The [{1}] Darksteel Merchant has ended the Darksteel sale.\r\nReason: Sold out\r\nProfit: {2} Gold\r\nThe sales profits are saved directly to the Clan Warehouse.</t>
    <phoneticPr fontId="1" type="noConversion"/>
  </si>
  <si>
    <t>【{1}】黑铁商人已停止出售黑铁。\r\n原因：售罄\r\n收益：{2}金币\r\n收益将直接储存于门派仓库。</t>
    <phoneticPr fontId="1" type="noConversion"/>
  </si>
  <si>
    <t>[{1}]黒鉄商人が黒鉄の販売を終了しました\r\n理由：品切れ\r\n収益：{2}金貨\r\n販売収益は門派倉庫に即時保存されます</t>
    <phoneticPr fontId="1" type="noConversion"/>
  </si>
  <si>
    <t>El mercader de acero oscuro [{1}] ha finalizado su venta.\r\nMotivo: se ha agotado\r\nBeneficio: {2} de oro\r\nLos beneficios de ventas se guardan directamente en el almacén del clan.</t>
    <phoneticPr fontId="1" type="noConversion"/>
  </si>
  <si>
    <t>흑철 판매가 취소 되었습니다.</t>
    <phoneticPr fontId="1" type="noConversion"/>
  </si>
  <si>
    <t>Darksteel sale canceled.</t>
    <phoneticPr fontId="1" type="noConversion"/>
  </si>
  <si>
    <t>已取消出售黑鐵。</t>
    <phoneticPr fontId="1" type="noConversion"/>
  </si>
  <si>
    <t>已取消出售黑铁。</t>
    <phoneticPr fontId="1" type="noConversion"/>
  </si>
  <si>
    <t>黒鉄売却が取り消されました</t>
    <phoneticPr fontId="1" type="noConversion"/>
  </si>
  <si>
    <t>การขายเหล็กดำถูกยกเลิก</t>
    <phoneticPr fontId="1" type="noConversion"/>
  </si>
  <si>
    <t>La venta de acero oscuro se ha cancelado.</t>
    <phoneticPr fontId="1" type="noConversion"/>
  </si>
  <si>
    <t>Venda de Aço Negro cancelada.</t>
    <phoneticPr fontId="1" type="noConversion"/>
  </si>
  <si>
    <t>[ {1} ] 흑철 상인의 흑철 판매가 종료되었습니다.\r\n사유 : [ {5} ] 님이 흑철 판매를 취소\r\n수익 : {2} 금화\r\n회수한 흑철 : {3} 개\r\n미회수 흑철 : {4} 개\r\n미 회수 흑철은 자동으로 삭제됩니다.</t>
    <phoneticPr fontId="1" type="noConversion"/>
  </si>
  <si>
    <t>The [{1}] Darksteel Merchant has ended the Darksteel sale.\r\nReason: Darksteel sale canceled by [{5}] \r\nProfit: {2} Gold\r\nRetrieved Darksteel: {3}\r\nUnretrieved Darksteel: {4}\r\nUnretrieved Darksteel is automatically deleted.</t>
    <phoneticPr fontId="1" type="noConversion"/>
  </si>
  <si>
    <t>【{1}】黑铁商人已停止出售黑铁。\r\n原因：玩家【{5}】取消出售黑铁\r\n收益：{2}金币\r\n回收的黑铁：{3}个\r\n未回收黑铁：{4}个\r\n未回收的黑铁将自动删除。</t>
    <phoneticPr fontId="1" type="noConversion"/>
  </si>
  <si>
    <t>[{1}]黒鉄商人が黒鉄の販売を終了しました\r\n理由：[{5}]さんが黒鉄の販売を取り下げ\r\n収益：{2}金貨\r\n回収した黒鉄：{3}個\r\n未回収黒鉄：{4}個\r\n未回収黒鉄は自動削除されます</t>
    <phoneticPr fontId="1" type="noConversion"/>
  </si>
  <si>
    <t>El mercader de acero oscuro [{1}] ha finalizado su venta.\r\nMotivo: venta de acero oscuro cancelada por [{5}]\r\nBeneficio: {2} de oro\r\nAcero oscuro recuperado: {3}\r\nAcero oscuro no recuperado: {4}\r\nEl acero oscuro no recuperado se elimina.</t>
    <phoneticPr fontId="1" type="noConversion"/>
  </si>
  <si>
    <t>흑철 판매가 중단 되었습니다.</t>
    <phoneticPr fontId="1" type="noConversion"/>
  </si>
  <si>
    <t>Darksteel sale has stopped.</t>
    <phoneticPr fontId="1" type="noConversion"/>
  </si>
  <si>
    <t>黑鐵停止出售。</t>
    <phoneticPr fontId="1" type="noConversion"/>
  </si>
  <si>
    <t>黑铁停止出售。</t>
    <phoneticPr fontId="1" type="noConversion"/>
  </si>
  <si>
    <t>黒鉄の販売が中断されました</t>
    <phoneticPr fontId="1" type="noConversion"/>
  </si>
  <si>
    <t>การขายเหล็กดำได้หยุดลงแล้ว</t>
    <phoneticPr fontId="1" type="noConversion"/>
  </si>
  <si>
    <t>La venta de acero oscuro ha parado.</t>
    <phoneticPr fontId="1" type="noConversion"/>
  </si>
  <si>
    <t>[ {1} ] 흑철 상인의 흑철 판매가 종료되었습니다.\r\n사유 : 문파창고의 문파금화 여유공간 없음\r\n수익 : {2} 금화\r\n회수한 흑철 : {3} 개\r\n미회수 흑철 : {4} 개\r\n미 회수 흑철은 자동으로 삭제됩니다.</t>
    <phoneticPr fontId="1" type="noConversion"/>
  </si>
  <si>
    <t>The [{1}] Darksteel Merchant has ended the Darksteel sale.\r\nReason: Not enough Clan Gold space in the Clan Warehouse\r\nProfit: {2} Gold\r\nRetrieved Darksteel: {3}\r\nUnretrieved Darksteel: {4}\r\nUnretrieved Darksteel is automatically deleted.</t>
    <phoneticPr fontId="1" type="noConversion"/>
  </si>
  <si>
    <t>【{1}】黑铁商人已停止出售黑铁。\r\n原因：门派仓库的门派金币剩余空间不足\r\n收益：{2}金币\r\n回收的黑铁：{3}个\r\n未回收黑铁：{4}个\r\n未回收的黑铁将自动删除。</t>
    <phoneticPr fontId="1" type="noConversion"/>
  </si>
  <si>
    <t>[{1}]黒鉄商人が黒鉄の販売を終了しました\r\n理由：門派倉庫に門派金貨の貯蔵空間なし\r\n収益：{2}金貨\r\n回収した黒鉄：{3}個\r\n未回収黒鉄：{4}個\r\n未回収黒鉄は自動削除されます</t>
    <phoneticPr fontId="1" type="noConversion"/>
  </si>
  <si>
    <t>El mercader de acero oscuro [{1}] ha finalizado su venta.\r\nMotivo: no hay espacio para oro en el almacén del clan\r\nBeneficio: {2} de oro\r\nAcero oscuro recuperado: {3}\r\nAcero oscuro no recuperado: {4}\r\nEl acero oscuro no recuperado se elimina.</t>
    <phoneticPr fontId="1" type="noConversion"/>
  </si>
  <si>
    <t>After much deliberation, {1} has decided to transfer the leadership to {2}.\r\n\r\nPlease welcome the new leader.</t>
    <phoneticPr fontId="1" type="noConversion"/>
  </si>
  <si>
    <t>{1}玩家在深思熟慮後，決定將掌門之位傳於{2}玩家。\r\n\r\n請大家歡迎新掌門。</t>
    <phoneticPr fontId="1" type="noConversion"/>
  </si>
  <si>
    <t>玩家{1}在深思熟虑后，决定将掌门之位传于玩家{2}。\r\n\r\n请大家欢迎新掌门。</t>
    <phoneticPr fontId="1" type="noConversion"/>
  </si>
  <si>
    <t>หลังการพิจารณาอย่างถี่ถ้วนแล้ว {1} ได้ตัดสินใจที่จะส่งต่อผู้นำให้กับ {2}\r\n\r\nโปรดต้อนรับผู้นำแคลนคนใหม่</t>
    <phoneticPr fontId="1" type="noConversion"/>
  </si>
  <si>
    <t>Tras una larga reflexión, {1} ha decidido ceder el liderazgo del clan a {2}.\r\n\r\nDale la bienvenida al nuevo líder del clan.</t>
    <phoneticPr fontId="1" type="noConversion"/>
  </si>
  <si>
    <t>Após muita deliberação, {1} decidiu transferir a liderança do clã para {2}.\r\n\r\nDê as boas vindas ao novo líder do clã.</t>
    <phoneticPr fontId="1" type="noConversion"/>
  </si>
  <si>
    <t>감사드립니다.\r\n기부액수 - {4} {5} 기부\r\n기부보상 - 기부 액수의 {2}%인 {1} {3} 지급\r\n기부는 언제나 환영합니다.</t>
    <phoneticPr fontId="1" type="noConversion"/>
  </si>
  <si>
    <t>문파 전쟁을 선포 하였습니다.</t>
    <phoneticPr fontId="1" type="noConversion"/>
  </si>
  <si>
    <t>Clan War declared.</t>
    <phoneticPr fontId="1" type="noConversion"/>
  </si>
  <si>
    <t>已進行門派宣戰。</t>
    <phoneticPr fontId="1" type="noConversion"/>
  </si>
  <si>
    <t>門派戦争を宣戦布告しました</t>
    <phoneticPr fontId="1" type="noConversion"/>
  </si>
  <si>
    <t>สงครามของแคลนถูกประกาศแล้ว</t>
    <phoneticPr fontId="1" type="noConversion"/>
  </si>
  <si>
    <t>Guerra de clanes declarada.</t>
    <phoneticPr fontId="1" type="noConversion"/>
  </si>
  <si>
    <t>Guerra de Clãs declarada.</t>
    <phoneticPr fontId="1" type="noConversion"/>
  </si>
  <si>
    <t>문파 전쟁을 응전 하였습니다.</t>
    <phoneticPr fontId="1" type="noConversion"/>
  </si>
  <si>
    <t>The clan war has been accepted.</t>
    <phoneticPr fontId="1" type="noConversion"/>
  </si>
  <si>
    <t>已應戰門派戰爭。</t>
    <phoneticPr fontId="1" type="noConversion"/>
  </si>
  <si>
    <t>門派戦争に応戦しました</t>
    <phoneticPr fontId="1" type="noConversion"/>
  </si>
  <si>
    <t>สงครามของแคลนได้รับการยอมรับแล้ว</t>
    <phoneticPr fontId="1" type="noConversion"/>
  </si>
  <si>
    <t>La guerra de clan se ha aceptado.</t>
    <phoneticPr fontId="1" type="noConversion"/>
  </si>
  <si>
    <t>A guerra de clãs foi aceite.</t>
    <phoneticPr fontId="1" type="noConversion"/>
  </si>
  <si>
    <t>문파 동맹요청이 들어왔습니다.</t>
    <phoneticPr fontId="1" type="noConversion"/>
  </si>
  <si>
    <t>A clan alliance request has arrived.</t>
    <phoneticPr fontId="1" type="noConversion"/>
  </si>
  <si>
    <t>收到門派結盟請求。</t>
    <phoneticPr fontId="1" type="noConversion"/>
  </si>
  <si>
    <t>收到门派结盟请求。</t>
    <phoneticPr fontId="1" type="noConversion"/>
  </si>
  <si>
    <t>門派同盟要請を受けました。</t>
    <phoneticPr fontId="1" type="noConversion"/>
  </si>
  <si>
    <t>มีคำขอพันธมิตรแคลนมาถึงคุณ</t>
    <phoneticPr fontId="1" type="noConversion"/>
  </si>
  <si>
    <t>Has recibido una solicitud de alianza del clan.</t>
    <phoneticPr fontId="1" type="noConversion"/>
  </si>
  <si>
    <t>Chegou um pedido de aliança de clã.</t>
    <phoneticPr fontId="1" type="noConversion"/>
  </si>
  <si>
    <t>문파 전쟁이 시작되었습니다.</t>
    <phoneticPr fontId="1" type="noConversion"/>
  </si>
  <si>
    <t>A clan war has begun.</t>
    <phoneticPr fontId="1" type="noConversion"/>
  </si>
  <si>
    <t>門派戰爭開始。</t>
    <phoneticPr fontId="1" type="noConversion"/>
  </si>
  <si>
    <t>门派战争已开始。</t>
    <phoneticPr fontId="1" type="noConversion"/>
  </si>
  <si>
    <t>門派戦争が始まりました。</t>
    <phoneticPr fontId="1" type="noConversion"/>
  </si>
  <si>
    <t>สงครามแคลนเริ่มขึ้นแล้ว</t>
    <phoneticPr fontId="1" type="noConversion"/>
  </si>
  <si>
    <t>La guerra de clanes ha iniciado.</t>
    <phoneticPr fontId="1" type="noConversion"/>
  </si>
  <si>
    <t>A Guerra de Clãs começou.</t>
    <phoneticPr fontId="1" type="noConversion"/>
  </si>
  <si>
    <t>문파 동맹요청이 수락 되었습니다.</t>
    <phoneticPr fontId="1" type="noConversion"/>
  </si>
  <si>
    <t>The clan alliance request has been accepted.</t>
    <phoneticPr fontId="1" type="noConversion"/>
  </si>
  <si>
    <t>已接受門派結盟請求。</t>
    <phoneticPr fontId="1" type="noConversion"/>
  </si>
  <si>
    <t>已同意门派结盟请求。</t>
    <phoneticPr fontId="1" type="noConversion"/>
  </si>
  <si>
    <t>門派同盟要請が承認されました。</t>
    <phoneticPr fontId="1" type="noConversion"/>
  </si>
  <si>
    <t>ยอมรับคำขอเป็นพันธมิตรแคลนแล้ว</t>
    <phoneticPr fontId="1" type="noConversion"/>
  </si>
  <si>
    <t>La solicitud de alianza del clan ha sido aceptada.</t>
    <phoneticPr fontId="1" type="noConversion"/>
  </si>
  <si>
    <t>O pedido de aliança de clã foi aceito.</t>
    <phoneticPr fontId="1" type="noConversion"/>
  </si>
  <si>
    <t>문파 도전에 성공하여 다음의 보상을 전해드립니다.\r\n\r\n가방의 여유공간이 부족하여 우편으로 보내드립니다.\r\n\r\n감사합니다.</t>
    <phoneticPr fontId="1" type="noConversion"/>
  </si>
  <si>
    <t>Here is your reward for a successful Clan Challenge.\r\n\r\nThe reward has been sent to your mail due to insufficient bag space.\r\n\r\nThank you.</t>
    <phoneticPr fontId="1" type="noConversion"/>
  </si>
  <si>
    <t>門派挑戰成功，特此發放下列獎勵。\r\n\r\n背包空間不足，獎勵將透過信件傳送。\r\n\r\n謝謝。</t>
    <phoneticPr fontId="1" type="noConversion"/>
  </si>
  <si>
    <t>門派挑戦に成功したため、次の報酬を支給します\r\n\r\nカバンの空きスロット不足のため、ポストにお送りします</t>
    <phoneticPr fontId="1" type="noConversion"/>
  </si>
  <si>
    <t>นี่คือรางวัลของคุณสำหรับการท้าทายแคลนที่สำเร็จเรียบร้อยแล้ว\r\n\r\nรางวัลถูกส่งไปยังอีเมลของคุณแล้ว เนื่องจากพื้นที่ในกระเป๋าไม่เพียงพอ\r\n\r\nขอบคุณ</t>
    <phoneticPr fontId="1" type="noConversion"/>
  </si>
  <si>
    <t>Aquí tienes tu recompensa por un Desafío de Clan exitoso.\r\n\r\n La recompensa ha sido enviada a tu correo debido a que el espacio de la bolsa es insuficiente.\r\n\r\n Gracias.</t>
    <phoneticPr fontId="1" type="noConversion"/>
  </si>
  <si>
    <t>Aqui está sua recompensa por um Desafio do Clã bem-sucedido.\r\n\r\nA recompensa foi enviada para seu e-mail devido ao espaço insuficiente na bolsa.\r\n\r\nObrigado.</t>
    <phoneticPr fontId="1" type="noConversion"/>
  </si>
  <si>
    <t>添加悬赏通缉</t>
    <phoneticPr fontId="1" type="noConversion"/>
  </si>
  <si>
    <t>ถูกลงทะเบียนประกาศจับแล้ว</t>
    <phoneticPr fontId="1" type="noConversion"/>
  </si>
  <si>
    <t>懸賞通緝結束</t>
    <phoneticPr fontId="1" type="noConversion"/>
  </si>
  <si>
    <t>悬赏通缉结束</t>
    <phoneticPr fontId="1" type="noConversion"/>
  </si>
  <si>
    <t>การประกาศจับสิ้นสุดแล้ว</t>
    <phoneticPr fontId="1" type="noConversion"/>
  </si>
  <si>
    <t>Fin de más buscado</t>
    <phoneticPr fontId="1" type="noConversion"/>
  </si>
  <si>
    <t>Período como Mais Procurado terminado</t>
    <phoneticPr fontId="1" type="noConversion"/>
  </si>
  <si>
    <t>You have been registered as a Bounty Target.</t>
    <phoneticPr fontId="1" type="noConversion"/>
  </si>
  <si>
    <t>已添加悬赏通缉目标。</t>
    <phoneticPr fontId="1" type="noConversion"/>
  </si>
  <si>
    <t>ลงทะเบียนเป็นเป้าหมายการประกาศจับแล้ว</t>
    <phoneticPr fontId="1" type="noConversion"/>
  </si>
  <si>
    <t>Registrado como objetivo más buscado.</t>
    <phoneticPr fontId="1" type="noConversion"/>
  </si>
  <si>
    <t>懸賞通緝時間結束。</t>
    <phoneticPr fontId="1" type="noConversion"/>
  </si>
  <si>
    <t>悬赏通缉时间结束。</t>
    <phoneticPr fontId="1" type="noConversion"/>
  </si>
  <si>
    <t>ระยะเวลาการประกาศจับหมดลงแล้ว</t>
    <phoneticPr fontId="1" type="noConversion"/>
  </si>
  <si>
    <t>El tiempo de más buscado ha finalizado.</t>
    <phoneticPr fontId="1" type="noConversion"/>
  </si>
  <si>
    <t>O período como Mais Procurado expirou.</t>
    <phoneticPr fontId="1" type="noConversion"/>
  </si>
  <si>
    <t>已被添加为悬赏通缉目标。\r\n\r\n请小心周围的敌人。</t>
    <phoneticPr fontId="1" type="noConversion"/>
  </si>
  <si>
    <t>คุณถูกลงทะเบียนเป็นเป้าหมายการประกาศจับ\r\n\r\nโปรดระวังศัตรูรอบตัวคุณให้ดี</t>
    <phoneticPr fontId="1" type="noConversion"/>
  </si>
  <si>
    <t>Se te ha registrado como objetivo más buscado.\r\n\r\nTen cuidado con los enemigos a tu alrededor.</t>
    <phoneticPr fontId="1" type="noConversion"/>
  </si>
  <si>
    <t>懸賞通緝時間結束，{1}玩家\r\n\r\n不再是懸賞通緝犯。</t>
    <phoneticPr fontId="1" type="noConversion"/>
  </si>
  <si>
    <t>悬赏通缉时间结束，{1}玩家\r\n\r\n不再是悬赏通缉犯。</t>
    <phoneticPr fontId="1" type="noConversion"/>
  </si>
  <si>
    <t>ระยะเวลาการประกาศจับหมดลงแล้วและ {1} ไม่ใช่ \r\n\r\nอาชญากรประกาศจับอีกต่อไป</t>
    <phoneticPr fontId="1" type="noConversion"/>
  </si>
  <si>
    <t>El periodo de más buscado ha finalizado y {1} ya no es\r\n\r\nel delincuente más buscado.</t>
    <phoneticPr fontId="1" type="noConversion"/>
  </si>
  <si>
    <t>O período de Mais Procurado expirou e {1} já não é\r\n\r\num Criminoso Mais Procurado.</t>
    <phoneticPr fontId="1" type="noConversion"/>
  </si>
  <si>
    <t>Clan Alliance Accepted</t>
    <phoneticPr fontId="1" type="noConversion"/>
  </si>
  <si>
    <t>門派同盟承認</t>
    <phoneticPr fontId="1" type="noConversion"/>
  </si>
  <si>
    <t>พันธมิตรของแคลนได้รับการยอมรับ</t>
    <phoneticPr fontId="1" type="noConversion"/>
  </si>
  <si>
    <t>Alianza de clan aceptada</t>
    <phoneticPr fontId="1" type="noConversion"/>
  </si>
  <si>
    <t>Aliança de clã aceite</t>
    <phoneticPr fontId="1" type="noConversion"/>
  </si>
  <si>
    <t>Clan Alliance Declined</t>
    <phoneticPr fontId="1" type="noConversion"/>
  </si>
  <si>
    <t>拒絕門派結盟</t>
    <phoneticPr fontId="1" type="noConversion"/>
  </si>
  <si>
    <t>門派同盟拒否</t>
    <phoneticPr fontId="1" type="noConversion"/>
  </si>
  <si>
    <t>พันธมิตรของแคลนถูกปฏิเสธ</t>
    <phoneticPr fontId="1" type="noConversion"/>
  </si>
  <si>
    <t>Alianza de clan rechazada</t>
    <phoneticPr fontId="1" type="noConversion"/>
  </si>
  <si>
    <t>Aliança de clã rejeitada</t>
    <phoneticPr fontId="1" type="noConversion"/>
  </si>
  <si>
    <t>Castle Siege_Mail Title</t>
    <phoneticPr fontId="1" type="noConversion"/>
  </si>
  <si>
    <t>攻城戰_信件標題</t>
    <phoneticPr fontId="1" type="noConversion"/>
  </si>
  <si>
    <t>攻城战_信件标题</t>
    <phoneticPr fontId="1" type="noConversion"/>
  </si>
  <si>
    <t>攻城戦_メール件名</t>
    <phoneticPr fontId="1" type="noConversion"/>
  </si>
  <si>
    <t>สงครามยึดปราสาท_หัวข้อ จดหมาย</t>
    <phoneticPr fontId="1" type="noConversion"/>
  </si>
  <si>
    <t>Asedio al castillo_Título de correo</t>
    <phoneticPr fontId="1" type="noConversion"/>
  </si>
  <si>
    <t>Cerco do castelo_Título Correio</t>
    <phoneticPr fontId="1" type="noConversion"/>
  </si>
  <si>
    <t>Castle Siege</t>
    <phoneticPr fontId="1" type="noConversion"/>
  </si>
  <si>
    <t>攻城戰</t>
    <phoneticPr fontId="1" type="noConversion"/>
  </si>
  <si>
    <t>攻城战</t>
    <phoneticPr fontId="1" type="noConversion"/>
  </si>
  <si>
    <t>攻城戦</t>
    <phoneticPr fontId="1" type="noConversion"/>
  </si>
  <si>
    <t>สงครามยึดปราสาท</t>
    <phoneticPr fontId="1" type="noConversion"/>
  </si>
  <si>
    <t>Asedio al castillo</t>
    <phoneticPr fontId="1" type="noConversion"/>
  </si>
  <si>
    <t>Castle Siege_Subtitle</t>
    <phoneticPr fontId="1" type="noConversion"/>
  </si>
  <si>
    <t>攻城戰_副標題</t>
    <phoneticPr fontId="1" type="noConversion"/>
  </si>
  <si>
    <t>攻城战_副标题</t>
    <phoneticPr fontId="1" type="noConversion"/>
  </si>
  <si>
    <t>攻城戦_副題</t>
    <phoneticPr fontId="1" type="noConversion"/>
  </si>
  <si>
    <t>สงครามยึดปราสาท_หัวข้อรอง</t>
    <phoneticPr fontId="1" type="noConversion"/>
  </si>
  <si>
    <t>Subtítulo_Asedio al castillo</t>
    <phoneticPr fontId="1" type="noConversion"/>
  </si>
  <si>
    <t>Cerco do castelo_Legenda</t>
    <phoneticPr fontId="1" type="noConversion"/>
  </si>
  <si>
    <t>Defeat</t>
    <phoneticPr fontId="1" type="noConversion"/>
  </si>
  <si>
    <t>戰敗</t>
    <phoneticPr fontId="1" type="noConversion"/>
  </si>
  <si>
    <t>失败</t>
    <phoneticPr fontId="1" type="noConversion"/>
  </si>
  <si>
    <t>敗北</t>
    <phoneticPr fontId="1" type="noConversion"/>
  </si>
  <si>
    <t>แพ้</t>
    <phoneticPr fontId="1" type="noConversion"/>
  </si>
  <si>
    <t>Derrota</t>
    <phoneticPr fontId="1" type="noConversion"/>
  </si>
  <si>
    <t>Castle Siege_Mail Content</t>
    <phoneticPr fontId="1" type="noConversion"/>
  </si>
  <si>
    <t>攻城戰_信件內容</t>
    <phoneticPr fontId="1" type="noConversion"/>
  </si>
  <si>
    <t>攻城战_信件内容</t>
    <phoneticPr fontId="1" type="noConversion"/>
  </si>
  <si>
    <t>攻城戦_メール本文</t>
    <phoneticPr fontId="1" type="noConversion"/>
  </si>
  <si>
    <t>สงครามยึดปราสาท_เนื้อหา จดหมาย</t>
    <phoneticPr fontId="1" type="noConversion"/>
  </si>
  <si>
    <t>Contenido de correo_Asedio al castillo</t>
    <phoneticPr fontId="1" type="noConversion"/>
  </si>
  <si>
    <t>Cerco do castelo_Conteúdo Correio</t>
    <phoneticPr fontId="1" type="noConversion"/>
  </si>
  <si>
    <t>Congratulations!\r\nYour clan was victorious in the {1} Castle Siege.</t>
    <phoneticPr fontId="1" type="noConversion"/>
  </si>
  <si>
    <t>恭喜！\r\n所屬門派於{1}攻城戰中獲勝。</t>
    <phoneticPr fontId="1" type="noConversion"/>
  </si>
  <si>
    <t>恭喜！\r\n所属门派于{1}攻城战中获胜。</t>
    <phoneticPr fontId="1" type="noConversion"/>
  </si>
  <si>
    <t>おめでとうございます！\r\n所属した門派が{1}攻城戦で勝利しました</t>
    <phoneticPr fontId="1" type="noConversion"/>
  </si>
  <si>
    <t>ขอแสดงความยินดี!\r\nแคลนของคุณได้ชัยชนะใน {1} การทำสงครามยึดปราสาท</t>
    <phoneticPr fontId="1" type="noConversion"/>
  </si>
  <si>
    <t>¡Enhorabuena!\r\nTu clan ha ganado el Asedio al castillo {1}.</t>
    <phoneticPr fontId="1" type="noConversion"/>
  </si>
  <si>
    <t>Parabéns!\r\nO seu clã saiu vitorioso no Cerco do castelo {1}.</t>
    <phoneticPr fontId="1" type="noConversion"/>
  </si>
  <si>
    <t>You lost the {1} Castle Siege.\r\nYour total personal score for this Castle Siege is {2} points,\r\nand you are ranked #{3}.</t>
    <phoneticPr fontId="1" type="noConversion"/>
  </si>
  <si>
    <t>在{1}攻城战中失败。\r\n本轮攻城战获得的个人总分为{2}分，\r\n排位达到第{3}名。</t>
    <phoneticPr fontId="1" type="noConversion"/>
  </si>
  <si>
    <t>{1}攻城戦で敗北しました\r\nこの攻城戦で獲得した個人スコアは合計{2}点で、\r\nランキング{3}位を達成しました</t>
    <phoneticPr fontId="1" type="noConversion"/>
  </si>
  <si>
    <t>คุณพ่ายแพ้ {1} การทำสงครามยึดปราสาท\r\nคะแนนรวมส่วนตัวของคุณสำหรับการทำสงครามยึดปราสาทคือ {2} คะแนน\r\nและคุณอยู่ในอันดับที่ #{3}</t>
    <phoneticPr fontId="1" type="noConversion"/>
  </si>
  <si>
    <t>Has perdido el Asedio al castillo {1}.\r\nTu puntuación personal total para este Asedio al castillo es de {2} puntos\r\ny tu clasificación es {3}.</t>
    <phoneticPr fontId="1" type="noConversion"/>
  </si>
  <si>
    <t>Perdeu o Cerco do castelo {1}.\r\nA sua pontuação pessoal total para este Cerco do castelo foi de {2} pontos,\r\ne ficou classificado em n.º {3}.</t>
    <phoneticPr fontId="1" type="noConversion"/>
  </si>
  <si>
    <t>Your clan was defeated in the {1} Castle Siege.</t>
    <phoneticPr fontId="1" type="noConversion"/>
  </si>
  <si>
    <t>所屬門派於{1}攻城戰中戰敗。</t>
    <phoneticPr fontId="1" type="noConversion"/>
  </si>
  <si>
    <t>所属门派于{1}攻城战中战败。</t>
    <phoneticPr fontId="1" type="noConversion"/>
  </si>
  <si>
    <t>所属した門派が{1}攻城戦で敗北しました</t>
    <phoneticPr fontId="1" type="noConversion"/>
  </si>
  <si>
    <t>แคลนของคุณพ่ายแพ้ในการทำสงครามยึดปราสาท {1}</t>
    <phoneticPr fontId="1" type="noConversion"/>
  </si>
  <si>
    <t>Tu clan ha perdido el Asedio al castillo {1}.</t>
    <phoneticPr fontId="1" type="noConversion"/>
  </si>
  <si>
    <t>O seu clã foi derrotado no Cerco do castelo {1}.</t>
    <phoneticPr fontId="1" type="noConversion"/>
  </si>
  <si>
    <t>Congratulations!\r\nYou are the MVP of the {1} Castle Siege.\r\nYour total personal score for this Castle Siege is {2} points.</t>
    <phoneticPr fontId="1" type="noConversion"/>
  </si>
  <si>
    <t>恭喜你！\r\n{1}成為攻城戰的MVP。\r\n本輪攻城戰獲得的個人總分為{2}分。</t>
    <phoneticPr fontId="1" type="noConversion"/>
  </si>
  <si>
    <t>おめでとうございます！\r\n{1}攻城戦でMVPになりました\r\nその攻城戦で獲得した個人スコアは合計{2}点です</t>
    <phoneticPr fontId="1" type="noConversion"/>
  </si>
  <si>
    <t>ขอแสดงความยินดี!\r\nคุณเป็น MVP ของ {1} การทำสงครามยึดปราสาท\r\nคะแนนรวมส่วนตัวของคุณสำหรับการทำสงครามยึดปราสาทคือ {2} คะแนน</t>
    <phoneticPr fontId="1" type="noConversion"/>
  </si>
  <si>
    <t>¡Enhorabuena!\r\nEres el MVP del Asedio al castillo {1}.\r\nTu puntuación personal total para este Asedio al castillo es de {2} puntos.</t>
    <phoneticPr fontId="1" type="noConversion"/>
  </si>
  <si>
    <t>Parabéns!\r\nFoi o MVP do Cerco do castelo {1}.\r\nA sua pontuação pessoal total para este Cerco do castelo foi de {2} pontos.</t>
    <phoneticPr fontId="1" type="noConversion"/>
  </si>
  <si>
    <t>Congratulations!\r\nYour clan was victorious in the {1} Castle Siege.\r\nYou have obtained the [{2}] territory and [{3}] Clan Funds.\r\nTerritory benefits such as withdrawing taxes and giving prizes are now available.</t>
    <phoneticPr fontId="1" type="noConversion"/>
  </si>
  <si>
    <t>恭喜！\r\n所属门派于{1}攻城战中获胜。\r\n获得【{2}】领地和【{3}】的门派资金作为奖励。\r\n现在起可使用提取税金、发放奖赏等领地相关特惠。</t>
    <phoneticPr fontId="1" type="noConversion"/>
  </si>
  <si>
    <t>おめでとうございます！\r\n所属した門派が{1}攻城戦で勝利しました\r\n報酬として{2}領地と{3}の門派資金を獲得しました\r\nこれから税金の引き出しや褒賞支給など、領地に関する特典をご利用いただけます</t>
    <phoneticPr fontId="1" type="noConversion"/>
  </si>
  <si>
    <t>Parabéns!\r\nO seu clã foi vitorioso no Cerco do Castelo {1}.\r\nVocê ganhou o território [{2}] e obteve Fundos do Clã [{3}].\r\nAgora você pode aproveitar os benefícios por ocupar o território, como retirar fundos de impostos, conceder prêmios entre outros.</t>
    <phoneticPr fontId="1" type="noConversion"/>
  </si>
  <si>
    <t>恭喜！\r\n所屬門派於{1}攻城戰中獲勝，獲得{2}領地作為獎勵。\r\n現在起可使用提取稅金、賦予稱謂、發放獎賞、發布敕令、指名通緝等領地相關特惠。</t>
    <phoneticPr fontId="1" type="noConversion"/>
  </si>
  <si>
    <t>恭喜！\r\n所属门派于{1}攻城战中获胜，获得{2}领地作为奖励。\r\n现在起可使用提取税金、赋予称谓、发放奖赏、发布敕令、指名通缉等领地相关特惠。</t>
    <phoneticPr fontId="1" type="noConversion"/>
  </si>
  <si>
    <t>おめでとうございます！\r\n所属した門派が{1}攻城戦で勝利し、{2}領地を報酬として獲得しました\r\nこれから税金の引き出し・称号付与・褒賞支給・勅命公表・指名手配など、領地に関する特典をご利用いただけます</t>
    <phoneticPr fontId="1" type="noConversion"/>
  </si>
  <si>
    <t>Your clan was defeated in the {1} Castle Siege and lost the {2} territory.\r\nBenefits from the {2} territory are no longer available.</t>
    <phoneticPr fontId="1" type="noConversion"/>
  </si>
  <si>
    <t>所屬門派於{1}攻城戰中戰敗，喪失了{2}領地的所有權。\r\n現在起，將無法使用{2}領地相關的特惠。</t>
    <phoneticPr fontId="1" type="noConversion"/>
  </si>
  <si>
    <t>所属门派于{1}攻城战中战败，丧失了{2}领地的所有权。\r\n现在起，将无法使用{2}领地相关的特惠。</t>
    <phoneticPr fontId="1" type="noConversion"/>
  </si>
  <si>
    <t>所属門派が{1}攻城戦で敗北し、{2}領地の所有権を喪失しました\r\nこれから{2}領地に関する特典をご利用いただけません</t>
    <phoneticPr fontId="1" type="noConversion"/>
  </si>
  <si>
    <t>แคลนของคุณพ่ายแพ้ในการทำสงครามยึดปราสาท {1} และสูญเสียเขตแดน {2} \r\n สิทธิประโยชน์จากเขตแดน {2} ไม่พร้อมให้ใช้งานอีกต่อไป</t>
    <phoneticPr fontId="1" type="noConversion"/>
  </si>
  <si>
    <t>Tu clan ha perdido el Asedio al castillo de {1} y ha perdido el territorio de {2}.\r\nLos beneficios del territorio de {2} ya no están disponibles.</t>
    <phoneticPr fontId="1" type="noConversion"/>
  </si>
  <si>
    <t>O seu clã foi derrotado no Cerco do castelo {1} e perdeu o território {2}.\r\nOs benefícios do território {2} já não estão disponíveis.</t>
    <phoneticPr fontId="1" type="noConversion"/>
  </si>
  <si>
    <t>The alliance with the [{2}] clan has been automatically removed because of the {1} Castle Siege. You cannot maintain an alliance with the opposing clan while the Castle Siege is in progress.</t>
    <phoneticPr fontId="1" type="noConversion"/>
  </si>
  <si>
    <t>因{1}攻城戰，已自動解除與{2}門派的結盟關係。攻城戰過程中，無法與對手陣營門派保持結盟關係。</t>
    <phoneticPr fontId="1" type="noConversion"/>
  </si>
  <si>
    <t>因{1}攻城战，已自动解除与{2}门派的结盟关系。攻城战过程中，无法与对手阵营门派保持结盟关系。</t>
    <phoneticPr fontId="1" type="noConversion"/>
  </si>
  <si>
    <t>{1}攻城戦により[{2}]門派との同盟は自動解除されました。攻城戦が行われている間は相手陣営の門派と同盟を維持することができません</t>
    <phoneticPr fontId="1" type="noConversion"/>
  </si>
  <si>
    <t>การเป็นพันธมิตร [{2}] กับแคลนถูกลบออกโดยอัตโนมัติเนื่องจาก {1} มีการทำสงครามยึดปราสาท คุณไม่สามารถรักษาพันธมิตรกับแคลนฝ่ายตรงข้ามได้ในขณะที่ดำเนินการสงครามยึดปราสาทอยู่</t>
    <phoneticPr fontId="1" type="noConversion"/>
  </si>
  <si>
    <t>La alianza con el clan [{2}] se ha eliminado automáticamente a causa del Asedio al castillo {1}. No puedes mantener una alianza con el clan oponente durante el transcurso del Asedio al castillo.</t>
    <phoneticPr fontId="1" type="noConversion"/>
  </si>
  <si>
    <t>A aliança com o clã [{2}] foi automaticamente removida por causa do Cerco do castelo {1}. Não pode manter uma aliança com o clã oponente enquanto o Cerco do castelo está em curso.</t>
    <phoneticPr fontId="1" type="noConversion"/>
  </si>
  <si>
    <t>PVP 승리</t>
    <phoneticPr fontId="1" type="noConversion"/>
  </si>
  <si>
    <t>PvP Victory</t>
    <phoneticPr fontId="1" type="noConversion"/>
  </si>
  <si>
    <t>PvP獲勝</t>
    <phoneticPr fontId="1" type="noConversion"/>
  </si>
  <si>
    <t>PvP勝利</t>
    <phoneticPr fontId="1" type="noConversion"/>
  </si>
  <si>
    <t>ชัยชนะ PvP</t>
    <phoneticPr fontId="1" type="noConversion"/>
  </si>
  <si>
    <t>Victoria en JcJ</t>
    <phoneticPr fontId="1" type="noConversion"/>
  </si>
  <si>
    <t>Vitória em PvP</t>
    <phoneticPr fontId="1" type="noConversion"/>
  </si>
  <si>
    <t>PVP에서 승리하였습니다.</t>
    <phoneticPr fontId="1" type="noConversion"/>
  </si>
  <si>
    <t>You have won in PvP.</t>
    <phoneticPr fontId="1" type="noConversion"/>
  </si>
  <si>
    <t>PvP獲勝。</t>
    <phoneticPr fontId="1" type="noConversion"/>
  </si>
  <si>
    <t>PvPで勝利しました</t>
    <phoneticPr fontId="1" type="noConversion"/>
  </si>
  <si>
    <t>คุณชนะใน PvP</t>
    <phoneticPr fontId="1" type="noConversion"/>
  </si>
  <si>
    <t>Venceu em PvP.</t>
    <phoneticPr fontId="1" type="noConversion"/>
  </si>
  <si>
    <t>You have won against {1} in PvP.\r\n\r\nEarned Alignment Points: {2}\r\nAlignment: {4} ({3} points)</t>
    <phoneticPr fontId="1" type="noConversion"/>
  </si>
  <si>
    <t>與玩家{1}的PvP中獲勝。\r\n\r\n獲得性格分：{2}\r\n性格階級：{4}（{3}分）</t>
    <phoneticPr fontId="1" type="noConversion"/>
  </si>
  <si>
    <t>{1}さんとのPvPで勝利しました\r\n\r\n獲得性向スコア：{2}\r\n性向等級：{4}({3}点)</t>
    <phoneticPr fontId="1" type="noConversion"/>
  </si>
  <si>
    <t>คุณได้เอาชนะ {1} ในการดวลระหว่างผู้เล่น\r\n\r\nคะแนนของการจัดตำแหน่งที่ได้รับ: {2}\r\nระดับอุปนิสัย: {4} ({3} คะแนน)</t>
    <phoneticPr fontId="1" type="noConversion"/>
  </si>
  <si>
    <t>Has ganado contra {1} en el modo JcJ.\r\n\r\nPuntos de tendencia ganados: {2}\r\nTendencia: {4} ({3} puntos)</t>
    <phoneticPr fontId="1" type="noConversion"/>
  </si>
  <si>
    <t>Venceu contra {1} em PvP.\r\n\r\nPontos de tendência ganhos: {2}\r\nTendência: {4} ({3} pontos)</t>
    <phoneticPr fontId="1" type="noConversion"/>
  </si>
  <si>
    <t>PVP 패배</t>
    <phoneticPr fontId="1" type="noConversion"/>
  </si>
  <si>
    <t>PvP Defeat</t>
    <phoneticPr fontId="1" type="noConversion"/>
  </si>
  <si>
    <t>PvP戰敗</t>
    <phoneticPr fontId="1" type="noConversion"/>
  </si>
  <si>
    <t>PvP敗北</t>
    <phoneticPr fontId="1" type="noConversion"/>
  </si>
  <si>
    <t>พ่ายแพ้ PvP</t>
    <phoneticPr fontId="1" type="noConversion"/>
  </si>
  <si>
    <t>Derrota en JcJ</t>
    <phoneticPr fontId="1" type="noConversion"/>
  </si>
  <si>
    <t>Derrota em PvP</t>
    <phoneticPr fontId="1" type="noConversion"/>
  </si>
  <si>
    <t>PVP에서 패배하였습니다.</t>
    <phoneticPr fontId="1" type="noConversion"/>
  </si>
  <si>
    <t>You have lost in PvP.</t>
    <phoneticPr fontId="1" type="noConversion"/>
  </si>
  <si>
    <t>PvP戰敗。</t>
    <phoneticPr fontId="1" type="noConversion"/>
  </si>
  <si>
    <t>PvPで敗北しました</t>
    <phoneticPr fontId="1" type="noConversion"/>
  </si>
  <si>
    <t>คุณพ่ายแพ้ใน PvP</t>
    <phoneticPr fontId="1" type="noConversion"/>
  </si>
  <si>
    <t>Has perdido en el modo JcJ.</t>
    <phoneticPr fontId="1" type="noConversion"/>
  </si>
  <si>
    <t>Perdeu em PvP.</t>
    <phoneticPr fontId="1" type="noConversion"/>
  </si>
  <si>
    <t>You have lost against {1} in PvP.\r\nInvesting in Constitution, Inner Force, Enhancement, and Crafting can help you become stronger.</t>
    <phoneticPr fontId="1" type="noConversion"/>
  </si>
  <si>
    <t>Has obtenido la victoria en JcJ.</t>
    <phoneticPr fontId="1" type="noConversion"/>
  </si>
  <si>
    <t>Você venceu em PvP.</t>
    <phoneticPr fontId="1" type="noConversion"/>
  </si>
  <si>
    <t>[{1}] {2}님과의 PVP에서 승리하였습니다.\r\n\r\n획득 성향점수: {3}\r\n현재 성향 등급: {5} ({4}점)</t>
    <phoneticPr fontId="1" type="noConversion"/>
  </si>
  <si>
    <t>You have won against [{1}] {2} in PvP.\r\n\r\nEarned Alignment Points: {3}\r\nCurrent Alignment: {5} ({4} points)</t>
    <phoneticPr fontId="1" type="noConversion"/>
  </si>
  <si>
    <t>[{1}]{2}さんとのPvPで勝利しました\r\n\r\n獲得性向スコア：{3}\r\n現在の性向等級：{5}({4}点)</t>
    <phoneticPr fontId="1" type="noConversion"/>
  </si>
  <si>
    <t>Has derrotado a {2} de [{1}] en JcJ.\r\n\r\nPuntos de tendencia obtenido.{3}\r\nTendencia actual: {5} ({4})</t>
    <phoneticPr fontId="1" type="noConversion"/>
  </si>
  <si>
    <t>Você foi vitorioso contra {2} [{1}] em PvP.\r\n\r\nPontos de Tendência obtidos: {3}\r\nTendência atual: {5} ({4} pontos)</t>
    <phoneticPr fontId="1" type="noConversion"/>
  </si>
  <si>
    <t>Você foi derrotado em PvP.</t>
    <phoneticPr fontId="1" type="noConversion"/>
  </si>
  <si>
    <t>[{1}] {2}님과의 PVP에서 패배하였습니다.\r\n체질, 내공, 강화, 제작 등을 통해 좀더 강해질 수 있습니다.</t>
    <phoneticPr fontId="1" type="noConversion"/>
  </si>
  <si>
    <t>You have lost against [{1}] {2} in PvP.\r\nInvesting in Constitution, Inner Force, Enhancement, and Crafting can help you become stronger.</t>
    <phoneticPr fontId="1" type="noConversion"/>
  </si>
  <si>
    <t>[{1}]{2}さんとのPvPで敗北しました\r\n体質、内功、強化、製作などでさらに強くなれます</t>
    <phoneticPr fontId="1" type="noConversion"/>
  </si>
  <si>
    <t>Has sido derrotado por {2} de [{1}] en JcJ.\r\nFortalécete a través de la constitución, Chi, desarrollo y fabricación.</t>
    <phoneticPr fontId="1" type="noConversion"/>
  </si>
  <si>
    <t>Você foi derrotado por {2} [{1}] em PvP.\r\nFique mais forte através de Constituição, Chi, Aprimoramento, Criação e outros.</t>
    <phoneticPr fontId="1" type="noConversion"/>
  </si>
  <si>
    <t>DRACO 제련 성공</t>
    <phoneticPr fontId="1" type="noConversion"/>
  </si>
  <si>
    <t>DRACO Smelting Success</t>
    <phoneticPr fontId="1" type="noConversion"/>
  </si>
  <si>
    <t>DRACO冶煉成功</t>
    <phoneticPr fontId="1" type="noConversion"/>
  </si>
  <si>
    <t>DRACO冶炼成功</t>
    <phoneticPr fontId="1" type="noConversion"/>
  </si>
  <si>
    <t>DRACO製錬成功</t>
    <phoneticPr fontId="1" type="noConversion"/>
  </si>
  <si>
    <t>Éxito de la Fundición de DRACO</t>
    <phoneticPr fontId="1" type="noConversion"/>
  </si>
  <si>
    <t>Sucesso da Fundição de DRACO</t>
    <phoneticPr fontId="1" type="noConversion"/>
  </si>
  <si>
    <t>DRACO 제련 실패</t>
    <phoneticPr fontId="1" type="noConversion"/>
  </si>
  <si>
    <t>DRACO Smelting Failure</t>
    <phoneticPr fontId="1" type="noConversion"/>
  </si>
  <si>
    <t>DRACO冶煉失敗</t>
    <phoneticPr fontId="1" type="noConversion"/>
  </si>
  <si>
    <t>DRACO冶炼失败</t>
    <phoneticPr fontId="1" type="noConversion"/>
  </si>
  <si>
    <t>DRACO製錬失敗</t>
    <phoneticPr fontId="1" type="noConversion"/>
  </si>
  <si>
    <t>Falla de la Fundición de DRACO</t>
    <phoneticPr fontId="1" type="noConversion"/>
  </si>
  <si>
    <t>Falha da Fundição de DRACO</t>
    <phoneticPr fontId="1" type="noConversion"/>
  </si>
  <si>
    <t>Darksteel Exchange Success</t>
    <phoneticPr fontId="1" type="noConversion"/>
  </si>
  <si>
    <t>黑鐵交換成功</t>
    <phoneticPr fontId="1" type="noConversion"/>
  </si>
  <si>
    <t>黑铁交换成功</t>
    <phoneticPr fontId="1" type="noConversion"/>
  </si>
  <si>
    <t>黒鉄交換成功</t>
    <phoneticPr fontId="1" type="noConversion"/>
  </si>
  <si>
    <t>แลกเปลี่ยนเหล็กดำสำเร็จ</t>
    <phoneticPr fontId="1" type="noConversion"/>
  </si>
  <si>
    <t>Éxito del Intercambio de Acero Oscuro</t>
    <phoneticPr fontId="1" type="noConversion"/>
  </si>
  <si>
    <t>Darksteel Exchange Failure</t>
    <phoneticPr fontId="1" type="noConversion"/>
  </si>
  <si>
    <t>黑鐵交換失敗</t>
    <phoneticPr fontId="1" type="noConversion"/>
  </si>
  <si>
    <t>黑铁交换失败</t>
    <phoneticPr fontId="1" type="noConversion"/>
  </si>
  <si>
    <t>黒鉄交換失敗</t>
    <phoneticPr fontId="1" type="noConversion"/>
  </si>
  <si>
    <t>แลกเปลี่ยนเหล็กดำล้มเหลว</t>
    <phoneticPr fontId="1" type="noConversion"/>
  </si>
  <si>
    <t>Falla del Intercambio de Acero Oscuro</t>
    <phoneticPr fontId="1" type="noConversion"/>
  </si>
  <si>
    <t>DRACO 제련에 성공하였습니다.</t>
    <phoneticPr fontId="1" type="noConversion"/>
  </si>
  <si>
    <t>DRACO smelting successful.</t>
    <phoneticPr fontId="1" type="noConversion"/>
  </si>
  <si>
    <t>DRACO冶煉已成功。</t>
    <phoneticPr fontId="1" type="noConversion"/>
  </si>
  <si>
    <t>DRACO冶炼已成功。</t>
    <phoneticPr fontId="1" type="noConversion"/>
  </si>
  <si>
    <t>DRACO製錬に成功しました。</t>
    <phoneticPr fontId="1" type="noConversion"/>
  </si>
  <si>
    <t>Fundición de DRACO exitosa.</t>
    <phoneticPr fontId="1" type="noConversion"/>
  </si>
  <si>
    <t>Fundição de DRACO bem-sucedida.</t>
    <phoneticPr fontId="1" type="noConversion"/>
  </si>
  <si>
    <t>Darksteel exchange successful.</t>
    <phoneticPr fontId="1" type="noConversion"/>
  </si>
  <si>
    <t>黑鐵交換已成功。</t>
    <phoneticPr fontId="1" type="noConversion"/>
  </si>
  <si>
    <t>黑铁交换已成功。</t>
    <phoneticPr fontId="1" type="noConversion"/>
  </si>
  <si>
    <t>黒鉄交換に成功しました。</t>
    <phoneticPr fontId="1" type="noConversion"/>
  </si>
  <si>
    <t>แลกเปลี่ยนเหล็กดำสำเร็จแล้ว</t>
    <phoneticPr fontId="1" type="noConversion"/>
  </si>
  <si>
    <t>Intercambio de Acero Oscuro exitoso.</t>
    <phoneticPr fontId="1" type="noConversion"/>
  </si>
  <si>
    <t>Darksteel exchange failed.</t>
    <phoneticPr fontId="1" type="noConversion"/>
  </si>
  <si>
    <t>黑鐵交換已失敗。</t>
    <phoneticPr fontId="1" type="noConversion"/>
  </si>
  <si>
    <t>黑铁交换已失败。</t>
    <phoneticPr fontId="1" type="noConversion"/>
  </si>
  <si>
    <t>黒鉄交換に失敗しました。</t>
    <phoneticPr fontId="1" type="noConversion"/>
  </si>
  <si>
    <t>แลกเปลี่ยนเหล็กดำล้มเหลวแล้ว</t>
    <phoneticPr fontId="1" type="noConversion"/>
  </si>
  <si>
    <t>Intercambio de Acero Oscuro fallido.</t>
    <phoneticPr fontId="1" type="noConversion"/>
  </si>
  <si>
    <t>The requested DRACO smelting was unsuccessful.\r\n\r\nRequested Smelting Amount: {1}\r\nSmelting Cost: {2} Darksteel\r\n\r\nUnsuccessfully smelted Darksteel will be returned.\r\n\r\nThank you.</t>
    <phoneticPr fontId="1" type="noConversion"/>
  </si>
  <si>
    <t>提出的DRACO冶炼已失败。\r\n\r\n冶炼要求数量：{1}个\r\n冶炼费用：{2}黑铁\r\n\r\n冶炼失败的黑铁会返还。\r\n\r\n谢谢。</t>
    <phoneticPr fontId="1" type="noConversion"/>
  </si>
  <si>
    <t>DRACO製錬に失敗しました。\r\n\r\n製錬要請数量：{1}個\r\n製錬費用：{2}黒鉄\r\n\r\n製錬に失敗した黒鉄は返却させていただきます。\r\n\r\nご利用ありがとうございます。</t>
    <phoneticPr fontId="1" type="noConversion"/>
  </si>
  <si>
    <t>La fundición de DRACO solicitada no tuvo éxito.\r\n\r\nCantidad de Fundición Solicitada: {1}\r\nCosto de Fundición: {2} Acero Oscuro\r\n\r\nEl Acero Oscuro fundido sin éxito será devuelto.\r\n\r\nGracias.</t>
    <phoneticPr fontId="1" type="noConversion"/>
  </si>
  <si>
    <t>The requested Darksteel exchange was successful.\r\nAmount Exchanged: {1}\r\n\r\nThank you.</t>
    <phoneticPr fontId="1" type="noConversion"/>
  </si>
  <si>
    <t>提出的黑铁交换已成功。\r\n交换数量：{1}个\r\n\r\n谢谢。</t>
    <phoneticPr fontId="1" type="noConversion"/>
  </si>
  <si>
    <t>黒鉄交換に成功しました。\r\n交換数量：{1}個\r\n\r\nご利用ありがとうございます。</t>
    <phoneticPr fontId="1" type="noConversion"/>
  </si>
  <si>
    <t>การแลกเปลี่ยนเหล็กดำที่ร้องขอสำเร็จแล้ว\r\nจำนวนเงินที่แลกเปลี่ยน: {1}\r\n\r\nขอบคุณ.</t>
    <phoneticPr fontId="1" type="noConversion"/>
  </si>
  <si>
    <t>El intercambio de Acero Oscuro solicitado tuvo éxito.\r\nCantidad intercambiada: {1}\r\n\r\nGracias.</t>
    <phoneticPr fontId="1" type="noConversion"/>
  </si>
  <si>
    <t>The requested Darksteel exchange was unsuccessful.\r\n\r\nThank you.</t>
    <phoneticPr fontId="1" type="noConversion"/>
  </si>
  <si>
    <t>提出的黑鐵交換已失敗。\r\n\r\n謝謝。</t>
    <phoneticPr fontId="1" type="noConversion"/>
  </si>
  <si>
    <t>提出的黑铁交换已失败。\r\n\r\n谢谢。</t>
    <phoneticPr fontId="1" type="noConversion"/>
  </si>
  <si>
    <t>黒鉄交換に失敗しました。\r\n\r\nご利用ありがとうございます。</t>
    <phoneticPr fontId="1" type="noConversion"/>
  </si>
  <si>
    <t>การแลกเปลี่ยนเหล็กดำที่ร้องขอล้มเหลว\r\n\r\nขอบคุณครับ</t>
    <phoneticPr fontId="1" type="noConversion"/>
  </si>
  <si>
    <t>El intercambio de Acero Oscuro solicitado no tuvo éxito.\r\n\r\nGracias.</t>
    <phoneticPr fontId="1" type="noConversion"/>
  </si>
  <si>
    <t>D.S.P Prize sent</t>
    <phoneticPr fontId="1" type="noConversion"/>
  </si>
  <si>
    <t>D.S.P中獎道具發送</t>
    <phoneticPr fontId="1" type="noConversion"/>
  </si>
  <si>
    <t>D.S.P中奖道具发送</t>
    <phoneticPr fontId="1" type="noConversion"/>
  </si>
  <si>
    <t>D.S.P当選アイテム発送</t>
    <phoneticPr fontId="1" type="noConversion"/>
  </si>
  <si>
    <t>ส่งรางวัล D.S.P แล้ว</t>
    <phoneticPr fontId="1" type="noConversion"/>
  </si>
  <si>
    <t>Premio de D.S.P enviado</t>
    <phoneticPr fontId="1" type="noConversion"/>
  </si>
  <si>
    <t>Prêmio de D.S.P enviado</t>
    <phoneticPr fontId="1" type="noConversion"/>
  </si>
  <si>
    <t>D.S.P Prize notice</t>
    <phoneticPr fontId="1" type="noConversion"/>
  </si>
  <si>
    <t>D.S.P中獎道具發送說明</t>
    <phoneticPr fontId="1" type="noConversion"/>
  </si>
  <si>
    <t>D.S.P中奖道具发送说明</t>
    <phoneticPr fontId="1" type="noConversion"/>
  </si>
  <si>
    <t>D.S.P当選アイテム発送案内</t>
    <phoneticPr fontId="1" type="noConversion"/>
  </si>
  <si>
    <t>ประกาศรางวัล D.S.P</t>
    <phoneticPr fontId="1" type="noConversion"/>
  </si>
  <si>
    <t>Aviso de Premio de D.S.P</t>
    <phoneticPr fontId="1" type="noConversion"/>
  </si>
  <si>
    <t>Aviso de Prêmio de D.S.P</t>
    <phoneticPr fontId="1" type="noConversion"/>
  </si>
  <si>
    <t>The requested character sealing has failed.\r\n\r\nThe Gold has been refunded.\r\nThank you.</t>
    <phoneticPr fontId="1" type="noConversion"/>
  </si>
  <si>
    <t>請求的角色封印已失敗。\r\n\r\n將歸還失敗的金幣。\r\n謝謝。</t>
    <phoneticPr fontId="1" type="noConversion"/>
  </si>
  <si>
    <t>请求的角色封印失败。\r\n\r\n将重新归还失败的金币。\r\n谢谢。</t>
    <phoneticPr fontId="1" type="noConversion"/>
  </si>
  <si>
    <t>要請されたキャラクター封印に失敗しました。\r\n\r\n失敗した金貨は払い戻されます。\r\nありがとうございます。</t>
    <phoneticPr fontId="1" type="noConversion"/>
  </si>
  <si>
    <t>การปิดผนึกตัวละครล้มเหลว\r\n\r\nคุณจะได้รับทองคืน\r\nขอบคุณ</t>
    <phoneticPr fontId="1" type="noConversion"/>
  </si>
  <si>
    <t>The requested NFT character registration has failed.\r\n\r\nThe Gold has been refunded.\r\nThank you.</t>
    <phoneticPr fontId="1" type="noConversion"/>
  </si>
  <si>
    <t>请求的NFT角色添加失败。\r\n\r\n将重新归还失败的金币。\r\n谢谢。</t>
    <phoneticPr fontId="1" type="noConversion"/>
  </si>
  <si>
    <t>要請されたNFTキャラクター登録に失敗しました。\r\n\r\n失敗した金貨は払い戻されます。\r\nありがとうございます。</t>
    <phoneticPr fontId="1" type="noConversion"/>
  </si>
  <si>
    <t>การลงทะเบียนตัวละคร NFT ล้มเหลว\r\n\r\nคุณจะได้รับทองคืน\r\nขอบคุณ</t>
    <phoneticPr fontId="1" type="noConversion"/>
  </si>
  <si>
    <t>Falla al registrar el personaje NFT.\r\n\r\nSe te devolverá el oro por la falla.\r\nGracias.</t>
    <phoneticPr fontId="1" type="noConversion"/>
  </si>
  <si>
    <t>DAXD 당첨 아이템 발송</t>
    <phoneticPr fontId="1" type="noConversion"/>
  </si>
  <si>
    <t>DAXD Prize sent</t>
    <phoneticPr fontId="1" type="noConversion"/>
  </si>
  <si>
    <t>DAXD中獎道具發送</t>
    <phoneticPr fontId="1" type="noConversion"/>
  </si>
  <si>
    <t>DAXD中奖道具发送</t>
    <phoneticPr fontId="1" type="noConversion"/>
  </si>
  <si>
    <t>DAXD当選アイテム発送</t>
    <phoneticPr fontId="1" type="noConversion"/>
  </si>
  <si>
    <t>ส่งรางวัล DAXD แล้ว</t>
    <phoneticPr fontId="1" type="noConversion"/>
  </si>
  <si>
    <t>Premio de DAXD enviado</t>
    <phoneticPr fontId="1" type="noConversion"/>
  </si>
  <si>
    <t>Prêmio de DAXD enviado</t>
    <phoneticPr fontId="1" type="noConversion"/>
  </si>
  <si>
    <t>DAXD 당첨 아이템 발송 안내</t>
    <phoneticPr fontId="1" type="noConversion"/>
  </si>
  <si>
    <t>DAXD Prize notice</t>
    <phoneticPr fontId="1" type="noConversion"/>
  </si>
  <si>
    <t>DAXD中獎道具發送說明</t>
    <phoneticPr fontId="1" type="noConversion"/>
  </si>
  <si>
    <t>DAXD中奖道具发送说明</t>
    <phoneticPr fontId="1" type="noConversion"/>
  </si>
  <si>
    <t>DAXD当選アイテム発送案内</t>
    <phoneticPr fontId="1" type="noConversion"/>
  </si>
  <si>
    <t>ประกาศรางวัล DAXD</t>
    <phoneticPr fontId="1" type="noConversion"/>
  </si>
  <si>
    <t>Aviso de Premio de DAXD</t>
    <phoneticPr fontId="1" type="noConversion"/>
  </si>
  <si>
    <t>Aviso de Prêmio de DAXD</t>
    <phoneticPr fontId="1" type="noConversion"/>
  </si>
  <si>
    <t>EAXD 당첨 아이템 발송</t>
    <phoneticPr fontId="1" type="noConversion"/>
  </si>
  <si>
    <t>EAXD Prize sent</t>
    <phoneticPr fontId="1" type="noConversion"/>
  </si>
  <si>
    <t>EAXD中獎道具發送</t>
    <phoneticPr fontId="1" type="noConversion"/>
  </si>
  <si>
    <t>EAXD中奖道具发送</t>
    <phoneticPr fontId="1" type="noConversion"/>
  </si>
  <si>
    <t>EAXD当選アイテム発送</t>
    <phoneticPr fontId="1" type="noConversion"/>
  </si>
  <si>
    <t>ส่งรางวัล EAXD แล้ว</t>
    <phoneticPr fontId="1" type="noConversion"/>
  </si>
  <si>
    <t>Premio de EAXD enviado</t>
    <phoneticPr fontId="1" type="noConversion"/>
  </si>
  <si>
    <t>Prêmio de EAXD enviado</t>
    <phoneticPr fontId="1" type="noConversion"/>
  </si>
  <si>
    <t>EAXD 당첨 아이템 발송 안내</t>
    <phoneticPr fontId="1" type="noConversion"/>
  </si>
  <si>
    <t>EAXD Prize notice</t>
    <phoneticPr fontId="1" type="noConversion"/>
  </si>
  <si>
    <t>EAXD中獎道具發送說明</t>
    <phoneticPr fontId="1" type="noConversion"/>
  </si>
  <si>
    <t>EAXD中奖道具发送说明</t>
    <phoneticPr fontId="1" type="noConversion"/>
  </si>
  <si>
    <t>EAXD当選アイテム発送案内</t>
    <phoneticPr fontId="1" type="noConversion"/>
  </si>
  <si>
    <t>ประกาศรางวัล EAXD</t>
    <phoneticPr fontId="1" type="noConversion"/>
  </si>
  <si>
    <t>Aviso de Premio de EAXD</t>
    <phoneticPr fontId="1" type="noConversion"/>
  </si>
  <si>
    <t>Aviso de Prêmio de EAXD</t>
    <phoneticPr fontId="1" type="noConversion"/>
  </si>
  <si>
    <t>우마미궁 4층에 소환된 천후라호장이 처치되어\r\n\r\n협동보스를 소환하신 문파원님들에게 다음의 보상을 전해드립니다.\r\n\r\n가방의 여유공간을 확인하시고 수령하시기 바랍니다.\r\n\r\n감사합니다.</t>
    <phoneticPr fontId="1" type="noConversion"/>
  </si>
  <si>
    <t>The Winged Demon Axe General summoned in Demon Bull Labyrinth 4F has been defeated.\r\n\r\nThe following rewards are given to the clan members that summoned the Cooperation Boss.\r\n\r\nCheck the available space in your bag before collecting it.\r\n\r\nThank you.</t>
    <phoneticPr fontId="1" type="noConversion"/>
  </si>
  <si>
    <t>成功击败召唤于牛魔迷宫4层的天侯罗虎将\r\n\r\n以下奖励将发放给召唤协同首领的门派成员。\r\n\r\n请确认背包的剩余空间后领取奖励。\r\n\r\n谢谢。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</si>
  <si>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เหยี่ยวถือขวานที่ถูกอัญเชิญที่เขาวงกตปีศาจกระทิง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</si>
  <si>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Grifo Monstruoso Cortante invocado no 4F do Labirinto do Touro Demoníaco.\r\n\r\nVerifique o espaço disponível na sua bolsa antes de a receber.\r\n\r\nObrigado.</t>
    <phoneticPr fontId="1" type="noConversion"/>
  </si>
  <si>
    <t>석각미궁 4층에 소환된 암괴녹호장이 처치되어\r\n\r\n협동보스를 소환하신 문파원님들에게 다음의 보상을 전해드립니다.\r\n\r\n가방의 여유공간을 확인하시고 수령하시기 바랍니다.\r\n\r\n감사합니다.</t>
    <phoneticPr fontId="1" type="noConversion"/>
  </si>
  <si>
    <t>The Green Stone Golem General summoned in Rockcut Labyrinth 4F has been defeated.\r\n\r\nThe following rewards are given to the clan members that summoned the Cooperation Boss.\r\n\r\nCheck the available space in your bag before collecting it.\r\n\r\nThank you.</t>
    <phoneticPr fontId="1" type="noConversion"/>
  </si>
  <si>
    <t>成功击败召唤于石刻迷宫4层的暗怪绿虎将\r\n\r\n以下奖励将发放给召唤协同首领的门派成员。\r\n\r\n请确认背包的剩余空间后领取奖励。\r\n\r\n谢谢。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</si>
  <si>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อสูรหินเขียวที่ถูกอัญเชิญที่เขาวงกตผาหิน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</si>
  <si>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Golem da Pedra Verde invocado no 4F do Labirinto de Rockcut.\r\n\r\nVerifique o espaço disponível na sua bolsa antes de a receber.\r\n\r\nObrigado.</t>
    <phoneticPr fontId="1" type="noConversion"/>
  </si>
  <si>
    <t>ยินดีด้วย!\r\n\r\nแคลนของคุณได้รับชัยชนะในการแย่งชิงซาบัค\r\nได้รับดินแดน{1}เป็นรางวัล\r\nต่อไปนี้สามารถใช้สิทธิประโยชน์ของดินแดน เช่น เปลี่ยนอัตราภาษี, มอบบำเหน็จ, ประกาศคำสั่งได้แล้ว</t>
    <phoneticPr fontId="1" type="noConversion"/>
  </si>
  <si>
    <t>Time Expired</t>
    <phoneticPr fontId="1" type="noConversion"/>
  </si>
  <si>
    <t>已到期</t>
    <phoneticPr fontId="1" type="noConversion"/>
  </si>
  <si>
    <t>期間満了</t>
    <phoneticPr fontId="1" type="noConversion"/>
  </si>
  <si>
    <t>หมดเวลาแล้ว</t>
    <phoneticPr fontId="1" type="noConversion"/>
  </si>
  <si>
    <t>Tiempo caducado</t>
    <phoneticPr fontId="1" type="noConversion"/>
  </si>
  <si>
    <t>Tempo expirado</t>
    <phoneticPr fontId="1" type="noConversion"/>
  </si>
  <si>
    <t>You have died and your EXP has dropped, but it wasn't saved because your EXP storage slot is full.\r\nYou can check the dropped EXP list in [Tombstone] -&gt; [EXP Restore] menu on the top left.\r\nEmpty your EXP Restore Slot.\r\n\r\nEXP Lost: {2}</t>
    <phoneticPr fontId="1" type="noConversion"/>
  </si>
  <si>
    <t>死亡后经验值降低，但由于经验值储存栏爆满，未能储存。\r\n可以通过左上方的【石碑】－&gt;【恢复经验值】菜单，确认降低的经验值列表。\r\n请清空经验值恢复栏位。\r\n\r\n损失的经验值：{2}</t>
    <phoneticPr fontId="1" type="noConversion"/>
  </si>
  <si>
    <t>死亡して経験値が下がりましたが、経験値保存スロットがいっぱいのため、保存されませんでした\r\n左上の[碑石] → [経験値復旧]メニューで低下した経験値のリストを確認できます\r\n経験値復旧スロットを空けてください\r\n\r\n損失した経験値：{2}</t>
    <phoneticPr fontId="1" type="noConversion"/>
  </si>
  <si>
    <t>Has muerto y tu EXP se ha reducido, pero no se ha guardado porque tu barra de almacenamiento de EXP está llena.\r\nMira la lista de EXP perdida en el menú [Lápida] -&gt; [Restaurar EXP] de la parte superior izquierda.\r\nVacía tu barra de restauración de EXP.\r\n\r\nEXP perdida: {2}</t>
    <phoneticPr fontId="1" type="noConversion"/>
  </si>
  <si>
    <t>Unrestored EXP has been lost because your storage period has expired.\r\nYou can check the dropped EXP list in [Tombstone] -&gt; [EXP Restore] menu on the top left.\r\n\r\nDate/Time of Occurrence: {1}\r\nEXP Lost: {2}</t>
    <phoneticPr fontId="1" type="noConversion"/>
  </si>
  <si>
    <t>未恢复的经验值因超过保管期限已被删除。\r\n可以通过左上方的【石碑】－&gt;【恢复经验值】菜单，确认降低的经验值列表。\r\n\r\n发生日期：{1}\r\n损失的经验值：{2}</t>
    <phoneticPr fontId="1" type="noConversion"/>
  </si>
  <si>
    <t>復旧できなかった経験値の保管期間が満了し、削除されました\r\n左上の[碑石] → [経験値復旧]メニューで低下した経験値のリストを確認できます\r\n\r\n発生日時：{1}\r\n損失した経験値：{2}</t>
    <phoneticPr fontId="1" type="noConversion"/>
  </si>
  <si>
    <t>Has perdido la EXP sin restaurar porque tu periodo de almacenamiento ha caducado.\r\nMira la lista de EXP perdida en el menú [Lápida] -&gt; [Restaurar EXP] de la parte superior izquierda.\r\n\r\nFecha/Hora del suceso: {1}\r\nEXP perdida: {2}</t>
    <phoneticPr fontId="1" type="noConversion"/>
  </si>
  <si>
    <t>A EXP não reposta foi perdida porque o seu período de armazenamento expirou.\r\nPode verificar a lista de EXP perdida em [Lápide] -&gt; Menu [Reposição de EXP] na parte superior esquerda.\r\n\r\nData/Hora da Ocorrência: {1}\r\nPerda de EXP: {2}</t>
    <phoneticPr fontId="1" type="noConversion"/>
  </si>
  <si>
    <t>{1}.\r\nDe ahora en adelante, puede que recibas una penalización cada vez que mueras.\r\n\r\n[EXP]: la EXP que se pierde al morir puede recuperarse mediante la restauración Normal/Avanzada.\r\n[Objetos perdidos]: al morir, soltarás algunos consumibles y recursos, que se perderán para siempre si no los buscas.\r\n[Lesión interna]: al acumularse, la EXP de caza y las estadísticas disminuirán. Se puede curar rápidamente usando puntos de aceleración o con la ayuda de los miembros del clan.\r\n[Tiempo de espera]: las muertes continuas suben poco a poco el tiempo de espera para resucitar.</t>
    <phoneticPr fontId="1" type="noConversion"/>
  </si>
  <si>
    <t>성소</t>
    <phoneticPr fontId="1" type="noConversion"/>
  </si>
  <si>
    <t>Sanctuary</t>
    <phoneticPr fontId="1" type="noConversion"/>
  </si>
  <si>
    <t>聖所</t>
    <phoneticPr fontId="1" type="noConversion"/>
  </si>
  <si>
    <t>圣所</t>
    <phoneticPr fontId="1" type="noConversion"/>
  </si>
  <si>
    <t>ที่หลบภัย</t>
    <phoneticPr fontId="1" type="noConversion"/>
  </si>
  <si>
    <t>Oratorio</t>
    <phoneticPr fontId="1" type="noConversion"/>
  </si>
  <si>
    <t>Santuário</t>
    <phoneticPr fontId="1" type="noConversion"/>
  </si>
  <si>
    <t>성소가 설치되었습니다.</t>
    <phoneticPr fontId="1" type="noConversion"/>
  </si>
  <si>
    <t>已部署聖所。</t>
    <phoneticPr fontId="1" type="noConversion"/>
  </si>
  <si>
    <t>已部署圣所。</t>
    <phoneticPr fontId="1" type="noConversion"/>
  </si>
  <si>
    <t>聖所が設置されました。</t>
    <phoneticPr fontId="1" type="noConversion"/>
  </si>
  <si>
    <t>ที่หลบภัยได้สร้างขึ้นแล้ว</t>
    <phoneticPr fontId="1" type="noConversion"/>
  </si>
  <si>
    <t>El Oratorio ha sido instalado.</t>
    <phoneticPr fontId="1" type="noConversion"/>
  </si>
  <si>
    <t>O Santuário foi instalado.</t>
    <phoneticPr fontId="1" type="noConversion"/>
  </si>
  <si>
    <t>성소가 파괴되었습니다.</t>
    <phoneticPr fontId="1" type="noConversion"/>
  </si>
  <si>
    <t>聖所已被摧毀。</t>
    <phoneticPr fontId="1" type="noConversion"/>
  </si>
  <si>
    <t>圣所已被破坏。</t>
    <phoneticPr fontId="1" type="noConversion"/>
  </si>
  <si>
    <t>聖所が破壊されました。</t>
    <phoneticPr fontId="1" type="noConversion"/>
  </si>
  <si>
    <t>ที่หลบภัยถูกทำลาย</t>
    <phoneticPr fontId="1" type="noConversion"/>
  </si>
  <si>
    <t>El Oratorio ha sido destruido.</t>
    <phoneticPr fontId="1" type="noConversion"/>
  </si>
  <si>
    <t>O Santuário foi destruído.</t>
    <phoneticPr fontId="1" type="noConversion"/>
  </si>
  <si>
    <t>성소 교체</t>
    <phoneticPr fontId="1" type="noConversion"/>
  </si>
  <si>
    <t>Replace Sanctuary</t>
    <phoneticPr fontId="1" type="noConversion"/>
  </si>
  <si>
    <t>更換聖所</t>
    <phoneticPr fontId="1" type="noConversion"/>
  </si>
  <si>
    <t>替换圣所</t>
    <phoneticPr fontId="1" type="noConversion"/>
  </si>
  <si>
    <t>聖所交換</t>
    <phoneticPr fontId="1" type="noConversion"/>
  </si>
  <si>
    <t>เปลี่ยนที่หลบภัย</t>
    <phoneticPr fontId="1" type="noConversion"/>
  </si>
  <si>
    <t>Cambiar Oratorio</t>
    <phoneticPr fontId="1" type="noConversion"/>
  </si>
  <si>
    <t>Troca de Santuário</t>
    <phoneticPr fontId="1" type="noConversion"/>
  </si>
  <si>
    <t>[{1}] 위치의 성소가 공격받고 있습니다.</t>
    <phoneticPr fontId="1" type="noConversion"/>
  </si>
  <si>
    <t>【{1}】位置的圣所正在遭受攻击。</t>
    <phoneticPr fontId="1" type="noConversion"/>
  </si>
  <si>
    <t>[{1}]位置の聖所が攻撃を受けています。</t>
    <phoneticPr fontId="1" type="noConversion"/>
  </si>
  <si>
    <t>ที่หลบภัยในพิกัด [{1}] กำลังถูกโจมตีอยู่</t>
    <phoneticPr fontId="1" type="noConversion"/>
  </si>
  <si>
    <t>El Oratorio de la ubicación de [{1}] está bajo ataque.</t>
    <phoneticPr fontId="1" type="noConversion"/>
  </si>
  <si>
    <t>O Santuário localizado em [{1}] está sendo atacado.</t>
    <phoneticPr fontId="1" type="noConversion"/>
  </si>
  <si>
    <t>[{1}]님이 [{2}] 위치에 성소를 소환하였습니다.\r\n해당 위치 이용 시 성소 효과를 받을 수 있습니다.</t>
    <phoneticPr fontId="1" type="noConversion"/>
  </si>
  <si>
    <t>玩家【{1}】在【{2}】位置召唤了圣所。\r\n使用该位置时可获得圣所效果。</t>
    <phoneticPr fontId="1" type="noConversion"/>
  </si>
  <si>
    <t>[{1}]さんが[{2}]位置に聖所を召喚しました。\r\nこの位置を利用すると聖所効果を得られます。</t>
    <phoneticPr fontId="1" type="noConversion"/>
  </si>
  <si>
    <t>ท่าน [{1}] ได้เรียกที่หลบภัยในพิกัด [{2}]\r\nเมื่ออยู่ในพิกัดนี้สามารถรับเอฟเฟกต์ที่หลบภัยได้</t>
    <phoneticPr fontId="1" type="noConversion"/>
  </si>
  <si>
    <t>[{1}] ha invocado un Oratorio en la ubicación de [{2}].\r\nAl estar en esta ubicación, podrás recibir los efectos del Oratorio.</t>
    <phoneticPr fontId="1" type="noConversion"/>
  </si>
  <si>
    <t>[{1}] invocou o Santuário localizado em [{2}].\r\nVocê pode receber o efeito do Santuário ao acessá-lo.</t>
    <phoneticPr fontId="1" type="noConversion"/>
  </si>
  <si>
    <t>[{2}] 위치의 성소가 [{1}] 문파의 공격으로 파괴되었습니다.</t>
    <phoneticPr fontId="1" type="noConversion"/>
  </si>
  <si>
    <t>【{2}】位置的圣所因【{1}】门派的攻击遭到破坏。</t>
    <phoneticPr fontId="1" type="noConversion"/>
  </si>
  <si>
    <t>[{2}]位置の聖所が[{1}]門派の攻撃により破壊されました。</t>
    <phoneticPr fontId="1" type="noConversion"/>
  </si>
  <si>
    <t>ที่หลบภัยในพิกัด [{2}] ถูกทำลายโดยแคลน [{1}]</t>
    <phoneticPr fontId="1" type="noConversion"/>
  </si>
  <si>
    <t>El Oratorio de la ubicación [{2}] se ha destruido por el clan [{1}].</t>
    <phoneticPr fontId="1" type="noConversion"/>
  </si>
  <si>
    <t>O Santuário localizado em [{2}] foi destruído pelo ataque do Clã [{1}].</t>
    <phoneticPr fontId="1" type="noConversion"/>
  </si>
  <si>
    <t>[{1}] 성소의 유지시간이 만료되어 회수되었습니다.</t>
    <phoneticPr fontId="1" type="noConversion"/>
  </si>
  <si>
    <t>因【{1}】圣所的持续时间到期，已被回收。</t>
    <phoneticPr fontId="1" type="noConversion"/>
  </si>
  <si>
    <t>[{1}]聖所の維持時間が満了し、回収されました。</t>
    <phoneticPr fontId="1" type="noConversion"/>
  </si>
  <si>
    <t>ที่หลบภัยในพื้นที่ [{1}] หมดอายุและถูกเรียกเก็บ</t>
    <phoneticPr fontId="1" type="noConversion"/>
  </si>
  <si>
    <t>El Oratorio de [{1}] ha expirado y ha sido retirado.</t>
    <phoneticPr fontId="1" type="noConversion"/>
  </si>
  <si>
    <t>A duração do Santuário [{1}] expirou e foi retirado.</t>
    <phoneticPr fontId="1" type="noConversion"/>
  </si>
  <si>
    <t>새로운 성소가 소환되어 [{1}] 위치의 성소는 회수되었습니다.</t>
    <phoneticPr fontId="1" type="noConversion"/>
  </si>
  <si>
    <t>由于当前已召唤新的圣所，【{1}】位置的圣所已被回收。</t>
    <phoneticPr fontId="1" type="noConversion"/>
  </si>
  <si>
    <t>新たな聖所が召喚され、[{1}]位置の聖所が回収されました。</t>
    <phoneticPr fontId="1" type="noConversion"/>
  </si>
  <si>
    <t>อัญเชิญที่หลบภัยใหม่แล้ว ที่หลบภัยในพพิกัด [{1}] จึงถูกเรียกคืน</t>
    <phoneticPr fontId="1" type="noConversion"/>
  </si>
  <si>
    <t>Se ha invocado un nuevo Oratorio. El Oratorio de la ubicación [{1}] ha desaparecido.</t>
    <phoneticPr fontId="1" type="noConversion"/>
  </si>
  <si>
    <t>O Santuário localizado em [{1}] foi retirado pois um novo Santuário foi invocado.</t>
    <phoneticPr fontId="1" type="noConversion"/>
  </si>
  <si>
    <t>{1} 구역이 공격받고 있습니다.\r\n[전쟁]-&gt;[약탈전] 메뉴를 통해 {1} 구역으로 이동하여 영지의 자원을 지키십시오!</t>
    <phoneticPr fontId="1" type="noConversion"/>
  </si>
  <si>
    <t>The {1} zone is under attack.\r\nGo to the {1} zone through the [War]-&gt;[Heist] menu and protect the territory resources!</t>
    <phoneticPr fontId="1" type="noConversion"/>
  </si>
  <si>
    <t>{1}区域正在遭受攻击。\r\n请通过【战争】－&gt;【掠夺战】菜单前往{1}区域，守护领地的资源！</t>
    <phoneticPr fontId="1" type="noConversion"/>
  </si>
  <si>
    <t>{1}区域が攻撃を受けています。\r\n[戦争]→[略奪戦]メニューから{1}区域に移動し領地の資源を守りましょう！</t>
    <phoneticPr fontId="1" type="noConversion"/>
  </si>
  <si>
    <t>เขต {1} กำลังถูกโจมตี\r\nเคลื่อนย้ายไปยังเขต {1} เพื่อป้องกันทรัพยากรของดินแดน ผ่านเมนู [สงคราม] -&gt; [การปล้นสะดม]!</t>
    <phoneticPr fontId="1" type="noConversion"/>
  </si>
  <si>
    <t>El área de {1} está siendo atacada.\r\n¡Dirígete al área de {1} a través de [Guerra] -&gt; [Saqueos] para proteger los recursos!</t>
    <phoneticPr fontId="1" type="noConversion"/>
  </si>
  <si>
    <t>A zona {1} está sendo atacada.\r\nDesloque-se para a zona {1} através do menu [Saque] em [Guerra] e proteja os recursos do território.</t>
    <phoneticPr fontId="1" type="noConversion"/>
  </si>
  <si>
    <t>You received {2} gift(s) from {1}.\r\n\r\nYou can claim the gifts you received from the Storage of the shop.\r\n\r\nThank you.</t>
    <phoneticPr fontId="1" type="noConversion"/>
  </si>
  <si>
    <t>已從{1}玩家領取{2}個禮物。\r\n\r\n收到的禮物可在商店的保管箱中領取。\r\n\r\n謝謝。</t>
    <phoneticPr fontId="1" type="noConversion"/>
  </si>
  <si>
    <t>{1}さんから贈り物{2}個を受け取りました。\r\n\r\n受け取った贈り物は商店の保管箱から受領できます。\r\n\r\nありがとうございます。</t>
    <phoneticPr fontId="1" type="noConversion"/>
  </si>
  <si>
    <t>ได้รับของขวัญ {2} ชิ้นจาก {1}\r\n\r\nสามารถรับของขวัญที่ได้รับจากคลังในร้านค้า\r\n\r\nขอบคุณค่ะ</t>
    <phoneticPr fontId="1" type="noConversion"/>
  </si>
  <si>
    <t>Recibiste {2} regalo(s) de {1}.\r\n\r\nPodrás reclamar los regalos en el almacén de la tienda.\r\n\r\nGracias.</t>
    <phoneticPr fontId="1" type="noConversion"/>
  </si>
  <si>
    <t>흑룡의 제단</t>
    <phoneticPr fontId="1" type="noConversion"/>
  </si>
  <si>
    <t>공격받고 있습니다.</t>
    <phoneticPr fontId="1" type="noConversion"/>
  </si>
  <si>
    <t>흑룡의 제단이 설치되었습니다.</t>
    <phoneticPr fontId="1" type="noConversion"/>
  </si>
  <si>
    <t>흑룡의 제단이 파괴되었습니다.</t>
    <phoneticPr fontId="1" type="noConversion"/>
  </si>
  <si>
    <t>기간만료</t>
    <phoneticPr fontId="1" type="noConversion"/>
  </si>
  <si>
    <t>{1} 지역의 흑룡의 제단이 공격받고 있습니다.</t>
    <phoneticPr fontId="1" type="noConversion"/>
  </si>
  <si>
    <t>미사용</t>
    <phoneticPr fontId="1" type="noConversion"/>
  </si>
  <si>
    <t>Hello. This is GM Mir.\r\nHere is your compensation for the routine maintenance.\r\n=================================\r\n▣ Scheduled Time\r\nEvery Wednesday, 4 AM - 6 AM (2 hours)\r\n▣ Maintenance Details\r\nServer stabilization and game updates\r\n=================================\r\nThank you for your patience during the maintenance period.</t>
    <phoneticPr fontId="1" type="noConversion"/>
  </si>
  <si>
    <t>大家好，我是GM傳奇。\r\n在此送上定期維護補償。\r\n=================================\r\n▣維護時間\r\n每週三凌晨4點～凌晨6點（2小時）\r\n▣維護內容\r\n伺服器穩定性相關工作及遊戲更新\r\n=================================\r\n感謝大家的耐心等候。</t>
    <phoneticPr fontId="1" type="noConversion"/>
  </si>
  <si>
    <t>大家好，我是GM传奇。\r\n在此送上定期维护补偿。\r\n=================================\r\n▣维护时间\r\n每周三凌晨4点～凌晨6点（2小时）\r\n▣维护内容\r\n服务器稳定性相关工作及游戏更新\r\n=================================\r\n感谢大家的耐心等候。</t>
    <phoneticPr fontId="1" type="noConversion"/>
  </si>
  <si>
    <t>こんにちは。GM MIRです\r\n定期メンテナンスに対する報酬を支給します\r\n=================================\r\n▣ メンテナンス日時\r\n午前4時～午前6時(2時間)\r\n▣メンテナンス内容\r\nサーバー安定化作業およびゲームアップデート\r\n=================================\r\nメンテナンス実施中、お待ちいただきありがとうございます</t>
    <phoneticPr fontId="1" type="noConversion"/>
  </si>
  <si>
    <t>สวัสดี นี่คือ GM Mir\r\nนี่คือการชดเชยของคุณสำหรับการปิดปรับปรุงตามปกติ\r\n=================================\r\n▣ เวลาตามกำหนดการ\r\nทุกวันพุธ 04:00 น. - 06:00 น. (2 ชั่วโมง)\r\n▣ รายละเอียดการปิดปรับปรุง\r\nปรับปรุงความเสถียรของเซิร์ฟเวอร์และตัวเกม\r\n=================================\r\nขอขอบคุณที่อดทนรอระหว่างช่วงระยะเวลาการปิดปรับปรุง</t>
    <phoneticPr fontId="1" type="noConversion"/>
  </si>
  <si>
    <t>Hola. Soy el MJ de Mir.\r\nAquí tienes tu compensación por el mantenimiento rutinario\r\n=================================\r\n▣ Hora estimada\r\nMiércoles, de 4:00 h a 6:00 h (2 horas)\r\n▣ Detalles del mantenimiento\r\nEstabilización del servidor y actualizaciones del juego\r\n=================================\r\nGracias por tu paciencia durante el periodo de mantenimiento.</t>
    <phoneticPr fontId="1" type="noConversion"/>
  </si>
  <si>
    <t>Olá. Daqui fala o GM Mir.\r\nAqui está a sua compensação da manutenção de rotina.\r\n=================================\r\n▣ Hora programada\r\nTodas as quartas-feiras, 04:00 - 06:00 (2 horas)\r\n▣ Detalhes da manutenção\r\nEstabilização do servidor e atualizações do jogo\r\n=================================\r\nObrigado pela sua paciência durante o período de manutenção.</t>
    <phoneticPr fontId="1" type="noConversion"/>
  </si>
  <si>
    <t>Hello. This GM Mir.\r\nHere is your compensation for the temporary maintenance.\r\n=================================\r\nHere is your compensation for the urgent temporary maintenance.\r\nWe apologize for any inconvenience caused.\r\n=================================\r\nThank you for your patience during the maintenance period.</t>
    <phoneticPr fontId="1" type="noConversion"/>
  </si>
  <si>
    <t>大家好，我是GM傳奇。\r\n在此送上緊急維護補償。\r\n=================================\r\n本次發放的是突發性緊急維護補償。\r\n非常抱歉對各位玩家造成遊戲使用不便。\r\n=================================\r\n感謝大家的耐心等候。</t>
    <phoneticPr fontId="1" type="noConversion"/>
  </si>
  <si>
    <t>大家好，我是GM传奇。\r\n在此送上紧急维护补偿。\r\n=================================\r\n本次发放的是突发性紧急维护补偿。\r\n非常抱歉对各位玩家造成游戏使用不便。\r\n=================================\r\n感谢大家的耐心等候。</t>
    <phoneticPr fontId="1" type="noConversion"/>
  </si>
  <si>
    <t>こんにちは。GM MIRです\r\n臨時メンテナンスに対する報酬を支給します\r\n=================================\r\n緊急臨時メンテナンスに対する報酬を支給します\r\nご利用にご不便をおかけし、申し訳ございません\r\n=================================\r\nメンテナンス実施中、お待ちいただきありがとうございます</t>
    <phoneticPr fontId="1" type="noConversion"/>
  </si>
  <si>
    <t>สวัสดี นี่คือ GM Mir\r\nนี่คือการชดเชยของคุณสำหรับการปิดปรับปรุงชั่วคราว\r\n=================================\r\nนี่คือการชดเชยของคุณสำหรับการปิดปรับปรุงด่วน\r\nเราขออภัยสำหรับความไม่สะดวกที่เกิดขึ้น\r\n=================================\r\nขอขอบคุณที่อดทนรอระหว่างช่วงระยะเวลาการปิดปรับปรุง</t>
    <phoneticPr fontId="1" type="noConversion"/>
  </si>
  <si>
    <t>Hola. Soy el MJ de Mir.\r\nAquí tienes tu compensación por el mantenimiento temporal\r\n=================================\r\nAquí tienes tu compensación por el mantenimiento temporal urgente\r\nDisculpa las molestias causadas.\r\n=================================\r\nGracias por tu paciencia durante el periodo de mantenimiento.</t>
    <phoneticPr fontId="1" type="noConversion"/>
  </si>
  <si>
    <t>Olá. Daqui fala o GM Mir.\r\nAqui está a sua compensação da manutenção temporária.\r\n=================================\r\nAqui está a sua compensação pela manutenção temporária urgente.\r\nPedimos desculpa por qualquer inconveniente causado.\r\n=================================\r\nObrigado pela sua paciência durante o período de manutenção.</t>
    <phoneticPr fontId="1" type="noConversion"/>
  </si>
  <si>
    <t>成功击败悬赏通缉犯{1}，发放以下奖励。\r\n\r\n请确认背包空间后领取奖励。</t>
    <phoneticPr fontId="1" type="noConversion"/>
  </si>
  <si>
    <t>因背包空間不足，\r\n\r\n獲得物品將傳送至信件。\r\n\r\n領取物品後，信件自動刪除。</t>
    <phoneticPr fontId="1" type="noConversion"/>
  </si>
  <si>
    <t>因背包空间不足，\r\n\r\n获得物品将发送至信件。\r\n\r\n领取物品后，信件自动删除。</t>
    <phoneticPr fontId="1" type="noConversion"/>
  </si>
  <si>
    <t>因背包空間不足，\r\n\r\n討伐獲得的物品將傳送至信件。\r\n\r\n領取物品後，信件自動刪除。</t>
    <phoneticPr fontId="1" type="noConversion"/>
  </si>
  <si>
    <t>因背包空间不足，\r\n\r\n讨伐获得的物品将通过信件发送。\r\n\r\n领取物品后，信件自动删除。</t>
    <phoneticPr fontId="1" type="noConversion"/>
  </si>
  <si>
    <t>恭喜你！成功完成{1}的挑战。\r\n\r\n为表祝贺首次成功，特此发放以下奖励。\r\n\r\n谢谢。</t>
    <phoneticPr fontId="1" type="noConversion"/>
  </si>
  <si>
    <t>Here is your reward for the daily ranking settlement at the arena.\r\n\r\nThe reward varies based on your ranking.\r\n\r\nAim for higher rankings for better rewards.</t>
    <phoneticPr fontId="1" type="noConversion"/>
  </si>
  <si>
    <t>根據決鬥場每日排位結算結果發放獎勵。\r\n\r\n根據排名高低，獲得的獎勵也會有所不同。\r\n\r\n努力達成更高的排名，獲得更棒的獎勵吧。</t>
    <phoneticPr fontId="1" type="noConversion"/>
  </si>
  <si>
    <t>根据决斗场每日排位结算结果发放奖励。\r\n\r\n根据排名高低，获得的奖励也会有所不同。\r\n\r\n努力达到更高的排名，获得更棒的奖励吧。</t>
    <phoneticPr fontId="1" type="noConversion"/>
  </si>
  <si>
    <t>決闘場の日間順位を精算し、報酬を支給します\r\n\r\n順位によって、獲得できる報酬のレベルが変わっていきます\r\n\r\nさらに上の順位を達成し、豪華報酬を獲得しましょう</t>
    <phoneticPr fontId="1" type="noConversion"/>
  </si>
  <si>
    <t>นี่คือรางวัลการจัดอันดับที่ได้รับรายวันในอารีน่า\r\n\r\nรางวัลจะแตกต่างกันไปโดยขึ้นกับอันดับของคุณ\r\n\r\nมุ่งสู่อันดับที่สูงขึ้นเพื่อรางวัลที่ดีกว่า</t>
    <phoneticPr fontId="1" type="noConversion"/>
  </si>
  <si>
    <t>Aquí tienes tu recompensa por compensación diaria de clasificación en la arena.\r\n\r\nLa recompensa se basa en tu clasificación.\r\n\r\nCuanto mejor sea tu clasificación, mejores serán las recompensas.</t>
    <phoneticPr fontId="1" type="noConversion"/>
  </si>
  <si>
    <t>Aqui está a sua recompensa pela sua posição na classificação diária na Arena.\r\n\r\nA recompensa varia com base na sua classificação.\r\n\r\nSuba para classificações mais elevadas para melhores recompensas.</t>
    <phoneticPr fontId="1" type="noConversion"/>
  </si>
  <si>
    <t>Recompensa de Classificação de Captura do Vale Oculto</t>
    <phoneticPr fontId="1" type="noConversion"/>
  </si>
  <si>
    <t>Aviso de Recompensa de Classificação de Captura do Vale Oculto</t>
    <phoneticPr fontId="1" type="noConversion"/>
  </si>
  <si>
    <t>占領戰達成［S］階級。\r\n\r\n發放階級相應獎勵。</t>
    <phoneticPr fontId="1" type="noConversion"/>
  </si>
  <si>
    <t>คุณได้รับระดับ [S] ในการยึดฐาน\r\n\r\nจะมอบรางวัลตามระดับของคุณ</t>
    <phoneticPr fontId="1" type="noConversion"/>
  </si>
  <si>
    <t>Obteve o grau [S] na Captura do Vale Oculto.\r\n\r\nAqui está a recompensa para o seu grau.</t>
    <phoneticPr fontId="1" type="noConversion"/>
  </si>
  <si>
    <t>占領戰達成［A］階級。\r\n\r\n發放階級相應獎勵。</t>
    <phoneticPr fontId="1" type="noConversion"/>
  </si>
  <si>
    <t>คุณได้รับระดับ [A] ในการยึดฐาน\r\n\r\nจะมอบรางวัลตามระดับของคุณ</t>
    <phoneticPr fontId="1" type="noConversion"/>
  </si>
  <si>
    <t>Obteve o grau [A] na Captura do Vale Oculto.\r\n\r\nAqui está a recompensa para o seu grau.</t>
    <phoneticPr fontId="1" type="noConversion"/>
  </si>
  <si>
    <t>占領戰達成［B］階級。\r\n\r\n發放階級相應獎勵。</t>
    <phoneticPr fontId="1" type="noConversion"/>
  </si>
  <si>
    <t>คุณได้รับระดับ [B] ในการยึดฐาน\r\n\r\nจะมอบรางวัลตามระดับของคุณ</t>
    <phoneticPr fontId="1" type="noConversion"/>
  </si>
  <si>
    <t>Obteve o grau [B] na Captura do Vale Oculto.\r\n\r\nAqui está a recompensa para o seu grau.</t>
    <phoneticPr fontId="1" type="noConversion"/>
  </si>
  <si>
    <t>占領戰達成［C］階級。\r\n\r\n發放階級相應獎勵。</t>
    <phoneticPr fontId="1" type="noConversion"/>
  </si>
  <si>
    <t>คุณได้รับระดับ [C] ในการยึดฐาน\r\n\r\nจะมอบรางวัลตามระดับของคุณ</t>
    <phoneticPr fontId="1" type="noConversion"/>
  </si>
  <si>
    <t>Obteve o grau [C] na Captura do Vale Oculto.\r\n\r\nAqui está a recompensa para o seu grau.</t>
    <phoneticPr fontId="1" type="noConversion"/>
  </si>
  <si>
    <t>占領戰達成［D］階級。\r\n\r\n發放階級相應獎勵。</t>
    <phoneticPr fontId="1" type="noConversion"/>
  </si>
  <si>
    <t>คุณได้รับระดับ [D] ในการยึดฐาน\r\n\r\nจะมอบรางวัลตามระดับของคุณ</t>
    <phoneticPr fontId="1" type="noConversion"/>
  </si>
  <si>
    <t>Obteve o grau [D] na Captura do Vale Oculto.\r\n\r\nAqui está a recompensa para o seu grau.</t>
    <phoneticPr fontId="1" type="noConversion"/>
  </si>
  <si>
    <t>Recompensa de vitória na Captura do Vale Oculto</t>
    <phoneticPr fontId="1" type="noConversion"/>
  </si>
  <si>
    <t>Recompensa de vitória da participação na Captura do Vale Oculto</t>
    <phoneticPr fontId="1" type="noConversion"/>
  </si>
  <si>
    <t>Esta recompensa é para o clã vitorioso e os seus aliados na Captura do Vale Oculto.</t>
    <phoneticPr fontId="1" type="noConversion"/>
  </si>
  <si>
    <t>Recompensa de derrota na Captura do Vale Oculto</t>
    <phoneticPr fontId="1" type="noConversion"/>
  </si>
  <si>
    <t>Recompensa de derrota da participação na Captura do Vale Oculto</t>
    <phoneticPr fontId="1" type="noConversion"/>
  </si>
  <si>
    <t>Esta recompensa é para o clã derrotado e os seus aliados na Captura do Vale Oculto.</t>
    <phoneticPr fontId="1" type="noConversion"/>
  </si>
  <si>
    <t>MVP การยึดครองหุบเขาลี้ลับ</t>
    <phoneticPr fontId="1" type="noConversion"/>
  </si>
  <si>
    <t>MVP de Captura de Valle oculto</t>
    <phoneticPr fontId="1" type="noConversion"/>
  </si>
  <si>
    <t>ได้รับเลือกให้เป็น MVP ในการยึดหุบเขาลี้ลับ</t>
    <phoneticPr fontId="1" type="noConversion"/>
  </si>
  <si>
    <t>Te han seleccionado como MVP de Captura de Valle oculto</t>
    <phoneticPr fontId="1" type="noConversion"/>
  </si>
  <si>
    <t>¡Enhorabuena! Has capturado {1}.\r\nTe han seleccionado como MVP por tu gran contribución en la batalla.\r\nMonedas de clan: {2}\r\nEsta recompensa solo está disponible una vez por cada Valle oculto el día de la Captura de Base.\r\nDe nuevo, enhorabuena.</t>
    <phoneticPr fontId="1" type="noConversion"/>
  </si>
  <si>
    <t>Parabéns! Capturou {1}.\r\nFoi escolhido como MVP devido ao seu grande contributo na batalha.\r\nMoedas de clã: {2}\r\nEsta recompensa está disponível apenas uma vez para cada Vale Oculto no dia da Captura do Vale Oculto.\r\nMais uma vez, parabéns.</t>
    <phoneticPr fontId="1" type="noConversion"/>
  </si>
  <si>
    <t>ยึดครองหุบเขาลี้ลับ</t>
    <phoneticPr fontId="1" type="noConversion"/>
  </si>
  <si>
    <t>Valle oculto capturado</t>
    <phoneticPr fontId="1" type="noConversion"/>
  </si>
  <si>
    <t>คุณยึดหุบเขาลี้ลับได้แล้ว</t>
    <phoneticPr fontId="1" type="noConversion"/>
  </si>
  <si>
    <t>¡Enhorabuena! Has capturado {1}.\r\nVende el abundante acero oscuro que has conseguido en el Valle oculto para construir el clan más poderoso que existe.\r\nMonedas de clan: {2}\r\nFondos de clan: {3} (en el almacén del clan)\r\nLa próxima Captura de Valle oculto comienza en una semana.\r\nEsta recompensa solo está disponible una vez por cada Valle oculto el día de la Captura de Base.</t>
    <phoneticPr fontId="1" type="noConversion"/>
  </si>
  <si>
    <t>Valley Invasion Notification</t>
    <phoneticPr fontId="1" type="noConversion"/>
  </si>
  <si>
    <t>秘谷入侵通知</t>
    <phoneticPr fontId="1" type="noConversion"/>
  </si>
  <si>
    <t>秘谷入侵提示</t>
    <phoneticPr fontId="1" type="noConversion"/>
  </si>
  <si>
    <t>秘谷への侵入通知</t>
    <phoneticPr fontId="1" type="noConversion"/>
  </si>
  <si>
    <t>การแจ้งเตือนการรุกรานหุบเขาลี้ลับ</t>
    <phoneticPr fontId="1" type="noConversion"/>
  </si>
  <si>
    <t>Notificación de invasión de Valle oculto</t>
    <phoneticPr fontId="1" type="noConversion"/>
  </si>
  <si>
    <t>Notificação de invasão do Vale Oculto</t>
    <phoneticPr fontId="1" type="noConversion"/>
  </si>
  <si>
    <t>หุบเขาลี้ลับของคุณกำลังถูกโจมตี</t>
    <phoneticPr fontId="1" type="noConversion"/>
  </si>
  <si>
    <t>Tu Valle oculto está siendo atacado.</t>
    <phoneticPr fontId="1" type="noConversion"/>
  </si>
  <si>
    <t>Valley Lost</t>
    <phoneticPr fontId="1" type="noConversion"/>
  </si>
  <si>
    <t>搶奪秘谷</t>
    <phoneticPr fontId="1" type="noConversion"/>
  </si>
  <si>
    <t>抢夺秘谷</t>
    <phoneticPr fontId="1" type="noConversion"/>
  </si>
  <si>
    <t>秘谷奪取</t>
    <phoneticPr fontId="1" type="noConversion"/>
  </si>
  <si>
    <t>สูญเสียหุบเขาลี้ลับ</t>
    <phoneticPr fontId="1" type="noConversion"/>
  </si>
  <si>
    <t>Valle oculto perdido</t>
    <phoneticPr fontId="1" type="noConversion"/>
  </si>
  <si>
    <t>Vale Oculto perdido</t>
    <phoneticPr fontId="1" type="noConversion"/>
  </si>
  <si>
    <t>สูญเสียหุบเขาลี้ลับของคุณไปแล้ว</t>
    <phoneticPr fontId="1" type="noConversion"/>
  </si>
  <si>
    <t>Has perdido tu Valle oculto.</t>
    <phoneticPr fontId="1" type="noConversion"/>
  </si>
  <si>
    <t>The {1} clan has taken {2}.\r\n\r\nYou must strive harder to reclaim it during the next Valley Capture.\r\n\r\nThe next Valley Capture will begin in a week.</t>
    <phoneticPr fontId="1" type="noConversion"/>
  </si>
  <si>
    <t>{1}門派搶奪了{2}。\r\n\r\n必須加倍努力，在下一次秘谷占領戰時重新奪回。\r\n\r\n下一輪秘谷占領戰將於一週後展開。</t>
    <phoneticPr fontId="1" type="noConversion"/>
  </si>
  <si>
    <t>{1}门派抢夺了{2}。\r\n\r\n必须加倍努力，在下一次秘谷占领战时重新夺回。\r\n\r\n下一轮秘谷占领战将于一周后展开。</t>
    <phoneticPr fontId="1" type="noConversion"/>
  </si>
  <si>
    <t>{1}門派に{2}を奪い取られました\r\n\r\nさらに奮発して、次の秘谷占領戦で取り戻してください\r\n\r\n次の秘谷占領戦は、1週間後に始まります</t>
    <phoneticPr fontId="1" type="noConversion"/>
  </si>
  <si>
    <t>แคลน {1} ได้ยึด {2}แล้ว\r\n\r\nคุณต้องพยายามให้มากขึ้นเพื่อยึดกลับมาให้ได้ในการยึดหุบเขาลี้ลับครั้งถัดไป\r\n\r\nการยึดหุบเขาลี้ลับครั้งถัดไปจะเริ่มขึ้นในอีกหนึ่งสัปดาห์</t>
    <phoneticPr fontId="1" type="noConversion"/>
  </si>
  <si>
    <t>El clan {1} ha capturado {2}.\r\n\r\nTienes que esforzarte más para recuperarlo durante la próxima Captura de Valle oculto.\r\n\r\nLa próxima Captura de Valle oculto comenzará en una semana.</t>
    <phoneticPr fontId="1" type="noConversion"/>
  </si>
  <si>
    <t>O clã {1} ocupou o {2}.\r\n\r\nDeve esforçar-se mais para o recuperar durante a próxima Captura do Vale Oculto.\r\n\r\nA próxima Captura do Vale Oculto começará dentro de uma semana.</t>
    <phoneticPr fontId="1" type="noConversion"/>
  </si>
  <si>
    <t>ละทิ้งหุบเขาลี้ลับ</t>
    <phoneticPr fontId="1" type="noConversion"/>
  </si>
  <si>
    <t>Valle oculto abandonado</t>
    <phoneticPr fontId="1" type="noConversion"/>
  </si>
  <si>
    <t>หุบเขาลี้ลับถูกละทิ้งแล้ว</t>
    <phoneticPr fontId="1" type="noConversion"/>
  </si>
  <si>
    <t>Has abandonado el Valle oculto.</t>
    <phoneticPr fontId="1" type="noConversion"/>
  </si>
  <si>
    <t>คุณยึด {1}ได้สำเร็จแล้ว\r\n\r\nซึ่งทำให้ {2} ที่ยึดไว้ก่อนหน้านี้ถูกละทิ้งโดยอัตโนมัติ\r\n\r\nตามปกติแล้ว คุณสามารถยึดครองหุบเขาลี้ลับได้ 1 แห่ง</t>
    <phoneticPr fontId="1" type="noConversion"/>
  </si>
  <si>
    <t>Has conseguido capturar {1}.\r\n\r\nAbandonarás el {2} capturado previamente de forma automática.\r\n\r\nPor lo general, puedes ocupar solo 1 Valle oculto a la vez.</t>
    <phoneticPr fontId="1" type="noConversion"/>
  </si>
  <si>
    <t>Wanted Criminal Caught</t>
    <phoneticPr fontId="1" type="noConversion"/>
  </si>
  <si>
    <t>Has recibido un premio.</t>
    <phoneticPr fontId="1" type="noConversion"/>
  </si>
  <si>
    <t>Recebeu um prêmio.</t>
    <phoneticPr fontId="1" type="noConversion"/>
  </si>
  <si>
    <t>Unfortunately, some of the {1} issued to you as a reward for your Valley Capture success have been lost.\r\n\r\nMake more space in your Clan Warehouse to prevent any losses.</t>
    <phoneticPr fontId="1" type="noConversion"/>
  </si>
  <si>
    <t>很遺憾，秘谷占領戰發放的勝利獎勵{1}中，有一部分遺失了。\r\n\r\n清空門派倉庫，便可防止獎勵遺失。</t>
    <phoneticPr fontId="1" type="noConversion"/>
  </si>
  <si>
    <t>很遗憾，秘谷占领战发放的胜利奖励{1}中，有一部分遗失了。\r\n\r\n清空门派仓库，便可防止奖励遗失。</t>
    <phoneticPr fontId="1" type="noConversion"/>
  </si>
  <si>
    <t>大変残念ながら、秘谷占領戦の勝利報酬として支給された{1}のうち、一部を遺失しました\r\n\r\n今後このようなことが生じないように、門派倉庫を空けてください</t>
    <phoneticPr fontId="1" type="noConversion"/>
  </si>
  <si>
    <t>โชคไม่ดี รางวัล {1} บางส่วนที่มอบให้กับคุณในฐานะรางวัลการยึดหุบเขาลี้ลับของคุณได้สูญเสียไปแล้ว\r\n\r\nเพิ่มพื้นที่ว่างในโกดังแคลนของคุณเพื่อป้องกันการสูญหาย</t>
    <phoneticPr fontId="1" type="noConversion"/>
  </si>
  <si>
    <t>Por desgracia, parte de la recompensa de {1} por la Captura de Valle oculto se ha perdido.\r\n\r\nCrea más espacio en el almacén del clan para evitar futuras pérdidas.</t>
    <phoneticPr fontId="1" type="noConversion"/>
  </si>
  <si>
    <t>Infelizmente, algumas das {1} enviadas para si como recompensa pelo seu sucesso na Captura de Vale Oculto foram perdidas.\r\n\r\nObtenha mais espaço no armazém do seu clã para evitar quaisquer perdas.</t>
    <phoneticPr fontId="1" type="noConversion"/>
  </si>
  <si>
    <t>Valley Ownership Withdrawn</t>
    <phoneticPr fontId="1" type="noConversion"/>
  </si>
  <si>
    <t>หุบเขาลี้ลับถูกยกเลิก</t>
    <phoneticPr fontId="1" type="noConversion"/>
  </si>
  <si>
    <t>Retirada de Valle oculto</t>
    <phoneticPr fontId="1" type="noConversion"/>
  </si>
  <si>
    <t>The Valley ownership has been withdrawn.</t>
    <phoneticPr fontId="1" type="noConversion"/>
  </si>
  <si>
    <t>หุบเขาลี้ลับได้ถูกยกเลิกแล้ว</t>
    <phoneticPr fontId="1" type="noConversion"/>
  </si>
  <si>
    <t>Se ha retirado el Valle oculto.</t>
    <phoneticPr fontId="1" type="noConversion"/>
  </si>
  <si>
    <t>{1}'s Monolith ownership was lost,\r\n\r\nso the Valley ownership was withdrawn.\r\n\r\nThe next Valley Capture will begin in a week.</t>
    <phoneticPr fontId="1" type="noConversion"/>
  </si>
  <si>
    <t>สิทธิการครอบครองหินแห่งการยึดครองของ{1}ถูกทำให้สูญเสียไป\r\n\r\nดังนั้นหุบเขาลี้ลับได้ถูกยกเลิกแล้ว\r\n\r\nการยึดครองหุบเขาลี้ลับครั้งต่อไปจะเริ่มในอีกหนึ่งสัปดาห์</t>
    <phoneticPr fontId="1" type="noConversion"/>
  </si>
  <si>
    <t>Como se ha perdido la posesión de la piedra de captura de {1},\r\n\r\nse ha retirado el Valle oculto.\r\n\r\nLa próxima Captura de Valle oculto comenzará en una semana.</t>
    <phoneticPr fontId="1" type="noConversion"/>
  </si>
  <si>
    <t>國王已發佈［狩獵許可］。\r\n\r\n因諭旨的效果在一定時間內提升［狩獵經驗值增加、狩獵金錢獲得量增加、掉落率增加］能力。\r\n\r\n感謝國王的恩寵！</t>
    <phoneticPr fontId="1" type="noConversion"/>
  </si>
  <si>
    <t>国王が[狩猟許可]を宣布しました。\r\n\r\n勅命の効果により一定時間、[狩り経験値増加、狩り銅貨獲得量増加、ドロップ率増加]が増加します。\r\n\r\n国王様の恩恵に感謝申し上げます！</t>
    <phoneticPr fontId="1" type="noConversion"/>
  </si>
  <si>
    <t>國王已發佈［鼓勵採集］。\r\n\r\n因諭旨的效果在一定時間內提升［採集時間加速、真氣採集時間加速、幸運掉落率增加］能力。\r\n\r\n感謝國王的恩寵！</t>
    <phoneticPr fontId="1" type="noConversion"/>
  </si>
  <si>
    <t>国王已宣布【鼓励采集】敕令\r\n\r\n受到敕令的效果影响，将在一定时间内提升【采集时间加速、真气采集时间加速和幸运掉落率增加】能力值。\r\n\r\n感谢国王的恩宠！</t>
    <phoneticPr fontId="1" type="noConversion"/>
  </si>
  <si>
    <t>国王が[採集督励]を宣布しました。\r\n\r\n勅命の効果により一定時間、[採集時間加速、真気採集時間加速、幸運ドロップ率増加]が増加します。\r\n\r\n国王様の恩恵に感謝申し上げます！</t>
    <phoneticPr fontId="1" type="noConversion"/>
  </si>
  <si>
    <t>ราชาได้ประกาศคำสั่งให้ [สนับสนุนการเก็บรวบรวม]\r\n\r\nเอฟเฟกต์จากคำสั่งจะเพิ่มค่าสถานะ [เร่งเวลาเก็บรวบรวม, เร่งเวลาเก็บรวบรวมแก่น, เพิ่มโอกาสดร็อปโชคดี] เป็นระยะเวลาหนึ่ง\r\n\r\nพวกเราซาบซึ้งในความกรุณาของท่านราชา!</t>
    <phoneticPr fontId="1" type="noConversion"/>
  </si>
  <si>
    <t>El rey ha decretado el mandato [Estímulo de recolección].\r\n\r\nLas estadísticas de [Acel. de Tiempo de Recolección, Acel. de Tiempo de Recolección de Energía y Aum. Prob. de Caída por Suerte] aumentarán durante un tiempo mediante el efecto del mandato.\r\n\r\n¡Alabado sea el generoso rey!</t>
    <phoneticPr fontId="1" type="noConversion"/>
  </si>
  <si>
    <t>國王已發佈［守護王國］。\r\n\r\n因諭旨的效果在一定時間內提升［PvP攻擊傷害增加、所受PvP傷害減少］能力。\r\n\r\n感謝國王的恩寵！</t>
    <phoneticPr fontId="1" type="noConversion"/>
  </si>
  <si>
    <t>国王已宣布【守护王国】敕令。\r\n\r\n受到敕令的效果影响，将在一定时间内提升【PvP攻击伤害增加、所受PvP伤害减少】能力值。\r\n\r\n感谢国王的恩宠！</t>
    <phoneticPr fontId="1" type="noConversion"/>
  </si>
  <si>
    <t>国王が[王国守護]を宣布しました。\r\n\r\n勅命の効果により一定時間、[PvP攻撃ダメージ増加、受けるPvPダメージ減少]が増加します。\r\n\r\n国王様の恩恵に感謝申し上げます！</t>
    <phoneticPr fontId="1" type="noConversion"/>
  </si>
  <si>
    <t>Entrega de Acero Oscuro</t>
    <phoneticPr fontId="1" type="noConversion"/>
  </si>
  <si>
    <t>Distribuição de Aço Negro</t>
    <phoneticPr fontId="1" type="noConversion"/>
  </si>
  <si>
    <t>O Aço Negro foi dado.</t>
    <phoneticPr fontId="1" type="noConversion"/>
  </si>
  <si>
    <t>{2} of the [{1}] clan has given {4} x{5} from the [{3}] territory warehouse.</t>
    <phoneticPr fontId="1" type="noConversion"/>
  </si>
  <si>
    <t>［{1}］門派的{2}玩家發放了［{3}］領地倉庫的{4}{5}個。</t>
    <phoneticPr fontId="1" type="noConversion"/>
  </si>
  <si>
    <t>【{1}】门派的玩家{2}发放了{3}领地仓库的{5}个{4}。</t>
    <phoneticPr fontId="1" type="noConversion"/>
  </si>
  <si>
    <t>Entregar oro</t>
    <phoneticPr fontId="1" type="noConversion"/>
  </si>
  <si>
    <t>Distribuir Moeda de Ouro</t>
    <phoneticPr fontId="1" type="noConversion"/>
  </si>
  <si>
    <t>已發放金幣。</t>
    <phoneticPr fontId="1" type="noConversion"/>
  </si>
  <si>
    <t>Moeda de Ouro foi enviada.</t>
    <phoneticPr fontId="1" type="noConversion"/>
  </si>
  <si>
    <t>Clan Invite</t>
    <phoneticPr fontId="1" type="noConversion"/>
  </si>
  <si>
    <t>門派邀請</t>
    <phoneticPr fontId="1" type="noConversion"/>
  </si>
  <si>
    <t>邀请加入门派</t>
    <phoneticPr fontId="1" type="noConversion"/>
  </si>
  <si>
    <t>門派招待</t>
    <phoneticPr fontId="1" type="noConversion"/>
  </si>
  <si>
    <t>คำเชิญแคลน</t>
    <phoneticPr fontId="1" type="noConversion"/>
  </si>
  <si>
    <t>Invitación de clan</t>
    <phoneticPr fontId="1" type="noConversion"/>
  </si>
  <si>
    <t>Convite para clã</t>
    <phoneticPr fontId="1" type="noConversion"/>
  </si>
  <si>
    <t>The {1} clan has approved you to join them.\r\n\r\nBeing in a clan offers various benefits.\r\n\r\nPlease be active in your clan.\r\n\r\nThank you.</t>
    <phoneticPr fontId="1" type="noConversion"/>
  </si>
  <si>
    <t>{1}門派已批准您加入。\r\n\r\n透過門派活動可獲得更多特惠，\r\n\r\n努力多多活動吧。\r\n\r\n謝謝。</t>
    <phoneticPr fontId="1" type="noConversion"/>
  </si>
  <si>
    <t>{1}门派已同意您的加入。\r\n\r\n通过门派活动可以获得更多特惠，\r\n\r\n努力多多活动吧。\r\n\r\n谢谢。</t>
    <phoneticPr fontId="1" type="noConversion"/>
  </si>
  <si>
    <t>{1}門派が登録を承認しました\r\n\r\n門派活動でさらに多くの特典を獲得できますので、\r\n\r\n積極的に活動してください</t>
    <phoneticPr fontId="1" type="noConversion"/>
  </si>
  <si>
    <t>แคลน {1} ได้อนุมัติให้คุณเข้าร่วมแล้ว\r\n\r\nการอยู่ในแคลนจะมอบสิทธิประโยชน์มากมายให้กับคุณ\r\n\r\nโปรดทำกิจกรรมร่วมกับแคลนของคุณบ่อยๆ\r\n\r\nขอขอบคุณ</t>
    <phoneticPr fontId="1" type="noConversion"/>
  </si>
  <si>
    <t>El clan {1} ha aceptado tu solicitud para unirte a ellos.\r\n\r\nPertenecer a un clan trae muchos beneficios.\r\n\r\nSé activo en el clan.\r\n\r\nGracias.</t>
    <phoneticPr fontId="1" type="noConversion"/>
  </si>
  <si>
    <t>O clã {1} aprovou a sua adesão ao mesmo.\r\n\r\nEstar num clã oferece vários benefícios.\r\n\r\nSeja ativo no seu clã.\r\n\r\nObrigado.</t>
    <phoneticPr fontId="1" type="noConversion"/>
  </si>
  <si>
    <t>You have left the {1} clan.\r\n\r\nBeing in a clan offers many benefits.\r\n\r\nCreate a new clan, or join another clan, to continue receiving benefits.\r\n\r\nThank you.</t>
    <phoneticPr fontId="1" type="noConversion"/>
  </si>
  <si>
    <t>已退出{1}门派。\r\n\r\n进行门派活动可以获得许多福利。\r\n\r\n少侠可以选择创建新门派或加入其他门派，继续获得特惠。\r\n\r\n谢谢。</t>
    <phoneticPr fontId="1" type="noConversion"/>
  </si>
  <si>
    <t>{1}門派から脱退しました\r\n\r\n門派で活動すると、様々な特典をもらえます\r\n\r\n新しい門派を創設したり、他の門派に登録することで特典を獲得し続けてください</t>
    <phoneticPr fontId="1" type="noConversion"/>
  </si>
  <si>
    <t>คุณออกจากแคลน {1} แล้ว\r\n\r\nการอยู่ในแคลนจะมอบสิทธิประโยชน์มากมายให้กับคุณ\r\n\r\nสร้างแคลนใหม่ หรือเข้าร่วมแคลนอื่น เพื่อรับสิทธิประโยชน์ต่อไป\r\n\r\nขอขอบคุณ</t>
    <phoneticPr fontId="1" type="noConversion"/>
  </si>
  <si>
    <t>Has dejado el clan {1}.\r\n\r\nPertenecer a un clan trae muchos beneficios.\r\n\r\nCrea un clan nuevo o únete a otro para seguir recibiendo beneficios.\r\n\r\nGracias.</t>
    <phoneticPr fontId="1" type="noConversion"/>
  </si>
  <si>
    <t>Abandonou o clã {1}.\r\n\r\nEstar num clã oferece vários benefícios.\r\n\r\nCrie um novo clã, ou junte-se a outro clã, para continuar a receber os benefícios.\r\n\r\nObrigado.</t>
    <phoneticPr fontId="1" type="noConversion"/>
  </si>
  <si>
    <t>You have been kicked from the {1} clan.\r\n\r\nBeing in a clan offers many benefits.\r\n\r\nCreate a new clan, or join another clan, to continue receiving benefits.\r\n\r\nThank you.</t>
    <phoneticPr fontId="1" type="noConversion"/>
  </si>
  <si>
    <t>已被{1}门派踢除。\r\n\r\n进行门派活动可以获得许多福利。\r\n\r\n少侠可以选择创建新门派或加入其他门派，继续获得特惠。\r\n\r\n谢谢。</t>
    <phoneticPr fontId="1" type="noConversion"/>
  </si>
  <si>
    <t>{1}門派から追放されました\r\n\r\n門派で活動すると、様々な特典をもらえます\r\n\r\n新しい門派を創設したり、他の門派に登録することで特典を獲得し続けてください</t>
    <phoneticPr fontId="1" type="noConversion"/>
  </si>
  <si>
    <t>คุณถูกไล่ออกจากแคลน {1} แล้ว\r\n\r\nการอยู่ในแคลนจะมอบสิทธิประโยชน์มากมายให้กับคุณ\r\n\r\nสร้างแคลนใหม่ หรือเข้าร่วมแคลนอื่น เพื่อรับสิทธิประโยชน์ต่อไป\r\n\r\nขอขอบคุณ</t>
    <phoneticPr fontId="1" type="noConversion"/>
  </si>
  <si>
    <t>Te han expulsado del clan {1}.\r\n\r\nPertenecer a un clan trae muchos beneficios.\r\n\r\nCrea un clan nuevo o únete a otro para seguir recibiendo beneficios.\r\n\r\nGracias.</t>
    <phoneticPr fontId="1" type="noConversion"/>
  </si>
  <si>
    <t>Foi expulso do clã {1}.\r\n\r\nEstar num clã oferece vários benefícios.\r\n\r\nCrie um novo clã, ou junte-se a outro clã, para continuar a receber os benefícios.\r\n\r\nObrigado.</t>
    <phoneticPr fontId="1" type="noConversion"/>
  </si>
  <si>
    <t>门派远征成功，特此发放以下奖励。\r\n\r\n背包空间不足，奖励将通过信件发送。\r\n\r\n谢谢。</t>
    <phoneticPr fontId="1" type="noConversion"/>
  </si>
  <si>
    <t>The {1} clan has requested an alliance.\r\n\r\nTap the View Alliance button below to see the clans that have requested an alliance.\r\n\r\nThank you.</t>
    <phoneticPr fontId="1" type="noConversion"/>
  </si>
  <si>
    <t>{1}门派请求结盟。\r\n\r\n点击下方的确认同盟按键即可确认请求结盟的门派。\r\n\r\n谢谢。</t>
    <phoneticPr fontId="1" type="noConversion"/>
  </si>
  <si>
    <t>{1}門派が同盟を要請しました\r\n\r\n以下の「同盟確認」ボタンをタッチすると、同盟を要請した門派を確認できます</t>
    <phoneticPr fontId="1" type="noConversion"/>
  </si>
  <si>
    <t>แคลน {1} ได้ส่งคำขอเป็นพันธมิตรถึงคุณ\r\n\r\nแตะปุ่ม ดูพันธมิตร ด้านล่างนี้เพื่อดูแคลนที่ส่งคำขอเป็นพันธมิตรมา\r\n\r\nขอขอบคุณ</t>
    <phoneticPr fontId="1" type="noConversion"/>
  </si>
  <si>
    <t>El clan {1} ha solicitado una alianza.\r\n\r\nPulsa el botón Ver alianza abajo para ver los clanes que han solicitado una alianza.\r\n\r\nGracias.</t>
    <phoneticPr fontId="1" type="noConversion"/>
  </si>
  <si>
    <t>O clã {1} fez um pedido de aliança.\r\n\r\nToque no botão Ver Aliança abaixo para ver os clãs que fizeram um pedido de aliança.\r\n\r\nObrigado.</t>
    <phoneticPr fontId="1" type="noConversion"/>
  </si>
  <si>
    <t>Clan War Notification</t>
    <phoneticPr fontId="1" type="noConversion"/>
  </si>
  <si>
    <t>門派戰爭通知</t>
    <phoneticPr fontId="1" type="noConversion"/>
  </si>
  <si>
    <t>门派战争通知</t>
    <phoneticPr fontId="1" type="noConversion"/>
  </si>
  <si>
    <t>門派戦争通知</t>
    <phoneticPr fontId="1" type="noConversion"/>
  </si>
  <si>
    <t>การแจ้งเตือนสงครามแคลน</t>
    <phoneticPr fontId="1" type="noConversion"/>
  </si>
  <si>
    <t>Notificación de guerra de clanes</t>
    <phoneticPr fontId="1" type="noConversion"/>
  </si>
  <si>
    <t>Notificação de Guerra de Clãs</t>
    <phoneticPr fontId="1" type="noConversion"/>
  </si>
  <si>
    <t>門派戦争が始まりました</t>
    <phoneticPr fontId="1" type="noConversion"/>
  </si>
  <si>
    <t>สงครามแคลนได้เริ่มขึ้นแล้ว</t>
    <phoneticPr fontId="1" type="noConversion"/>
  </si>
  <si>
    <t>Ha comenzado una guerra de clanes.</t>
    <phoneticPr fontId="1" type="noConversion"/>
  </si>
  <si>
    <t>Foi iniciada uma guerra de clãs.</t>
    <phoneticPr fontId="1" type="noConversion"/>
  </si>
  <si>
    <t>The {1} clan has declared war.\r\n\r\nTap the View War button below to see the clans that have declared war.\r\n\r\nThank you.</t>
    <phoneticPr fontId="1" type="noConversion"/>
  </si>
  <si>
    <t>{1}门派已宣战。\r\n\r\n点击下方的确认战争按键即可确认宣战的门派。\r\n\r\n谢谢。</t>
    <phoneticPr fontId="1" type="noConversion"/>
  </si>
  <si>
    <t>{1}門派が宣戦布告しました\r\n\r\n以下の「戦争確認」ボタンをタッチすると、宣戦布告した門派を確認できます</t>
    <phoneticPr fontId="1" type="noConversion"/>
  </si>
  <si>
    <t>แคลน {1} ได้ประกาศสงคราม\r\n\r\nแตะปุ่ม ดูสงคราม ด้านล่างนี้เพื่อดูแคลนที่ประกาศสงคราม\r\n\r\nขอขอบคุณ</t>
    <phoneticPr fontId="1" type="noConversion"/>
  </si>
  <si>
    <t>El clan {1} ha declarado la guerra.\r\n\r\nPulsa el botón Ver guerra abajo para ver los clanes que han declarado la guerra.\r\n\r\nGracias.</t>
    <phoneticPr fontId="1" type="noConversion"/>
  </si>
  <si>
    <t>O clã {1} declarou guerra.\r\n\r\nToque no botão Ver Guerra abaixo para ver os clãs que declararam guerra.\r\n\r\nObrigado.</t>
    <phoneticPr fontId="1" type="noConversion"/>
  </si>
  <si>
    <t>The clan's Darksteel tax has not been received from\r\n\r\nyour occupied territory because the Clan Warehouse is full.\r\n\r\nIncrease the Darksteel capacity of the Clan Warehouse\r\n\r\nor use the stored Darksteel to create more space in the warehouse.</t>
    <phoneticPr fontId="1" type="noConversion"/>
  </si>
  <si>
    <t>門派倉庫已滿，無法發放\r\n\r\n來自占領地的門派黑鐵稅金。\r\n\r\n請增加門派倉庫的黑鐵保管量，\r\n\r\n或使用現有黑鐵，釋放倉庫空間。</t>
    <phoneticPr fontId="1" type="noConversion"/>
  </si>
  <si>
    <t>因门派仓库已满，无法发放\r\n\r\n来自占领地的门派黑铁税金。\r\n\r\n请增加门派仓库的黑铁保管量，\r\n\r\n或使用现有黑铁，确保仓库空间。</t>
    <phoneticPr fontId="1" type="noConversion"/>
  </si>
  <si>
    <t>門派倉庫がいっぱいのため、\r\n\r\n占領地から納入された門派黒鉄の税金を受け取れませんでした\r\n\r\n門派倉庫の黒鉄保管量を増やすか、\r\n\r\n保管中の黒鉄を使用して、倉庫の空き容量を確保してください</t>
    <phoneticPr fontId="1" type="noConversion"/>
  </si>
  <si>
    <t>ภาษีเหล็กดำไม่ได้ถูกรับจาก\r\n\r\nดินแดนที่ยึดครองของคุณเนื่องจากคลังของแคลนเต็ม\r\n\r\nเพิ่มความจุเหล็กดำในคลังของแคลน\r\n\r\nหรือใช้เหล็กดำที่เก็บไว้เพื่อเพิ่มพื้นที่ว่างในคลังของแคลน</t>
    <phoneticPr fontId="1" type="noConversion"/>
  </si>
  <si>
    <t>No se ha recibido el tributo por acero oscuro del clan de\r\n\r\ntu territorio ocupado porque el almacén del clan está lleno.\r\n\r\nAumenta la capacidad de acero oscuro del almacén del clan\r\n\r\no utiliza el acero oscuro almacenado para conseguir más espacio.</t>
    <phoneticPr fontId="1" type="noConversion"/>
  </si>
  <si>
    <t>O Imposto de Aço Negro do clã gerado no território ocupado\r\n\r\nainda não foi recolhido porque o Armazém do Clã está cheio.\r\n\r\nAumente a capacidade de Aço Negro do Armazém do Clã\r\n\r\nou consuma Aço Negro armazenado para liberar espaço no armazém.</t>
    <phoneticPr fontId="1" type="noConversion"/>
  </si>
  <si>
    <t>［{1}］黑鐵商人已停止出售黑鐵。\r\n原因：黑鐵商人營運時間結束\r\n收益：{2}金幣。\r\n回收黑鐵：{3}個\r\n未回收黑鐵：{4}個\r\n保持秘谷占領狀態，即可繼續出售黑鐵。</t>
    <phoneticPr fontId="1" type="noConversion"/>
  </si>
  <si>
    <t xml:space="preserve"> [{1}] เจ้าของร้านค้าเหล็กดำได้สิ้นสุดการขายเหล็กดำแล้ว\r\nเหตุผล: สิ้นสุดเวลาการทำงานของเจ้าของร้านค้าเหล็กดำแล้ว\r\nกำไร: {2} ทอง\r\nเหล็กดำที่ถูกเรียกกลับคืน: {3}\r\nเหล็กดำที่ไม่ถูกเรียกกลับคืน: {4}\r\nคุณสามารถดำเนินการขายเหล็กดำต่อไปได้ หากคุณยึดครองหุบเขาลี้ลับอยู่</t>
    <phoneticPr fontId="1" type="noConversion"/>
  </si>
  <si>
    <t>El mercader de acero oscuro [{1}] ha finalizado su venta.\r\nMotivo: horas de servicio del mercader finalizadas\r\nBeneficio: {2} de oro\r\nAcero oscuro recuperado: {3}\r\nAcero oscuro no recuperado: {4}\r\nPuedes seguir vendiendo acero oscuro si estás ocupando el Valle oculto.</t>
    <phoneticPr fontId="1" type="noConversion"/>
  </si>
  <si>
    <t>［{1}］黑鐵商人已停止出售黑鐵。\r\n原因：售罄\r\n收益：{2}金幣\r\n收益將直接儲存於門派倉庫。</t>
    <phoneticPr fontId="1" type="noConversion"/>
  </si>
  <si>
    <t xml:space="preserve"> [{1}] เจ้าของร้านค้าเหล็กดำได้สิ้นสุดการขายเหล็กดำแล้ว\r\nเหตุผล: ขายหมดแล้ว\r\nกำไร: {2} ทอง\r\nกำไรจากการขายจะถูกบันทึกไปยังโกดังสินค้าของแคลนโดยตรง</t>
    <phoneticPr fontId="1" type="noConversion"/>
  </si>
  <si>
    <t>［{1}］黑鐵商人已停止出售黑鐵。\r\n原因：玩家［{5}］取消出售黑鐵\r\n收益：{2}金幣\r\n回收的黑鐵：{3}個\r\n未回收黑鐵：{4}個\r\n未回收的黑鐵將自動刪除。</t>
    <phoneticPr fontId="1" type="noConversion"/>
  </si>
  <si>
    <t xml:space="preserve"> [{1}] เจ้าของร้านค้าเหล็กดำได้สิ้นสุดการขายเหล็กดำแล้ว\r\nเหตุผล: การขายเหล็กดำถูกยกเลิกโดย [{5}] \r\nกำไร: {2} ทอง\r\nเหล็กดำที่ถูกเรียกกลับคืน: {3}\r\nเหล็กดำที่ไม่ถูกเรียกกลับคืน: {4}\r\nเหล็กดำที่ไม่ถูกเรียกกลับคืนจะถูกลบโดยอัตโนมัติ</t>
    <phoneticPr fontId="1" type="noConversion"/>
  </si>
  <si>
    <t>［{1}］黑鐵商人已停止出售黑鐵。\r\n原因：門派倉庫的門派金幣剩餘空間不足\r\n收益：{2}金幣\r\n回收的黑鐵：{3}個\r\n未回收黑鐵：{4}個\r\n未回收的黑鐵將自動刪除。</t>
    <phoneticPr fontId="1" type="noConversion"/>
  </si>
  <si>
    <t xml:space="preserve"> [{1}] เจ้าของร้านค้าเหล็กดำได้สิ้นสุดการขายเหล็กดำแล้ว\r\nเหตุผล: พื้นที่ว่างของทองในโกดังสินค้าของแคลนไม่เพียงพอ\r\nกำไร: {2} ทอง\r\nเหล็กดำที่ถูกเรียกกลับคืน: {3}\r\nเหล็กดำที่ไม่ถูกเรียกกลับคืน: {4}\r\nเหล็กดำที่ไม่ถูกเรียกกลับคืนจะถูกลบโดยอัตโนมัติ</t>
    <phoneticPr fontId="1" type="noConversion"/>
  </si>
  <si>
    <t>Weekly Contribution Ranking Notification</t>
    <phoneticPr fontId="1" type="noConversion"/>
  </si>
  <si>
    <t>每週貢獻度排位通知</t>
    <phoneticPr fontId="1" type="noConversion"/>
  </si>
  <si>
    <t>每周贡献度排位提示</t>
    <phoneticPr fontId="1" type="noConversion"/>
  </si>
  <si>
    <t>週間貢献度ランキング通知</t>
    <phoneticPr fontId="1" type="noConversion"/>
  </si>
  <si>
    <t>การแจ้งเตือนอันดับการสนับสนุนประจำสัปดาห์</t>
    <phoneticPr fontId="1" type="noConversion"/>
  </si>
  <si>
    <t>Aviso de clasificación de contribución semanal</t>
    <phoneticPr fontId="1" type="noConversion"/>
  </si>
  <si>
    <t>Notificação de Classificação de contribuição semanal</t>
    <phoneticPr fontId="1" type="noConversion"/>
  </si>
  <si>
    <t>The contribution ranking for Week {1} - {2}</t>
    <phoneticPr fontId="1" type="noConversion"/>
  </si>
  <si>
    <t>{1}～{2}每週貢獻度排位</t>
    <phoneticPr fontId="1" type="noConversion"/>
  </si>
  <si>
    <t>{1}~{2}每周贡献度排位</t>
    <phoneticPr fontId="1" type="noConversion"/>
  </si>
  <si>
    <t>{1}～{2}週間貢献度ランキング</t>
    <phoneticPr fontId="1" type="noConversion"/>
  </si>
  <si>
    <t>อันดับการสนับสนุนประจำสัปดาห์ที่ {1} - {2}</t>
    <phoneticPr fontId="1" type="noConversion"/>
  </si>
  <si>
    <t>La clasificación de contribución de la semana {1}-{2}.</t>
    <phoneticPr fontId="1" type="noConversion"/>
  </si>
  <si>
    <t>A classificação de contribuição para a Semana {1} - {2}</t>
    <phoneticPr fontId="1" type="noConversion"/>
  </si>
  <si>
    <t>{1} has used the {2} technique.\r\n\r\nHurry and get benefits from the technique's effects.</t>
    <phoneticPr fontId="1" type="noConversion"/>
  </si>
  <si>
    <t>{1}玩家使用了{2}門派技能。\r\n\r\n快來感受一下門派技能效果吧。</t>
    <phoneticPr fontId="1" type="noConversion"/>
  </si>
  <si>
    <t>玩家{1}使用了{2}门派技能。\r\n\r\n快来感受一下门派技能效果吧。</t>
    <phoneticPr fontId="1" type="noConversion"/>
  </si>
  <si>
    <t>{1} ได้ใช้เทคนิค {2} แล้ว\r\n\r\nรีบรับสิทธิประโยชน์จากผลของเทคนิคโดยเร็ว</t>
    <phoneticPr fontId="1" type="noConversion"/>
  </si>
  <si>
    <t>{1} ha usado la técnica {2}.\r\n\r\nDate prisa y aprovéchate de los efectos de la técnica.</t>
    <phoneticPr fontId="1" type="noConversion"/>
  </si>
  <si>
    <t>{1} usou a técnica {2}.\r\n\r\nApresse-se e obtenha benefícios dos efeitos da técnica.</t>
    <phoneticPr fontId="1" type="noConversion"/>
  </si>
  <si>
    <t>การแจ้งเตือนสงครามของแคลน</t>
    <phoneticPr fontId="1" type="noConversion"/>
  </si>
  <si>
    <t>已宣布门派战争。</t>
    <phoneticPr fontId="1" type="noConversion"/>
  </si>
  <si>
    <t>{1} 문파에 전쟁을 선포하였습니다.\r\n\r\n아래의 전쟁확인 버튼을 터치하여 전쟁을 선포한 문파를 확인할 수 있습니다.\r\n\r\n감사합니다.</t>
    <phoneticPr fontId="1" type="noConversion"/>
  </si>
  <si>
    <t>Your clan has declared war against the {1} clan.\r\n\r\nTap the View War button below to see the clans that have declared war.\r\n\r\nThank you.</t>
    <phoneticPr fontId="1" type="noConversion"/>
  </si>
  <si>
    <t>已向{1}門派進行宣戰。\r\n\r\n點擊下方的確認戰爭按鍵即可確認宣戰的門派。\r\n\r\n謝謝。</t>
    <phoneticPr fontId="1" type="noConversion"/>
  </si>
  <si>
    <t>已向{1}门派宣战。\r\n\r\n点击下方的确认战争按键即可确认宣战的门派。\r\n\r\n谢谢。</t>
    <phoneticPr fontId="1" type="noConversion"/>
  </si>
  <si>
    <t>{1}門派に宣戦布告しました\r\n\r\n以下の「戦争確認」ボタンをタッチすると、宣戦布告した門派を確認できます</t>
    <phoneticPr fontId="1" type="noConversion"/>
  </si>
  <si>
    <t>แคลนของคุณได้ประกาศสงครามต่อ {1} แคลนอื่นแล้ว\r\n\r\nแตะที่ปุ่ม ดูสงคราม ด้านล่าง เพื่อดูแคลนที่ประกาศสงคราม\r\n\r\nขอขอบคุณ</t>
    <phoneticPr fontId="1" type="noConversion"/>
  </si>
  <si>
    <t>Tu clan ha declarado la guerra contra el clan {1}.\r\n\r\nPulsa el botón Ver guerra abajo para ver los clanes que han declarado la guerra.\r\n\r\nGracias.</t>
    <phoneticPr fontId="1" type="noConversion"/>
  </si>
  <si>
    <t>O seu clã declarou guerra contra o clã {1}.\r\n\r\nToque no botão Ver Guerra abaixo para ver os clãs que declararam guerra.\r\n\r\nObrigado.</t>
    <phoneticPr fontId="1" type="noConversion"/>
  </si>
  <si>
    <t>已应战门派战争。</t>
    <phoneticPr fontId="1" type="noConversion"/>
  </si>
  <si>
    <t>{1} 문파에서 응전을 선포하였습니다.\r\n\r\n아래의 전쟁확인 버튼을 터치하여 응전을 선포한 문파를 확인할 수 있습니다.\r\n\r\n감사합니다.</t>
    <phoneticPr fontId="1" type="noConversion"/>
  </si>
  <si>
    <t>The {1} clan has declared retaliation.\r\n\r\nTap the View War button below to see the clans that have declared retaliation.\r\n\r\nThank you.</t>
    <phoneticPr fontId="1" type="noConversion"/>
  </si>
  <si>
    <t>{1}門派已宣布應戰。\r\n\r\n點擊下方的確認戰爭按鍵即可確認宣布應戰的門派。\r\n\r\n謝謝。</t>
    <phoneticPr fontId="1" type="noConversion"/>
  </si>
  <si>
    <t>{1}门派已宣布应战。\r\n\r\n点击下方的确认战争按键即可确认应战的门派。\r\n\r\n谢谢。</t>
    <phoneticPr fontId="1" type="noConversion"/>
  </si>
  <si>
    <t>{1}門派が応戦を宣布しました。\r\n\r\n以下の「戦争確認」ボタンをタッチすると、応戦を宣布した門派を確認できます。\r\n\r\nありがとうございます。</t>
    <phoneticPr fontId="1" type="noConversion"/>
  </si>
  <si>
    <t>แคลน {1} เปิดศึกตอบโต้กลับแล้ว\r\n\r\nแตะที่ปุ่มดูสงครามด้านล่าง เพื่อดูแคลนที่ประกาศเปิดศึกตอบโต้กลับ\r\n\r\nขอบคุณ</t>
    <phoneticPr fontId="1" type="noConversion"/>
  </si>
  <si>
    <t>El clan {1} ha declarado venganza.\r\n\r\nPulsa el botón Ver guerra abajo para ver los clanes que han declarado venganza.\r\n\r\nGracias.</t>
    <phoneticPr fontId="1" type="noConversion"/>
  </si>
  <si>
    <t>O clã {1} declarou retaliação.\r\n\r\nToque no botão Ver Guerra abaixo para ver os clãs que declararam retaliação.\r\n\r\nObrigado.</t>
    <phoneticPr fontId="1" type="noConversion"/>
  </si>
  <si>
    <t>{1} 문파에 응전을 선포하였습니다.\r\n\r\n아래의 전쟁확인 버튼을 터치하여 응전을 선포한 문파를 확인할 수 있습니다.\r\n\r\n감사합니다.</t>
    <phoneticPr fontId="1" type="noConversion"/>
  </si>
  <si>
    <t>Retaliation has been declared against the {1} clan.\r\n\r\nTap the View War button below to see the clans that have retaliated.\r\n\r\nThank you.</t>
    <phoneticPr fontId="1" type="noConversion"/>
  </si>
  <si>
    <t>已向{1}門派宣布應戰。\r\n\r\n點擊下方的確認戰爭按鍵即可確認宣布應戰的門派。\r\n\r\n謝謝。</t>
    <phoneticPr fontId="1" type="noConversion"/>
  </si>
  <si>
    <t>已向{1}门派宣布应战。\r\n\r\n点击下方的确认战争按键即可确认应战的门派。\r\n\r\n谢谢。</t>
    <phoneticPr fontId="1" type="noConversion"/>
  </si>
  <si>
    <t>{1}門派に応戦を宣布しました\r\n\r\n以下の「戦争確認」ボタンをタッチすると、応戦を宣布した門派を確認できます</t>
    <phoneticPr fontId="1" type="noConversion"/>
  </si>
  <si>
    <t>การตอบโต้ถูกประกาศออกไปแล้วต่อ {1} แคลน\r\n\r\nแตะที่ปุ่ม ดูสงคราม ด้านล่าง เพื่อดูแคลนที่ประกาศการตอบโต้\r\n\r\nขอขอบคุณ</t>
    <phoneticPr fontId="1" type="noConversion"/>
  </si>
  <si>
    <t>Se ha declarado venganza contra el clan {1}.\r\n\r\nPulsa el botón Ver guerra abajo para ver los clanes que han pedido venganza.\r\n\r\nGracias.</t>
    <phoneticPr fontId="1" type="noConversion"/>
  </si>
  <si>
    <t>Foi declarada retaliação contra o clã {1}.\r\n\r\nToque no botão Ver Guerra abaixo para ver os clãs que retaliaram.\r\n\r\nObrigado.</t>
    <phoneticPr fontId="1" type="noConversion"/>
  </si>
  <si>
    <t>[{1}] {2} 문파에서 동맹을 요청하였습니다.\r\n\r\n아래의 동맹확인 버튼을 터치하여 동맹을 요청한 문파를 확인할 수 있습니다.\r\n\r\n감사합니다.</t>
    <phoneticPr fontId="1" type="noConversion"/>
  </si>
  <si>
    <t>The [{1}] {2} clan has requested an alliance.\r\n\r\nTap the View Alliance button below to see the clans that have requested an alliance.\r\n\r\nThank you.</t>
    <phoneticPr fontId="1" type="noConversion"/>
  </si>
  <si>
    <t>［{1}］{2}門派已請求結盟。\r\n\r\n點擊下方的確認結盟按鍵即可確認請求結盟的門派。\r\n\r\n謝謝。</t>
    <phoneticPr fontId="1" type="noConversion"/>
  </si>
  <si>
    <t>【{1}】{2}门派请求结盟。\r\n\r\n点击下方的确认同盟按键即可确认请求结盟的门派。\r\n\r\n谢谢。</t>
    <phoneticPr fontId="1" type="noConversion"/>
  </si>
  <si>
    <t>[{1}]{2}門派が同盟を要請しました。\r\n\r\n以下の「同盟確認」ボタンをタッチすると、同盟を要請した門派を確認できます。\r\n\r\nありがとうございます。</t>
    <phoneticPr fontId="1" type="noConversion"/>
  </si>
  <si>
    <t>แคลน [{1}] {2} ได้ส่งคำขอเป็นพันธมิตรถึงคุณ\r\n\r\nแตะที่ปุ่มดูพันธมิตรด้านล่าง เพื่อดูแคลนที่ส่งคำขอเป็นพันธมิตรมา\r\n\r\nขอบคุณ</t>
    <phoneticPr fontId="1" type="noConversion"/>
  </si>
  <si>
    <t>El clan {2} de [{1}] ha solicitado una alianza.\r\n\r\nPulsa el botón Ver alianza debajo para ver las solicitudes de alianza del clan.\r\n\r\nGracias.</t>
    <phoneticPr fontId="1" type="noConversion"/>
  </si>
  <si>
    <t>O clã {2} [{1}] fez um pedido de aliança.\r\n\r\nToque no botão Ver Aliança abaixo para ver os clãs que solicitaram pedido de aliança.\r\n\r\nObrigado.</t>
    <phoneticPr fontId="1" type="noConversion"/>
  </si>
  <si>
    <t>[{1}] {2} 문파에서 전쟁을 선포하였습니다.\r\n\r\n아래의 전쟁확인 버튼을 터치하여 전쟁을 선포한 문파를 확인할 수 있습니다.\r\n\r\n감사합니다.</t>
    <phoneticPr fontId="1" type="noConversion"/>
  </si>
  <si>
    <t>The [{1}] {2} clan has declared war.\r\n\r\nTap the View War button below to see the clans that have declared war.\r\n\r\nThank you.</t>
    <phoneticPr fontId="1" type="noConversion"/>
  </si>
  <si>
    <t>［{1}］{2}門派已宣戰。\r\n\r\n點擊下方的確認戰爭按鍵即可確認宣戰的門派。\r\n\r\n謝謝。</t>
    <phoneticPr fontId="1" type="noConversion"/>
  </si>
  <si>
    <t>【{1}】{2}门派已宣战。\r\n\r\n点击下方的确认战争按键即可确认宣战的门派。\r\n\r\n谢谢。</t>
    <phoneticPr fontId="1" type="noConversion"/>
  </si>
  <si>
    <t>[{1}]{2}門派が宣戦布告しました。\r\n\r\n以下の「戦争確認」ボタンをタッチすると、宣戦布告した門派を確認できます。\r\n\r\nありがとうございます。</t>
    <phoneticPr fontId="1" type="noConversion"/>
  </si>
  <si>
    <t>แคลน [{1}] {2} ประกาศสงครามแล้ว\r\n\r\nแตะที่ปุ่มดูสงครามด้านล่าง เพื่อดูแคลนที่ประกาศสงคราม\r\n\r\nขอบคุณ</t>
    <phoneticPr fontId="1" type="noConversion"/>
  </si>
  <si>
    <t>El clan {2} de [{1}] ha declarado la guerra.\r\n\r\nPulsa el botón Ver guerra debajo para ver a los clanes que han declarado guerra.\r\n\r\nGracias.</t>
    <phoneticPr fontId="1" type="noConversion"/>
  </si>
  <si>
    <t>O clã {2} [{1}] declarou guerra.\r\n\r\nToque no botão Ver Guerra abaixo para ver os clãs que declararam guerra.\r\n\r\nObrigado.</t>
    <phoneticPr fontId="1" type="noConversion"/>
  </si>
  <si>
    <t>接受門派結盟</t>
    <phoneticPr fontId="1" type="noConversion"/>
  </si>
  <si>
    <t>同意门派结盟</t>
    <phoneticPr fontId="1" type="noConversion"/>
  </si>
  <si>
    <t>ยอมรับเป็นพันธมิตรแคลน</t>
    <phoneticPr fontId="1" type="noConversion"/>
  </si>
  <si>
    <t>Alianza del clan aceptada</t>
    <phoneticPr fontId="1" type="noConversion"/>
  </si>
  <si>
    <t>Aceite de Aliança de Clãs</t>
    <phoneticPr fontId="1" type="noConversion"/>
  </si>
  <si>
    <t>[{1}] {2} 문파에서 동맹을 수락하였습니다.\r\n\r\n동맹 문파와 끈끈한 우정을 쌓아가시길 바랍니다.\r\n\r\n감사합니다.</t>
    <phoneticPr fontId="1" type="noConversion"/>
  </si>
  <si>
    <t>The [{1}] {2} clan has accepted the alliance.\r\n\r\nTry to build a strong friendship with the allied clan.\r\n\r\nThank you.</t>
    <phoneticPr fontId="1" type="noConversion"/>
  </si>
  <si>
    <t>［{1}］{2}門派已接受結盟。\r\n\r\n希望能與結盟門派結下深厚的友誼。\r\n\r\n謝謝。</t>
    <phoneticPr fontId="1" type="noConversion"/>
  </si>
  <si>
    <t>【{1}】{2}门派同意结盟。\r\n\r\n愿双方结盟门派的友谊长存。\r\n\r\n谢谢。</t>
    <phoneticPr fontId="1" type="noConversion"/>
  </si>
  <si>
    <t>[{1}]{2}門派が同盟を承認しました。\r\n\r\n同盟門派と絆を深め、友情を育んでください。\r\n\r\nありがとうございます。</t>
    <phoneticPr fontId="1" type="noConversion"/>
  </si>
  <si>
    <t>แคลน [{1}] {2} ได้รับคำขอเป็นพันธมิตรของคุณแล้ว\r\n\r\nขอให้สร้างมิตรภาพอันแน่นแฟ้นกับแคลนที่เป็นพันธมิตรกับคุณ\r\n\r\nขอบคุณ</t>
    <phoneticPr fontId="1" type="noConversion"/>
  </si>
  <si>
    <t>El clan {2} de [{1}] ha aceptado la alianza.\r\n\r\nEstablece una fuerte amistad con el clan aliado.\r\n\r\nGracias.</t>
    <phoneticPr fontId="1" type="noConversion"/>
  </si>
  <si>
    <t>O clã {2} [{1}] aceitou o pedido de aliança.\r\n\r\nTente construir uma forte amizade com o clã aliado.\r\n\r\nObrigado.</t>
    <phoneticPr fontId="1" type="noConversion"/>
  </si>
  <si>
    <t>[{1}] {2} 문파에서 동맹을 거절하였습니다.\r\n\r\n감사합니다.</t>
    <phoneticPr fontId="1" type="noConversion"/>
  </si>
  <si>
    <t>The [{1}] {2} clan has declined the alliance.\r\n\r\nThank you.</t>
    <phoneticPr fontId="1" type="noConversion"/>
  </si>
  <si>
    <t>［{1}］{2}門派已拒絕結盟。\r\n\r\n謝謝。</t>
    <phoneticPr fontId="1" type="noConversion"/>
  </si>
  <si>
    <t>【{1}】{2}门派拒绝结盟。\r\n\r\n谢谢。</t>
    <phoneticPr fontId="1" type="noConversion"/>
  </si>
  <si>
    <t>[{1}]{2}門派が同盟を拒否しました。\r\n\r\nありがとうございます。</t>
    <phoneticPr fontId="1" type="noConversion"/>
  </si>
  <si>
    <t>แคลน [{1}] {2} ได้ปฏิเสธคำขอเป็นพันธมิตรของคุณแล้ว\r\n\r\nขอบคุณ</t>
    <phoneticPr fontId="1" type="noConversion"/>
  </si>
  <si>
    <t>El clan {2} de [{1}] ha rechazado la alianza.\r\n\r\nGracias.</t>
    <phoneticPr fontId="1" type="noConversion"/>
  </si>
  <si>
    <t>O clã {2} [{1}] rejeitou o pedido de aliança.\r\n\r\nObrigado.</t>
    <phoneticPr fontId="1" type="noConversion"/>
  </si>
  <si>
    <t>Clan War has been declared.</t>
    <phoneticPr fontId="1" type="noConversion"/>
  </si>
  <si>
    <t>門派戦争を宣布しました。</t>
    <phoneticPr fontId="1" type="noConversion"/>
  </si>
  <si>
    <t>ประกาศสงครามแคลนแล้ว</t>
    <phoneticPr fontId="1" type="noConversion"/>
  </si>
  <si>
    <t>Has declarado la guerra de clanes.</t>
    <phoneticPr fontId="1" type="noConversion"/>
  </si>
  <si>
    <t>Foi declarada a guerra de clãs.</t>
    <phoneticPr fontId="1" type="noConversion"/>
  </si>
  <si>
    <t>[{1}] {2} 문파에 전쟁을 선포하였습니다.\r\n\r\n아래의 전쟁확인 버튼을 터치하여 전쟁을 선포한 문파를 확인할 수 있습니다.\r\n\r\n감사합니다.</t>
    <phoneticPr fontId="1" type="noConversion"/>
  </si>
  <si>
    <t>Your clan has declared war against the [{1}] {2} clan.\r\n\r\nTap the View War button below to see the clans that your clan declared war against.\r\n\r\nThank you.</t>
    <phoneticPr fontId="1" type="noConversion"/>
  </si>
  <si>
    <t>已向［{1}］{2}門派宣戰。\r\n\r\n點擊下方的確認戰爭按鍵即可確認宣戰的門派。\r\n\r\n謝謝。</t>
    <phoneticPr fontId="1" type="noConversion"/>
  </si>
  <si>
    <t>已向【{1}】{2}门派宣战。\r\n\r\n点击下方的确认战争按键即可确认宣战的门派。\r\n\r\n谢谢。</t>
    <phoneticPr fontId="1" type="noConversion"/>
  </si>
  <si>
    <t>[{1}]{2}門派に宣戦布告しました。\r\n\r\n以下の「戦争確認」ボタンをタッチすると、宣戦布告した門派を確認できます。\r\n\r\nありがとうございます。</t>
    <phoneticPr fontId="1" type="noConversion"/>
  </si>
  <si>
    <t>ประกาศสงครามกับแคลน [{1}] {2} แล้ว\r\n\r\nแตะที่ปุ่มดูสงครามด้านล่าง เพื่อดูแคลนที่ประกาศสงคราม\r\n\r\nขอบคุณ</t>
    <phoneticPr fontId="1" type="noConversion"/>
  </si>
  <si>
    <t>Le has declarado la guerra al clan {2} de [{1}].\r\n\r\nPulsa el botón Ver guerra debajo para ver a los clanes que has declarado guerra.\r\n\r\nGracias.</t>
    <phoneticPr fontId="1" type="noConversion"/>
  </si>
  <si>
    <t>Foi declarada guerra contra o clã {2} [{1}].\r\n\r\nToque no botão Ver Guerra abaixo para ver os clãs que declararam guerra.\r\n\r\nObrigado.</t>
    <phoneticPr fontId="1" type="noConversion"/>
  </si>
  <si>
    <t>[{1}] {2} 문파에서 응전을 선포하였습니다.\r\n\r\n아래의 전쟁확인 버튼을 터치하여 응전을 선포한 문파를 확인할 수 있습니다.\r\n\r\n감사합니다.</t>
    <phoneticPr fontId="1" type="noConversion"/>
  </si>
  <si>
    <t>The [{1}] {2} clan has declared retaliation.\r\n\r\nTap the View War button below to see the clans that have declared retaliation.\r\n\r\nThank you.</t>
    <phoneticPr fontId="1" type="noConversion"/>
  </si>
  <si>
    <t>［{1}］{2}門派已宣布應戰。\r\n\r\n點擊下方的確認戰爭按鍵即可確認宣布應戰的門派。\r\n\r\n謝謝。</t>
    <phoneticPr fontId="1" type="noConversion"/>
  </si>
  <si>
    <t>【{1}】{2}门派已宣布应战。\r\n\r\n点击下方的确认战争按键即可确认应战的门派。\r\n\r\n谢谢。</t>
    <phoneticPr fontId="1" type="noConversion"/>
  </si>
  <si>
    <t>[{1}]{2}門派が応戦を宣布しました。\r\n\r\n以下の「戦争確認」ボタンをタッチすると、応戦を宣布した門派を確認できます。\r\n\r\nありがとうございます。</t>
    <phoneticPr fontId="1" type="noConversion"/>
  </si>
  <si>
    <t>แคลน [{1}] {2} เปิดศึกตอบโต้กลับแล้ว\r\n\r\nแตะที่ปุ่มดูสงครามด้านล่าง เพื่อดูแคลนที่ประกาศเปิดศึกตอบโต้กลับ\r\n\r\nขอบคุณ</t>
    <phoneticPr fontId="1" type="noConversion"/>
  </si>
  <si>
    <t>El clan {2} de [{1}] ha declarado venganza.\r\n\r\nPulsa el botón Ver guerra debajo para ver los clanes que han declarado venganza.\r\n\r\nGracias.</t>
    <phoneticPr fontId="1" type="noConversion"/>
  </si>
  <si>
    <t>O clã {2} [{1}] declarou retaliação.\r\n\r\nToque no botão Ver Guerra abaixo para ver os clãs que declararam retaliação.\r\n\r\nObrigado.</t>
    <phoneticPr fontId="1" type="noConversion"/>
  </si>
  <si>
    <t>Aviso de guerra de clanes</t>
    <phoneticPr fontId="1" type="noConversion"/>
  </si>
  <si>
    <t>{1} {2} 문파에 응전을 선포하였습니다.\r\n\r\n아래의 전쟁확인 버튼을 터치하여 응전을 선포한 문파를 확인할 수 있습니다.\r\n\r\n감사합니다.</t>
    <phoneticPr fontId="1" type="noConversion"/>
  </si>
  <si>
    <t>{1} 문파를 공격제외 문파에 등록하였습니다.\r\n\r\n아래의 문파정보확인 버튼을 터치하여 확인할 수 있습니다.\r\n\r\n감사합니다.</t>
    <phoneticPr fontId="1" type="noConversion"/>
  </si>
  <si>
    <t>The {1} clan has been registered as an unattackable clan.\r\n\r\nTap the View Clan Info button below to confirm.\r\n\r\nThank you.</t>
    <phoneticPr fontId="1" type="noConversion"/>
  </si>
  <si>
    <t>已將{1}門派登錄於排除攻擊門派。\r\n\r\n點擊下方的確認門派資訊按鍵即可進行確認。\r\n\r\n謝謝。</t>
    <phoneticPr fontId="1" type="noConversion"/>
  </si>
  <si>
    <t>{1}門派を攻撃除外門派に登録しました\r\n\r\n以下の「門派情報確認」ボタンをタッチして確認できます\r\n\r\nありがとうございます。</t>
    <phoneticPr fontId="1" type="noConversion"/>
  </si>
  <si>
    <t>ลงทะเบียนแคลน {1} เป็นแคลนที่ไม่ร่วมการโจมตีแล้ว\r\n\r\nแตะที่ปุ่มดูข้อมูลแคลนด้านล่าง เพื่อตรวจสอบข้อมูลได้\r\n\r\nขอบคุณ</t>
    <phoneticPr fontId="1" type="noConversion"/>
  </si>
  <si>
    <t>Se ha registrado a {1} como clan excluido de ataques.\r\n\r\nToca el botón inferior Ver clanes para ver la información de los clanes.\r\n\r\nGracias.</t>
    <phoneticPr fontId="1" type="noConversion"/>
  </si>
  <si>
    <t>O clã {1} foi registrado como inatacável.\r\n\r\nToque no botão de Informações do Clã abaixo para verificar.\r\n\r\nObrigado.</t>
    <phoneticPr fontId="1" type="noConversion"/>
  </si>
  <si>
    <t>{1} 문파에서 공격제외 문파에 등록하였습니다.\r\n\r\n아래의 문파정보확인 버튼을 터치하여 공격제외문파로 등록할 수 있습니다.\r\n\r\n감사합니다.</t>
    <phoneticPr fontId="1" type="noConversion"/>
  </si>
  <si>
    <t>The {1} clan has registered your clan as an unattackable clan.\r\n\r\nYou can tap the View Clan Info button below to register the clan as an unattackable clan.\r\n\r\nThank you.</t>
    <phoneticPr fontId="1" type="noConversion"/>
  </si>
  <si>
    <t>已被{1}門派登錄於排除攻擊門派。\r\n\r\n點擊下方的確認門派資訊按鍵即可登錄為排除攻擊門派。\r\n\r\n謝謝。</t>
    <phoneticPr fontId="1" type="noConversion"/>
  </si>
  <si>
    <t>{1}門派から攻撃除外門派に登録されました\r\n\r\n以下の「門派情報確認」ボタンをタッチすると、攻撃除外門派に登録できます\r\n\r\nありがとうございます。</t>
    <phoneticPr fontId="1" type="noConversion"/>
  </si>
  <si>
    <t>ลงทะเบียนเป็นแคลนที่ไม่ร่วมการโจมตีกับแคลน {1} แล้ว\r\n\r\nแตะที่ปุ่มดูข้อมูลแคลนด้านล่าง เพื่อลงทะเบียนเป็นแคลนที่ไม่ร่วมการโจมตี\r\n\r\nขอบคุณ</t>
    <phoneticPr fontId="1" type="noConversion"/>
  </si>
  <si>
    <t>Has registrado al clan {1} como clan excluido de ataques.\r\n\r\nToca el botón inferior Ver clanes para registrar este clan en tu lista de clanes excluidos del ataque.\r\n\r\nGracias.</t>
    <phoneticPr fontId="1" type="noConversion"/>
  </si>
  <si>
    <t>Seu clã foi registrado como inatacável pelo clã {1}.\r\n\r\nToque no botão de Informações do clã abaixo para registrar como inatacável.\r\n\r\nObrigado.</t>
    <phoneticPr fontId="1" type="noConversion"/>
  </si>
  <si>
    <t>[{1}] {2} 문파에서 공격제외 문파에 등록하였습니다.\r\n\r\n아래의 문파정보확인 버튼을 터치하여 공격제외문파로 등록할 수 있습니다.\r\n\r\n감사합니다.</t>
    <phoneticPr fontId="1" type="noConversion"/>
  </si>
  <si>
    <t>The [{1}] {2} clan registered your clan as an unattackable clan.\r\n\r\nYou can tap the View Clan Info button below to register the clan as an unattackable clan.\r\n\r\nThank you.</t>
    <phoneticPr fontId="1" type="noConversion"/>
  </si>
  <si>
    <t>已被［{1}］{2}門派登錄於排除攻擊門派。\r\n\r\n點擊下方的確認門派資訊按鍵即可登錄為排除攻擊門派。\r\n\r\n謝謝。</t>
    <phoneticPr fontId="1" type="noConversion"/>
  </si>
  <si>
    <t>[{1}]{2}門派から攻撃除外門派に登録されました\r\n\r\n以下の「門派情報確認」ボタンをタッチすると、攻撃除外門派に登録できます\r\n\r\nありがとうございます。</t>
    <phoneticPr fontId="1" type="noConversion"/>
  </si>
  <si>
    <t>ลงทะเบียนเป็นแคลนที่ไม่ร่วมการโจมตีกับแคลน [{1}] {2} แล้ว\r\n\r\nแตะที่ปุ่มดูข้อมูลแคลนด้านล่าง เพื่อลงทะเบียนเป็นแคลนที่ไม่ร่วมการโจมตี\r\n\r\nขอบคุณ</t>
    <phoneticPr fontId="1" type="noConversion"/>
  </si>
  <si>
    <t>Has registrado al clan {2} de [{1}] como clan excluido de ataques.\r\n\r\nToca el botón inferior Ver clanes para registrar este clan en tu lista de clanes excluidos del ataque.\r\n\r\nGracias.</t>
    <phoneticPr fontId="1" type="noConversion"/>
  </si>
  <si>
    <t>Seu clã foi registrado como inatacável pelo clã {2} [{1}].\r\n\r\nToque no botão de Informações do clã abaixo para registrar como inatacável.\r\n\r\nObrigado.</t>
    <phoneticPr fontId="1" type="noConversion"/>
  </si>
  <si>
    <t>공격제외문파 등록이 해제되었습니다.</t>
    <phoneticPr fontId="1" type="noConversion"/>
  </si>
  <si>
    <t>The clan was removed from your clan's list of unattackable clans.</t>
    <phoneticPr fontId="1" type="noConversion"/>
  </si>
  <si>
    <t>已解除排除攻擊門派的登錄。</t>
    <phoneticPr fontId="1" type="noConversion"/>
  </si>
  <si>
    <t>攻撃除外門派登録が解除されました。</t>
    <phoneticPr fontId="1" type="noConversion"/>
  </si>
  <si>
    <t>แคลนของคุณได้ยกเลิกการลงทะเบียนแคลนที่ไม่ร่วมการโจมตีแล้ว</t>
    <phoneticPr fontId="1" type="noConversion"/>
  </si>
  <si>
    <t>Clan removido de la exclusión de ataques.</t>
    <phoneticPr fontId="1" type="noConversion"/>
  </si>
  <si>
    <t>O clã deixou de ser inatacável.</t>
    <phoneticPr fontId="1" type="noConversion"/>
  </si>
  <si>
    <t>{1} 문파를 공격제외 문파 등록을 해제 하였습니다.\r\n\r\n아래의 문파정보확인 버튼을 터치하여 확인할 수 있습니다.\r\n\r\n감사합니다.</t>
    <phoneticPr fontId="1" type="noConversion"/>
  </si>
  <si>
    <t>The {1} clan was removed from your clan's list of unattackable clans.\r\n\r\nTap the View Clan Info button below to confirm.\r\n\r\nThank you.</t>
    <phoneticPr fontId="1" type="noConversion"/>
  </si>
  <si>
    <t>已將{1}門派從排除攻擊門派中的解除登錄。\r\n\r\n點擊下方的確認門派資訊按鍵即可進行確認。\r\n\r\n謝謝。</t>
    <phoneticPr fontId="1" type="noConversion"/>
  </si>
  <si>
    <t>{1}門派の攻撃除外門派登録を解除しました\r\n\r\n以下の「門派情報確認」ボタンをタッチして確認できます\r\n\r\nありがとうございます。</t>
    <phoneticPr fontId="1" type="noConversion"/>
  </si>
  <si>
    <t>แคลน {1} ยกเลิกการลงทะเบียนเป็นแคลนที่ไม่ร่วมการโจมตีแล้ว\r\n\r\nแตะที่ปุ่มดูข้อมูลแคลนด้านล่าง เพื่อตรวจสอบข้อมูลได้\r\n\r\nขอบคุณ</t>
    <phoneticPr fontId="1" type="noConversion"/>
  </si>
  <si>
    <t>Has removido al clan {1} de la exclusión de ataques.\r\n\r\nToca el botón inferior Ver clanes para ver la información de los clanes.\r\n\r\nGracias.</t>
    <phoneticPr fontId="1" type="noConversion"/>
  </si>
  <si>
    <t>O clã {1} deixou de ser inatacável.\r\n\r\nToque no botão de Informações do Clã abaixo para verificar.\r\n\r\nObrigado.</t>
    <phoneticPr fontId="1" type="noConversion"/>
  </si>
  <si>
    <t>The {1} clan removed your clan from the list of unattackable clans.\r\n\r\nTap the View Clan Info button below to remove the clan from your clan's list of unattackable clans.\r\n\r\nThank you.</t>
    <phoneticPr fontId="1" type="noConversion"/>
  </si>
  <si>
    <t>{1}門派已解除排除攻擊門派的登錄。\r\n\r\n點擊下方的確認門派資訊按鍵即可解除登錄為排除攻擊門派。\r\n\r\n謝謝。</t>
    <phoneticPr fontId="1" type="noConversion"/>
  </si>
  <si>
    <t>{1}門派が攻撃除外門派登録を解除しました\r\n\r\n以下の「門派情報確認」ボタンをタッチすると、攻撃除外門派登録を解除できます\r\n\r\nありがとうございます。</t>
    <phoneticPr fontId="1" type="noConversion"/>
  </si>
  <si>
    <t>ยกเลิกการลงทะเบียนเป็นแคลนที่ไม่ร่วมการโจมตีกับแคลน {1} แล้ว\r\n\r\nแตะที่ปุ่มดูข้อมูลแคลนด้านล่าง เพื่อยกเลิกการลงทะเบียนเป็นแคลนที่ไม่ร่วมการโจมตี\r\n\r\nขอบคุณ</t>
    <phoneticPr fontId="1" type="noConversion"/>
  </si>
  <si>
    <t>Se ha removido de la exclusión de ataques por el clan {1}.\r\n\r\nToca el botón inferior Ver clanes para remover este clan de la exclusión de ataques.\r\n\r\nGracias.</t>
    <phoneticPr fontId="1" type="noConversion"/>
  </si>
  <si>
    <t>Seu clã deixou de ser inatacável pelo clã {1}.\r\n\r\nToque no botão de Informações do clã abaixo para anular o registro como inatacável.\r\n\r\nObrigado.</t>
    <phoneticPr fontId="1" type="noConversion"/>
  </si>
  <si>
    <t>The [{1}] {2} clan removed your clan from the clan's list of unattackable clans.\r\n\r\nTap the View Clan Info button below to remove the clan from your clan's list of unattackable clans.\r\n\r\nThank you.</t>
    <phoneticPr fontId="1" type="noConversion"/>
  </si>
  <si>
    <t>［{1}］{2}門派已解除排除攻擊門派的登錄。\r\n\r\n點擊下方的確認門派資訊按鍵即可解除登錄為排除攻擊門派。\r\n\r\n謝謝。</t>
    <phoneticPr fontId="1" type="noConversion"/>
  </si>
  <si>
    <t>[{1}]{2}門派が攻撃除外門派登録を解除しました\r\n\r\n以下の「門派情報確認」ボタンをタッチすると、攻撃除外門派登録を解除できます\r\n\r\nありがとうございます。</t>
    <phoneticPr fontId="1" type="noConversion"/>
  </si>
  <si>
    <t>ยกเลิกการลงทะเบียนแคลนที่ไม่ร่วมการโจมตีกับแคลน [{1}] {2} แล้ว\r\n\r\nแตะที่ปุ่มดูข้อมูลแคลนด้านล่าง เพื่อยกเลิกการลงทะเบียนเป็นแคลนที่ไม่ร่วมการโจมตี\r\n\r\nขอบคุณ</t>
    <phoneticPr fontId="1" type="noConversion"/>
  </si>
  <si>
    <t>Se ha removido de la exclusión de ataques por el clan {2} de [{1}].\r\n\r\nToca el botón inferior Ver clanes para remover este clan de la exclusión de ataques.\r\n\r\nGracias.</t>
    <phoneticPr fontId="1" type="noConversion"/>
  </si>
  <si>
    <t>Seu clã deixou de ser inatacável pelo clã {2} [{1}].\r\n\r\nToque no botão de Informações do clã abaixo para anular o registro como inatacável.\r\n\r\nObrigado.</t>
    <phoneticPr fontId="1" type="noConversion"/>
  </si>
  <si>
    <t>The war with the [{1}] {2} clan has ended.\r\n&lt;span color="#FF3333"&gt;My Clan's Deaths:&lt;/&gt;\r\n{3}\r\n&lt;span color="#92CDFF"&gt;Enemy Clan's Deaths:&lt;/&gt;\r\n{4}\r\nThank you.</t>
    <phoneticPr fontId="1" type="noConversion"/>
  </si>
  <si>
    <t>與［{1}］{2}門派的戰爭已結束。\r\n&lt;span color="#92CDFF"&gt;被擊敗的我的門派成員數量：&lt;/&gt;\r\nTotal {3} Kills\r\n&lt;span color="#FF3333"&gt;擊敗的敵人門派成員數量：&lt;/&gt;\r\nTotal {4} Kills\r\n謝謝。</t>
    <phoneticPr fontId="1" type="noConversion"/>
  </si>
  <si>
    <t>与【{1}】{2}门派之间的战争已结束。\r\n&lt;span color="#FF3333"&gt;我方门派被击败的成员数量：&lt;/&gt;\r\n总共击杀{3}\r\n&lt;span color="#92CDFF"&gt;敌方门派被击败的成员数量：&lt;/&gt;\r\n总共击杀{4}\r\n谢谢。</t>
    <phoneticPr fontId="1" type="noConversion"/>
  </si>
  <si>
    <t>[{1}]{2}門派との戦争が終了しました。\r\n&lt;span color="#FF3333"&gt;退治された自分の門派員数：&lt;/&gt;\r\nTotal {3} Kills\r\n&lt;span color="#92CDFF"&gt;退治した敵の門派員数：&lt;/&gt;\r\nTotal {4} Kills\r\nありがとうございます。</t>
    <phoneticPr fontId="1" type="noConversion"/>
  </si>
  <si>
    <t>La guerra con el clan {2} de [{1}] ha concluido.\r\n&lt;span color="#FF3333"&gt;Miembros de mi clan eliminados:&lt;/&gt;\r\n{3}\r\n&lt;span color="#92CDFF"&gt;Miembros del clan enemigo eliminados:&lt;/&gt;\r\n{4}\r\nGracias.</t>
    <phoneticPr fontId="1" type="noConversion"/>
  </si>
  <si>
    <t>A guerra com o Clã {2} [{1}] terminou.\r\n&lt;span color="#FF3333"&gt;Mortes sofridas por meu clã:&lt;/&gt;\r\nTotal de {3} morte(s)\r\n&lt;span color="#92CDFF"&gt;Abates realizados no clã inimigo:&lt;/&gt;\r\nTotal de {4} abate(s)\r\nObrigado.</t>
    <phoneticPr fontId="1" type="noConversion"/>
  </si>
  <si>
    <t>The war with the {1} clan has ended.\r\n&lt;span color="#FF3333"&gt;My Clan's Deaths:&lt;/&gt;\r\n{2}\r\n&lt;span color="#92CDFF"&gt;Enemy Clan's Deaths:&lt;/&gt;\r\n{3}\r\nThank you.</t>
    <phoneticPr fontId="1" type="noConversion"/>
  </si>
  <si>
    <t>與{1}門派的戰爭已結束。\r\n&lt;span color="#92CDFF"&gt;被擊敗的我的門派成員數量：&lt;/&gt;\r\nTotal {2} Kills\r\n&lt;span color="#FF3333"&gt;擊敗的敵人門派成員數量：&lt;/&gt;\r\nTotal {3} Kills\r\n謝謝。</t>
    <phoneticPr fontId="1" type="noConversion"/>
  </si>
  <si>
    <t>与【{1}】门派之间的战争已结束。\r\n&lt;span color="#FF3333"&gt;我方门派被击败的成员数量：&lt;/&gt;\r\n总共击杀{2}\r\n&lt;span color="#92CDFF"&gt;敌方门派被击败的成员数量：&lt;/&gt;\r\n总共击杀{3}\r\n谢谢。</t>
    <phoneticPr fontId="1" type="noConversion"/>
  </si>
  <si>
    <t>{1}門派との戦争が終了しました。\r\n&lt;span color="#FF3333"&gt;退治された自分の門派員数：&lt;/&gt;\r\nTotal {2} Kills\r\n&lt;span color="#92CDFF"&gt;退治した敵の門派員数：&lt;/&gt;\r\nTotal {3} Kills\r\nありがとうございます。</t>
    <phoneticPr fontId="1" type="noConversion"/>
  </si>
  <si>
    <t>La guerra con el clan {1} ha concluido.\r\n&lt;span color="#FF3333"&gt;Miembros de mi clan eliminados:&lt;/&gt;\r\n{2}\r\n&lt;span color="#92CDFF"&gt;Miembros del clan enemigo eliminados:&lt;/&gt;\r\n{3}\r\nGracias.</t>
    <phoneticPr fontId="1" type="noConversion"/>
  </si>
  <si>
    <t>A guerra com o Clã {1} terminou.\r\n&lt;span color="#FF3333"&gt;Mortes sofridas por meu clã:&lt;/&gt;\r\nTotal de {2} morte(s)\r\n&lt;span color="#92CDFF"&gt;Abates realizados no clã inimigo:&lt;/&gt;\r\nTotal de {3} abate(s)\r\nObrigado.</t>
    <phoneticPr fontId="1" type="noConversion"/>
  </si>
  <si>
    <t>门派挑战成功，特此发放以下奖励。\r\n\r\n背包空间不足，奖励将通过信件发送。\r\n\r\n谢谢。</t>
    <phoneticPr fontId="1" type="noConversion"/>
  </si>
  <si>
    <t>Registered as Bounty Hunt Target</t>
    <phoneticPr fontId="1" type="noConversion"/>
  </si>
  <si>
    <t>Registrado como más buscado</t>
    <phoneticPr fontId="1" type="noConversion"/>
  </si>
  <si>
    <t>Bounty Hunt Expired</t>
    <phoneticPr fontId="1" type="noConversion"/>
  </si>
  <si>
    <t>The Bounty Hunt time has expired.</t>
    <phoneticPr fontId="1" type="noConversion"/>
  </si>
  <si>
    <t>You have been registered as a Bounty Hunt Target.\r\n\r\nWatch out for the enemies around you.</t>
    <phoneticPr fontId="1" type="noConversion"/>
  </si>
  <si>
    <t>The Bounty Hunt time has expired and {1} is no longer\r\n\r\na Bounty Target.</t>
    <phoneticPr fontId="1" type="noConversion"/>
  </si>
  <si>
    <t>Clan Kill Notification</t>
    <phoneticPr fontId="1" type="noConversion"/>
  </si>
  <si>
    <t>門派刺殺通知</t>
    <phoneticPr fontId="1" type="noConversion"/>
  </si>
  <si>
    <t>门派刺杀提示</t>
    <phoneticPr fontId="1" type="noConversion"/>
  </si>
  <si>
    <t>การแจ้งเตือนการลอบฆ่าของแคลน</t>
    <phoneticPr fontId="1" type="noConversion"/>
  </si>
  <si>
    <t>Notificación de asesinato de clan</t>
    <phoneticPr fontId="1" type="noConversion"/>
  </si>
  <si>
    <t>Notificação de abate de clã</t>
    <phoneticPr fontId="1" type="noConversion"/>
  </si>
  <si>
    <t>You have been registered as a kill target.</t>
    <phoneticPr fontId="1" type="noConversion"/>
  </si>
  <si>
    <t>已添加刺杀目标。</t>
    <phoneticPr fontId="1" type="noConversion"/>
  </si>
  <si>
    <t>刺殺対象に登録しました</t>
    <phoneticPr fontId="1" type="noConversion"/>
  </si>
  <si>
    <t>คุณถูกลงทะเบียนเป็นเป้าหมายลอบฆ่า</t>
    <phoneticPr fontId="1" type="noConversion"/>
  </si>
  <si>
    <t>Se te ha registrado como objetivo de asesinato.</t>
    <phoneticPr fontId="1" type="noConversion"/>
  </si>
  <si>
    <t>The {1} clan has registered you as a kill target.\r\n\r\nWatch out for the enemies around you.</t>
    <phoneticPr fontId="1" type="noConversion"/>
  </si>
  <si>
    <t>已被门派{1}添加为刺杀目标。\r\n\r\n请小心周围的敌人。</t>
    <phoneticPr fontId="1" type="noConversion"/>
  </si>
  <si>
    <t>{1}門派の刺殺対象に登録されました\r\n\r\n周りの敵に用心してください</t>
    <phoneticPr fontId="1" type="noConversion"/>
  </si>
  <si>
    <t>แคลน {1} ได้ลงทะเบียนคุณเป็นเป้าหมายลอบฆ่า\r\n\r\nโปรดระวังศัตรูรอบตัวคุณให้ดี</t>
    <phoneticPr fontId="1" type="noConversion"/>
  </si>
  <si>
    <t>El clan {1} te ha registrado como objetivo de asesinato.\r\n\r\nTen cuidado con los enemigos a tu alrededor.</t>
    <phoneticPr fontId="1" type="noConversion"/>
  </si>
  <si>
    <t>門派同盟要請を承認しました</t>
    <phoneticPr fontId="1" type="noConversion"/>
  </si>
  <si>
    <t>คำขอพันธมิตรของแคลนได้รับการยอมรับแล้ว</t>
    <phoneticPr fontId="1" type="noConversion"/>
  </si>
  <si>
    <t>La solicitud de alianza de clan se ha aceptado.</t>
    <phoneticPr fontId="1" type="noConversion"/>
  </si>
  <si>
    <t>O pedido de aliança de clã foi aceite.</t>
    <phoneticPr fontId="1" type="noConversion"/>
  </si>
  <si>
    <t>The {1} clan has accepted the alliance.\r\n\r\nTry to build a strong friendship with the allied clan.\r\n\r\nThank you.</t>
    <phoneticPr fontId="1" type="noConversion"/>
  </si>
  <si>
    <t>{1}门派同意结盟。\r\n\r\n愿双方结盟门派的友谊长存。\r\n\r\n谢谢。</t>
    <phoneticPr fontId="1" type="noConversion"/>
  </si>
  <si>
    <t>{1}門派が同盟を承認しました\r\n\r\n同盟門派と絆を深め、友情を育んでください</t>
    <phoneticPr fontId="1" type="noConversion"/>
  </si>
  <si>
    <t xml:space="preserve"> {1} แคลนได้ยอมรับพันธมิตรแล้ว\r\n\r\nพยายามสร้างมิตรภาพอันแน่นแฟ้นกับแคลนที่เป็นพันธมิตร\r\n\r\nขอขอบคุณ</t>
    <phoneticPr fontId="1" type="noConversion"/>
  </si>
  <si>
    <t>El clan {1} ha aceptado la alianza.\r\n\r\nTrata de crear una fuerte amistad con el clan aliado.\r\n\r\nGracias.</t>
    <phoneticPr fontId="1" type="noConversion"/>
  </si>
  <si>
    <t>O clã {1} aceitou a aliança.\r\n\r\nTente construir uma forte amizade com o clã aliado.\r\n\r\nObrigado.</t>
    <phoneticPr fontId="1" type="noConversion"/>
  </si>
  <si>
    <t>拒绝门派结盟</t>
    <phoneticPr fontId="1" type="noConversion"/>
  </si>
  <si>
    <t>Cerco do Castelo</t>
    <phoneticPr fontId="1" type="noConversion"/>
  </si>
  <si>
    <t>Break Alliance</t>
    <phoneticPr fontId="1" type="noConversion"/>
  </si>
  <si>
    <t>解除盟約</t>
    <phoneticPr fontId="1" type="noConversion"/>
  </si>
  <si>
    <t>解除同盟</t>
    <phoneticPr fontId="1" type="noConversion"/>
  </si>
  <si>
    <t>同盟解除</t>
    <phoneticPr fontId="1" type="noConversion"/>
  </si>
  <si>
    <t>ตัดขาดพันธมิตร</t>
    <phoneticPr fontId="1" type="noConversion"/>
  </si>
  <si>
    <t>Romper alianza</t>
    <phoneticPr fontId="1" type="noConversion"/>
  </si>
  <si>
    <t>Desfazer Aliança</t>
    <phoneticPr fontId="1" type="noConversion"/>
  </si>
  <si>
    <t>恭喜！\r\n{1}於攻城戰中獲勝。\r\n在本次攻城戰中所獲得的個人總分為{2}分，\r\n達成排位第{3}位。\r\n\r\n若在下一次沙巴克爭霸第1回合戰爭開始前持有國王門派的資格，將可獲得沙巴克爭霸參與權。</t>
    <phoneticPr fontId="1" type="noConversion"/>
  </si>
  <si>
    <t>¡Felicidades!\r\nHas obtenido la victoria en el asedio al castillo de {1}.\r\nLos puntos totales obtenidos en este asedio son {2} puntos.\r\nHas alcanzado el {3}.° puesto en la clasificación.\r\n\r\nObtendrás el derecho a participar en la Colisión de Sabuk si mantienes los requisitos de clan gobernante hasta el inicio de la ronda 1 de la siguiente Colisión de Sabuk.</t>
    <phoneticPr fontId="1" type="noConversion"/>
  </si>
  <si>
    <t>在{1}攻城戰中失敗。\r\n本輪攻城戰獲得的個人總分為{2}分，\r\n排位達成第{3}名。</t>
    <phoneticPr fontId="1" type="noConversion"/>
  </si>
  <si>
    <t>恭喜！\r\n所屬門派於{1}攻城戰中獲勝。\r\n獲得［{2}］領地和［{3}］的門派資金獎勵。\r\n現在起可使用提取稅金、發放獎賞等領地相關特惠。</t>
    <phoneticPr fontId="1" type="noConversion"/>
  </si>
  <si>
    <t>ขอแสดงความยินดี!\r\nแคลนของคุณได้ชัยชนะในสงครามยึดปราสาท{1}\r\nคุณได้รับ [{2}] เขตแดนและ [{3}] เงินทุนของแคลนแล้ว\r\nผลประโยชน์ของเขตแดน เช่น ถอนภาษีและมอบบำเหน็จ พร้อมให้ใช้แล้วในตอนนี้</t>
    <phoneticPr fontId="1" type="noConversion"/>
  </si>
  <si>
    <t>¡Enhorabuena!\r\nTu clan ha ganado el asedio al castillo {1}.\r\nEl clan ha obtenido el territorio de [{2}] y [{3}] fondos de clan.\r\nAhora dispones de beneficios de territorio, como retirar tributos y dar premios.</t>
    <phoneticPr fontId="1" type="noConversion"/>
  </si>
  <si>
    <t>Congratulations!\r\nYour clan was victorious in the {1} Castle Siege and obtained the {2} territory.\r\nTerritory benefits such as withdrawing taxes, granting titles, giving prizes, issuing mandates, and declaring Wanted List are now available.</t>
    <phoneticPr fontId="1" type="noConversion"/>
  </si>
  <si>
    <t>ขอแสดงความยินดี!\r\nแคลนของคุณได้รับชัยชนะในสงครามยึดปราสาท {1}และได้รับ {2} เขตแดน\r\nผลประโยชน์ของเขตแดน เช่น ถอนภาษี แต่งตั้งยศ มอบบำเหน็จ ออกกฤษฎีกา ล่าค่าหัว และเงินรางวัลได้ พร้อมให้ใช้แล้วในตอนนี้</t>
    <phoneticPr fontId="1" type="noConversion"/>
  </si>
  <si>
    <t>¡Enhorabuena!\r\nTu clan ha ganado el asedio al castillo {1} y consiguió el territorio de {2}.\r\nAhora dispones de beneficios de territorio, como retirar tributos, asignar títulos, dar premios, declarar mandatos y listas de buscados.</t>
    <phoneticPr fontId="1" type="noConversion"/>
  </si>
  <si>
    <t>Parabéns!\r\nO seu clã foi vitorioso no Cerco do Castelo {1} e ganhou o território {2}.\r\nAgora você pode aproveitar os benefícios por ocupar o território, como retirar fundos de impostos, atribuir designações, conceder prêmios, emitir mandatos, definir a lista de procurados entre outros.</t>
    <phoneticPr fontId="1" type="noConversion"/>
  </si>
  <si>
    <t>［任務］完成報告</t>
    <phoneticPr fontId="1" type="noConversion"/>
  </si>
  <si>
    <t>You have completed the [{1}] {2} mission.</t>
    <phoneticPr fontId="1" type="noConversion"/>
  </si>
  <si>
    <t>［{1}］{2}任務完成。</t>
    <phoneticPr fontId="1" type="noConversion"/>
  </si>
  <si>
    <t>【{1}】{2}任务完成。</t>
    <phoneticPr fontId="1" type="noConversion"/>
  </si>
  <si>
    <t>[{1}]{2}任務を完了しました</t>
    <phoneticPr fontId="1" type="noConversion"/>
  </si>
  <si>
    <t>คุณสำเร็จภารกิจ [{1}] {2} แล้ว</t>
    <phoneticPr fontId="1" type="noConversion"/>
  </si>
  <si>
    <t>Has completado la misión {2} [{1}].</t>
    <phoneticPr fontId="1" type="noConversion"/>
  </si>
  <si>
    <t>Concluiu a missão [{1}] {2}.</t>
    <phoneticPr fontId="1" type="noConversion"/>
  </si>
  <si>
    <t>[Request] Completion Report</t>
    <phoneticPr fontId="1" type="noConversion"/>
  </si>
  <si>
    <t>報告［委託］完成</t>
    <phoneticPr fontId="1" type="noConversion"/>
  </si>
  <si>
    <t>【委托】完成报告</t>
    <phoneticPr fontId="1" type="noConversion"/>
  </si>
  <si>
    <t>[依頼]完了報告</t>
    <phoneticPr fontId="1" type="noConversion"/>
  </si>
  <si>
    <t>[คำขอ] รายงานความสำเร็จ</t>
    <phoneticPr fontId="1" type="noConversion"/>
  </si>
  <si>
    <t>[Petición] Informe de finalización</t>
    <phoneticPr fontId="1" type="noConversion"/>
  </si>
  <si>
    <t>Relatório de conclusão de [Pedido]</t>
    <phoneticPr fontId="1" type="noConversion"/>
  </si>
  <si>
    <t>[Request] You have completed the {1} request.</t>
    <phoneticPr fontId="1" type="noConversion"/>
  </si>
  <si>
    <t>［委託］{1}委託完成。</t>
    <phoneticPr fontId="1" type="noConversion"/>
  </si>
  <si>
    <t>【委托】已完成{1}委托。</t>
    <phoneticPr fontId="1" type="noConversion"/>
  </si>
  <si>
    <t>[依頼]{1}依頼を完了しました</t>
    <phoneticPr fontId="1" type="noConversion"/>
  </si>
  <si>
    <t>คุณสำเร็จคำขอ [คำขอ] {1} แล้ว</t>
    <phoneticPr fontId="1" type="noConversion"/>
  </si>
  <si>
    <t>Has completado la petición {1} [Petición].</t>
    <phoneticPr fontId="1" type="noConversion"/>
  </si>
  <si>
    <t>Concluiu o pedido [Pedido] {1}.</t>
    <phoneticPr fontId="1" type="noConversion"/>
  </si>
  <si>
    <t>You have lost the battle against Lv. {2} {3} at {1}.\r\nInvesting in Constitution, Inner Force, Enhancement, and Crafting can help you become stronger.</t>
    <phoneticPr fontId="1" type="noConversion"/>
  </si>
  <si>
    <t>在{1}與等級{2}{3}怪物的戰鬥中失敗。\r\n透過體質、內功、強化、製造等能夠變得更強。</t>
    <phoneticPr fontId="1" type="noConversion"/>
  </si>
  <si>
    <t>在{1}与{2}级{3}怪物的战斗中失败。\r\n通过体质、内功、强化、制造等能够变得更强。</t>
    <phoneticPr fontId="1" type="noConversion"/>
  </si>
  <si>
    <t>{1}でLv.{2}{3}モンスターとの戦闘で敗北しました\r\n体質、内功、強化、製作などでさらに強くなれます</t>
    <phoneticPr fontId="1" type="noConversion"/>
  </si>
  <si>
    <t>คุณพ่ายแพ้การต่อสู้กับมอนสเตอร์{3} Lv. {2} ที่ {1}\r\nคุณสามารถแข็งแกร่งขึ้นได้จากการอัปเกรดสภาวะร่างกาย, พลังชี่, การเสริมพลัง และการสร้าง</t>
    <phoneticPr fontId="1" type="noConversion"/>
  </si>
  <si>
    <t>Você foi derrotado contra {3} de Nv. {2} em {1}.\r\nTorne-se mais forte através de Constituição, Chi, Aprimoramento, Criação entre outros.</t>
    <phoneticPr fontId="1" type="noConversion"/>
  </si>
  <si>
    <t>토벌 성공</t>
    <phoneticPr fontId="1" type="noConversion"/>
  </si>
  <si>
    <t>Raid Successful</t>
    <phoneticPr fontId="1" type="noConversion"/>
  </si>
  <si>
    <t>討伐成功</t>
    <phoneticPr fontId="1" type="noConversion"/>
  </si>
  <si>
    <t>讨伐成功</t>
    <phoneticPr fontId="1" type="noConversion"/>
  </si>
  <si>
    <t>เรดสำเร็จ</t>
    <phoneticPr fontId="1" type="noConversion"/>
  </si>
  <si>
    <t>Asalto completado</t>
    <phoneticPr fontId="1" type="noConversion"/>
  </si>
  <si>
    <t>Raide com sucesso</t>
    <phoneticPr fontId="1" type="noConversion"/>
  </si>
  <si>
    <t>토벌에 성공하였습니다.</t>
    <phoneticPr fontId="1" type="noConversion"/>
  </si>
  <si>
    <t>Raid successful.</t>
    <phoneticPr fontId="1" type="noConversion"/>
  </si>
  <si>
    <t>討伐成功。</t>
    <phoneticPr fontId="1" type="noConversion"/>
  </si>
  <si>
    <t>讨伐成功。</t>
    <phoneticPr fontId="1" type="noConversion"/>
  </si>
  <si>
    <t>討伐に成功しました</t>
    <phoneticPr fontId="1" type="noConversion"/>
  </si>
  <si>
    <t>Asalto completado.</t>
    <phoneticPr fontId="1" type="noConversion"/>
  </si>
  <si>
    <t>Raide bem-sucedido.</t>
    <phoneticPr fontId="1" type="noConversion"/>
  </si>
  <si>
    <t>You have succeeded in the {1} raid.\r\nCongratulations on your victory.</t>
    <phoneticPr fontId="1" type="noConversion"/>
  </si>
  <si>
    <t>{1}討伐成功。\r\n恭喜討伐成功。</t>
    <phoneticPr fontId="1" type="noConversion"/>
  </si>
  <si>
    <t>{1}讨伐成功。\r\n恭喜讨伐成功。</t>
    <phoneticPr fontId="1" type="noConversion"/>
  </si>
  <si>
    <t>{1}討伐に成功しました\r\n討伐成功、おめでとうございます</t>
    <phoneticPr fontId="1" type="noConversion"/>
  </si>
  <si>
    <t>คุณเรด {1} ได้สำเร็จแล้ว\r\nขอแสดงความยินดีต่อชัยชนะของคุณ</t>
    <phoneticPr fontId="1" type="noConversion"/>
  </si>
  <si>
    <t>Has completado el Asalto {1}.\r\nEnhorabuena por la victoria.</t>
    <phoneticPr fontId="1" type="noConversion"/>
  </si>
  <si>
    <t>Foi bem sucedido no raide {1}.\r\nParabéns pela sua vitória.</t>
    <phoneticPr fontId="1" type="noConversion"/>
  </si>
  <si>
    <t>Raid failed</t>
    <phoneticPr fontId="1" type="noConversion"/>
  </si>
  <si>
    <t>討伐失敗</t>
    <phoneticPr fontId="1" type="noConversion"/>
  </si>
  <si>
    <t>讨伐失败</t>
    <phoneticPr fontId="1" type="noConversion"/>
  </si>
  <si>
    <t>เรดล้มเหลว</t>
    <phoneticPr fontId="1" type="noConversion"/>
  </si>
  <si>
    <t>Asalto fallido</t>
    <phoneticPr fontId="1" type="noConversion"/>
  </si>
  <si>
    <t>Raide falhado</t>
    <phoneticPr fontId="1" type="noConversion"/>
  </si>
  <si>
    <t>토벌을 실패하였습니다.</t>
    <phoneticPr fontId="1" type="noConversion"/>
  </si>
  <si>
    <t>Raid failed.</t>
    <phoneticPr fontId="1" type="noConversion"/>
  </si>
  <si>
    <t>討伐失敗。</t>
    <phoneticPr fontId="1" type="noConversion"/>
  </si>
  <si>
    <t>讨伐失败。</t>
    <phoneticPr fontId="1" type="noConversion"/>
  </si>
  <si>
    <t>討伐に失敗しました</t>
    <phoneticPr fontId="1" type="noConversion"/>
  </si>
  <si>
    <t>Asalto fallido.</t>
    <phoneticPr fontId="1" type="noConversion"/>
  </si>
  <si>
    <t>Raide falhado.</t>
    <phoneticPr fontId="1" type="noConversion"/>
  </si>
  <si>
    <t>Boss Raid Successful</t>
    <phoneticPr fontId="1" type="noConversion"/>
  </si>
  <si>
    <t>首領討伐成功</t>
    <phoneticPr fontId="1" type="noConversion"/>
  </si>
  <si>
    <t>首领讨伐成功</t>
    <phoneticPr fontId="1" type="noConversion"/>
  </si>
  <si>
    <t>ボス討伐成功</t>
    <phoneticPr fontId="1" type="noConversion"/>
  </si>
  <si>
    <t>เรดบอสสำเร็จ</t>
    <phoneticPr fontId="1" type="noConversion"/>
  </si>
  <si>
    <t>Asalto al jefe completado</t>
    <phoneticPr fontId="1" type="noConversion"/>
  </si>
  <si>
    <t>Raide de Boss bem sucedido</t>
    <phoneticPr fontId="1" type="noConversion"/>
  </si>
  <si>
    <t>보스 토벌에 성공하였습니다.</t>
    <phoneticPr fontId="1" type="noConversion"/>
  </si>
  <si>
    <t>Boss Raid successful.</t>
    <phoneticPr fontId="1" type="noConversion"/>
  </si>
  <si>
    <t>首領討伐成功。</t>
    <phoneticPr fontId="1" type="noConversion"/>
  </si>
  <si>
    <t>首领讨伐成功。</t>
    <phoneticPr fontId="1" type="noConversion"/>
  </si>
  <si>
    <t>ボス討伐に成功しました</t>
    <phoneticPr fontId="1" type="noConversion"/>
  </si>
  <si>
    <t>Asalto al jefe completado.</t>
    <phoneticPr fontId="1" type="noConversion"/>
  </si>
  <si>
    <t>Raide de Boss bem-sucedido.</t>
    <phoneticPr fontId="1" type="noConversion"/>
  </si>
  <si>
    <t>보스 토벌 실패</t>
    <phoneticPr fontId="1" type="noConversion"/>
  </si>
  <si>
    <t>Boss Raid Failed</t>
    <phoneticPr fontId="1" type="noConversion"/>
  </si>
  <si>
    <t>首領討伐失敗</t>
    <phoneticPr fontId="1" type="noConversion"/>
  </si>
  <si>
    <t>首领讨伐失败</t>
    <phoneticPr fontId="1" type="noConversion"/>
  </si>
  <si>
    <t>ボス討伐失敗</t>
    <phoneticPr fontId="1" type="noConversion"/>
  </si>
  <si>
    <t>เรดบอสล้มเหลว</t>
    <phoneticPr fontId="1" type="noConversion"/>
  </si>
  <si>
    <t>Asalto al jefe fallido</t>
    <phoneticPr fontId="1" type="noConversion"/>
  </si>
  <si>
    <t>Raide de Boss falhado</t>
    <phoneticPr fontId="1" type="noConversion"/>
  </si>
  <si>
    <t>보스 토벌을 실패하였습니다.</t>
    <phoneticPr fontId="1" type="noConversion"/>
  </si>
  <si>
    <t>Boss Raid failed.</t>
    <phoneticPr fontId="1" type="noConversion"/>
  </si>
  <si>
    <t>首領討伐失敗。</t>
    <phoneticPr fontId="1" type="noConversion"/>
  </si>
  <si>
    <t>首领讨伐失败。</t>
    <phoneticPr fontId="1" type="noConversion"/>
  </si>
  <si>
    <t>ボス討伐に失敗しました</t>
    <phoneticPr fontId="1" type="noConversion"/>
  </si>
  <si>
    <t>Asalto al jefe fallido.</t>
    <phoneticPr fontId="1" type="noConversion"/>
  </si>
  <si>
    <t>Raide de Boss falhado.</t>
    <phoneticPr fontId="1" type="noConversion"/>
  </si>
  <si>
    <t>PvP胜利</t>
    <phoneticPr fontId="1" type="noConversion"/>
  </si>
  <si>
    <t>PvP获胜。</t>
    <phoneticPr fontId="1" type="noConversion"/>
  </si>
  <si>
    <t>与玩家{1}的PvP中获胜。\r\n\r\n获得性格分：{2}\r\n性格阶级：{4}（{3}分）</t>
    <phoneticPr fontId="1" type="noConversion"/>
  </si>
  <si>
    <t>PvP失败</t>
    <phoneticPr fontId="1" type="noConversion"/>
  </si>
  <si>
    <t>PvP战败。</t>
    <phoneticPr fontId="1" type="noConversion"/>
  </si>
  <si>
    <t>与玩家{1}的PvP中战败。\r\n通过体质、内功、强化、制造等途径，能够变得更强。</t>
    <phoneticPr fontId="1" type="noConversion"/>
  </si>
  <si>
    <t>［{1}］在與{2}的PvP中獲勝。\r\n\r\n獲得性格分：{3}\r\n目前性格階級：{5}（{4}分）</t>
    <phoneticPr fontId="1" type="noConversion"/>
  </si>
  <si>
    <t>【{1}】与玩家{2}的PvP中获胜。\r\n\r\n获得性格分：{3}\r\n当前性格阶级：{5}（{4}分）</t>
    <phoneticPr fontId="1" type="noConversion"/>
  </si>
  <si>
    <t>【{1}】与玩家{2}的PvP中战败。\r\n通过体质、内功、强化、制造等途径，能够变得更强。</t>
    <phoneticPr fontId="1" type="noConversion"/>
  </si>
  <si>
    <t>DRACO코인 제련소_제목</t>
    <phoneticPr fontId="1" type="noConversion"/>
  </si>
  <si>
    <t>โรงหลอม DRACO สำเร็จ</t>
    <phoneticPr fontId="1" type="noConversion"/>
  </si>
  <si>
    <t>โรงหลอม DRACO ล้มเหลว</t>
    <phoneticPr fontId="1" type="noConversion"/>
  </si>
  <si>
    <t>Sucesso da Troca de Aço Negro</t>
    <phoneticPr fontId="1" type="noConversion"/>
  </si>
  <si>
    <t>Falha da Troca de Aço Negro</t>
    <phoneticPr fontId="1" type="noConversion"/>
  </si>
  <si>
    <t>DRACO코인 제련소_서브 제목</t>
    <phoneticPr fontId="1" type="noConversion"/>
  </si>
  <si>
    <t>โรงหลอม DRACO ประสบความสำเร็จ</t>
    <phoneticPr fontId="1" type="noConversion"/>
  </si>
  <si>
    <t>Troca de Aço Negro bem-sucedida.</t>
    <phoneticPr fontId="1" type="noConversion"/>
  </si>
  <si>
    <t>DRACO코인 제련소_내용</t>
    <phoneticPr fontId="1" type="noConversion"/>
  </si>
  <si>
    <t>提出的DRACO冶煉已失敗。\r\n\r\n冶煉要求數量：{1}個\r\n冶煉費用：{2}黑鐵\r\n\r\n冶煉失敗的黑鐵會返還。\r\n\r\n謝謝。</t>
    <phoneticPr fontId="1" type="noConversion"/>
  </si>
  <si>
    <t>การใช้ DRACO ที่ร้องขอไม่สำเร็จ\r\n\r\nจำนวนการหลอมที่ขอ: {1}\r\nค่าใช้จ่ายในการหลอม: {2} เหล็กดำ\r\n\r\nการหลอมเหล็กดำ ที่ไม่สำเร็จจะถูกส่งคืน\r\n\r\nขอบคุณ</t>
    <phoneticPr fontId="1" type="noConversion"/>
  </si>
  <si>
    <t>提出的黑鐵交換已成功。\r\n交換數量：{1}個\r\n\r\n謝謝。</t>
    <phoneticPr fontId="1" type="noConversion"/>
  </si>
  <si>
    <t>A troca Aço Negro solicitada foi bem-sucedida.\r\nQuantidade Trocada: {1}\r\n\r\nObrigado.</t>
    <phoneticPr fontId="1" type="noConversion"/>
  </si>
  <si>
    <t>A troca de Aço Negro solicitada não foi bem-sucedida.\r\n\r\nObrigado.</t>
    <phoneticPr fontId="1" type="noConversion"/>
  </si>
  <si>
    <t>Congratulations on winning the D.S.P! \r\n\r\nItem Amount: {1} \r\nItem name : {2}\r\n\r\n The item can be checked in XDRACO Warehouse.</t>
    <phoneticPr fontId="1" type="noConversion"/>
  </si>
  <si>
    <t>恭喜您在D.S.P中獎。\r\n\r\n中獎道具數量：{1}\r\n中獎道具名稱：{2}\r\n\r\n可在XDRACO倉庫中查看中獎的道具。</t>
    <phoneticPr fontId="1" type="noConversion"/>
  </si>
  <si>
    <t>恭喜您在D.S.P中奖。\r\n\r\n中奖道具数量：{1}\r\n中奖道具名称：{2}\r\n\r\n可在XDRACO仓库中查看中奖的道具。</t>
    <phoneticPr fontId="1" type="noConversion"/>
  </si>
  <si>
    <t>D.S.P当選おめでとうございます\r\n\r\n当選アイテム数：{1}\r\n当選アイテム名：{2}\r\n\r\n当選したアイテムはXDRACO倉庫にて確認できます</t>
    <phoneticPr fontId="1" type="noConversion"/>
  </si>
  <si>
    <t>ขอแสดงความยินดีกับผู้ชนะ D.S.P! \r\n\r\nไอเทมจำนวน: {1}\r\nชื่อไอเทม : {2}\r\n\r\n รายการไอเทมสามารถตรวจสอบได้ในคลัง XDRACO</t>
    <phoneticPr fontId="1" type="noConversion"/>
  </si>
  <si>
    <t>¡Felicitaciones por ganar el D.S.P! \r\n\r\nMontante del Artículo: {1}\r\nNombre del artículo: {2} \r\n\r\nEl artículo puede ser verificado en el Almacén de XDRACO.</t>
    <phoneticPr fontId="1" type="noConversion"/>
  </si>
  <si>
    <t>A selagem do personagem falhou.\r\n\r\nA Moeda de Ouro será reembolsada.\r\nObrigado.</t>
    <phoneticPr fontId="1" type="noConversion"/>
  </si>
  <si>
    <t>A listagem do Personagem NFT falhou.\r\n\r\nA Moeda de Ouro será reembolsada.\r\nObrigado.</t>
    <phoneticPr fontId="1" type="noConversion"/>
  </si>
  <si>
    <t>The registered item on EXD has been sold.</t>
    <phoneticPr fontId="1" type="noConversion"/>
  </si>
  <si>
    <t>登錄於EXD的道具已出售。</t>
    <phoneticPr fontId="1" type="noConversion"/>
  </si>
  <si>
    <t>登录于EXD的道具已卖出。</t>
    <phoneticPr fontId="1" type="noConversion"/>
  </si>
  <si>
    <t>EXDに登録したアイテムが売却されました</t>
    <phoneticPr fontId="1" type="noConversion"/>
  </si>
  <si>
    <t>ไอเทมที่ลงทะเบียนใน EXD ได้ถูกขายแล้ว</t>
    <phoneticPr fontId="1" type="noConversion"/>
  </si>
  <si>
    <t>El artículo registrado en EXD ha sido vendido.</t>
    <phoneticPr fontId="1" type="noConversion"/>
  </si>
  <si>
    <t>EXD에 등록한 아이템이 판매 되었습니다.\r\n아이템 이름 : {1}\r\n판매한 아이템은 EXD에 접속하여 확인할 수 있습니다.\r\n\r\n감사합니다.</t>
    <phoneticPr fontId="1" type="noConversion"/>
  </si>
  <si>
    <t>The item registered on EXD has been sold.\r\nItem name: {1}\r\nVisit EXD to see the item that was sold.\r\n\r\nThank you.</t>
    <phoneticPr fontId="1" type="noConversion"/>
  </si>
  <si>
    <t>EXDに登録したアイテムの販売が完了されました。\r\nアイテム名：{1}\r\n販売が完了したアイテムはEXDにて確認できます。\r\n\r\nありがとうございます。</t>
    <phoneticPr fontId="1" type="noConversion"/>
  </si>
  <si>
    <t>ไอเทมที่ลงทะเบียนใน EXD ถูกขายแล้ว\r\nชื่อไอเทม: {1}\r\nจะสามารถตรวจสอบไอเทมที่ขายไปได้เมื่อเชื่อมต่อ EXD\r\n\r\nขอบคุณค่ะ</t>
    <phoneticPr fontId="1" type="noConversion"/>
  </si>
  <si>
    <t>El artículo registrado en EXD ha sido vendido.\r\nArtículo: {1}\r\nPuedes verificar los artículos vendidos en EXD.\r\n\r\nGracias.</t>
    <phoneticPr fontId="1" type="noConversion"/>
  </si>
  <si>
    <t>EXD에서 아이템 구매를 완료 하였습니다.\r\n아이템 이름 : {1}\r\n구매한 아이템은 XDRACO창고에서 확인할 수 있습니다.\r\n\r\n감사합니다.</t>
    <phoneticPr fontId="1" type="noConversion"/>
  </si>
  <si>
    <t>Item successfully purchased from EXD.\r\nItem name : {1}\r\nPurchased item can be checked at XDRACO warehouse.\r\n\r\nThank you.</t>
    <phoneticPr fontId="1" type="noConversion"/>
  </si>
  <si>
    <t>從EXD購買道具完成。\r\n道具名稱：{1}\r\n可在XDRACO倉庫內確認已購買的道具。\r\n\r\n謝謝。</t>
    <phoneticPr fontId="1" type="noConversion"/>
  </si>
  <si>
    <t>从EXD购买道具完成。\r\n道具名称：{1}\r\n可在XDRACO仓库内确认已购买的道具。\r\n\r\n谢谢。</t>
    <phoneticPr fontId="1" type="noConversion"/>
  </si>
  <si>
    <t>EXDにてアイテムを購入をしました。\r\nアイテム名：{1}\r\n購入したアイテムはXDRACO倉庫にて確認できます。</t>
    <phoneticPr fontId="1" type="noConversion"/>
  </si>
  <si>
    <t>ซื้อไอเทมสำเร็จจาก EXD\r\nชื่อไอเทม : {1}\r\nไอเทมที่ซื้อสามารถตรวจสอบได้ที่คลัง XDRACO\r\n\r\nขอบคุณค่ะ</t>
    <phoneticPr fontId="1" type="noConversion"/>
  </si>
  <si>
    <t>Artículo comprado con éxito en EXD.\r\nNombre del artículo : {1}\r\nEl artículo comprado puede ser verificado en el almacén de XDRACO.\r\n\r\nGracias.</t>
    <phoneticPr fontId="1" type="noConversion"/>
  </si>
  <si>
    <t>Item comprado com sucesso em EXD.\r\nNome do item : {1}\r\nO item comprado pode ser verificado no armazém de XDRACO.\r\n\r\nObrigado.</t>
    <phoneticPr fontId="1" type="noConversion"/>
  </si>
  <si>
    <t>DAXD 당첨을 축하합니다. \r\n\r\n당첨 아이템 수량: {1} \r\n당첨 아이템 이름: {2}\r\n\r\n 당첨된 아이템은 XDRACO 창고에서 확인할 수 있습니다.</t>
    <phoneticPr fontId="1" type="noConversion"/>
  </si>
  <si>
    <t>Congratulations on winning the DAXD! \r\n\r\nItem Amount: {1} \r\nItem name : {2}\r\n\r\n The item can be checked in XDRACO Warehouse.</t>
    <phoneticPr fontId="1" type="noConversion"/>
  </si>
  <si>
    <t>恭喜您在DAXD中獎。\r\n\r\n中獎道具數量：{1}\r\n中獎道具名稱：{2}\r\n\r\n可在XDRACO倉庫中查看中獎的道具。</t>
    <phoneticPr fontId="1" type="noConversion"/>
  </si>
  <si>
    <t>恭喜您在DAXD中奖。\r\n\r\n中奖道具数量：{1}\r\n中奖道具名称：{2}\r\n\r\n可在XDRACO仓库中查看中奖的道具。</t>
    <phoneticPr fontId="1" type="noConversion"/>
  </si>
  <si>
    <t>DAXD当選おめでとうございます\r\n\r\n当選アイテム数：{1}\r\n当選アイテム名：{2}\r\n\r\n当選したアイテムはXDRACO倉庫にて確認できます</t>
    <phoneticPr fontId="1" type="noConversion"/>
  </si>
  <si>
    <t>ขอแสดงความยินดีกับผู้ชนะ DAXD! \r\n\r\nไอเทมจำนวน: {1}\r\nชื่อไอเทม : {2}\r\n\r\n รายการไอเทมสามารถตรวจสอบได้ในคลัง XDRACO</t>
    <phoneticPr fontId="1" type="noConversion"/>
  </si>
  <si>
    <t>¡Felicitaciones por ganar el DAXD! \r\n\r\nMontante del Artículo: {1}\r\nNombre del artículo: {2} \r\n\r\nEl artículo puede ser verificado en el Almacén de XDRACO.</t>
    <phoneticPr fontId="1" type="noConversion"/>
  </si>
  <si>
    <t>Parabéns por ganhar o DAXD! \r\n\r\nMontante do Item: {1}\r\nNome do item: {2}\r\n\r\n O item pode ser verificado no armazém de XDRACO.</t>
    <phoneticPr fontId="1" type="noConversion"/>
  </si>
  <si>
    <t>EAXD 당첨을 축하합니다. \r\n\r\n당첨 아이템 수량: {1} \r\n당첨 아이템 이름: {2}\r\n\r\n 당첨된 아이템은 XDRACO 창고에서 확인할 수 있습니다.</t>
    <phoneticPr fontId="1" type="noConversion"/>
  </si>
  <si>
    <t>Congratulations on winning the EAXD! \r\n\r\nItem Amount: {1} \r\nItem name : {2}\r\n\r\n The item can be checked in XDRACO Warehouse.</t>
    <phoneticPr fontId="1" type="noConversion"/>
  </si>
  <si>
    <t>恭喜您在EAXD中獎。\r\n\r\n中獎道具數量：{1}\r\n中獎道具名稱：{2}\r\n\r\n可在XDRACO倉庫中查看中獎的道具。</t>
    <phoneticPr fontId="1" type="noConversion"/>
  </si>
  <si>
    <t>恭喜您在EAXD中奖。\r\n\r\n中奖道具数量：{1}\r\n中奖道具名称：{2}\r\n\r\n可在XDRACO仓库中查看中奖的道具。</t>
    <phoneticPr fontId="1" type="noConversion"/>
  </si>
  <si>
    <t>EAXD当選おめでとうございます\r\n\r\n当選アイテム数：{1}\r\n当選アイテム名：{2}\r\n\r\n当選したアイテムはXDRACO倉庫にて確認できます</t>
    <phoneticPr fontId="1" type="noConversion"/>
  </si>
  <si>
    <t>ขอแสดงความยินดีกับผู้ชนะ EAXD! \r\n\r\nไอเทมจำนวน: {1}\r\nชื่อไอเทม : {2}\r\n\r\n รายการไอเทมสามารถตรวจสอบได้ในคลัง XDRACO</t>
    <phoneticPr fontId="1" type="noConversion"/>
  </si>
  <si>
    <t>¡Felicitaciones por ganar el EAXD! \r\n\r\nMontante del Artículo: {1}\r\nNombre del artículo: {2} \r\n\r\nEl artículo puede ser verificado en el Almacén de XDRACO.</t>
    <phoneticPr fontId="1" type="noConversion"/>
  </si>
  <si>
    <t>Parabéns por ganhar o EAXD! \r\n\r\nMontante do Item: {1}\r\nNome do item: {2}\r\n\r\n O item pode ser verificado no armazém de XDRACO.</t>
    <phoneticPr fontId="1" type="noConversion"/>
  </si>
  <si>
    <t>XDRACO 창고에 있는 아이템을 웹 가방으로 이동시켰습니다.\r\n\r\n아이템 수량: {1}\r\n아이템 이름: {2}\r\n\r\n이동 시킨 아이템은 웹 가방에서 확인할 수 있습니다.</t>
    <phoneticPr fontId="1" type="noConversion"/>
  </si>
  <si>
    <t>The item in XDRACO Warehouse was moved to your Web Bag.\r\n\r\nItem Amount: {1}\r\nItem Name: {2}\r\n\r\nThe moved item can be checked from your Web Bag.</t>
    <phoneticPr fontId="1" type="noConversion"/>
  </si>
  <si>
    <t>已將XDRACO倉庫中的道具移動至網頁背包。\r\n\r\n道具數量：{1}\r\n道具名稱：{2}\r\n\r\n被移動的道具可於網頁背包中確認。</t>
    <phoneticPr fontId="1" type="noConversion"/>
  </si>
  <si>
    <t>已将XDRACO仓库中的道具移动至网页背包。\r\n\r\n道具数量：{1}\r\n道具名：{2}\r\n\r\n移动的道具可以在网页背包进行确认。</t>
    <phoneticPr fontId="1" type="noConversion"/>
  </si>
  <si>
    <t>XDRACO倉庫にあるアイテムをWEBカバンに移動させました。\r\n\r\nアイテム数量：{1}\r\nアイテム名：{2}\r\n\r\n移動させたアイテムはWEBカバンから確認できます。</t>
    <phoneticPr fontId="1" type="noConversion"/>
  </si>
  <si>
    <t>ทำการย้ายไอเทมที่อยู่ในคลัง XDRACO ไปยังกระเป๋าเว็บแล้ว\r\n\r\nจำนวนไอเทม: {1}\r\nชื่อไอเทม: {2}\r\n\r\nสามารถตรวจสอบไอเทมที่ถูกย้ายไปที่กระเป๋าเว็บได้</t>
    <phoneticPr fontId="1" type="noConversion"/>
  </si>
  <si>
    <t>Has trasladado los objetos del Almacén de XDRACO a la bolsa web.\r\n\r\nCantidad: {1}\r\nObjeto: {2}\r\n\r\nPuedes verificar los objetos trasladados en la bolsa web.</t>
    <phoneticPr fontId="1" type="noConversion"/>
  </si>
  <si>
    <t>O item no Armazém de XDRACO foi movido para a Bolsa Web.\r\n\r\nQuantidade: {1}\r\nNome do item: {2}\r\n\r\nO item movido pode ser verificado na Bolsa Web.</t>
    <phoneticPr fontId="1" type="noConversion"/>
  </si>
  <si>
    <t>아이템이 XDRACO 창고로 이동 하였습니다.</t>
    <phoneticPr fontId="1" type="noConversion"/>
  </si>
  <si>
    <t>The item was moved to XDRACO Warehouse.</t>
    <phoneticPr fontId="1" type="noConversion"/>
  </si>
  <si>
    <t>道具已移動至XDRACO倉庫。</t>
    <phoneticPr fontId="1" type="noConversion"/>
  </si>
  <si>
    <t>已将道具移动至XDRACO仓库。</t>
    <phoneticPr fontId="1" type="noConversion"/>
  </si>
  <si>
    <t>アイテムがXDRACO倉庫に移動しました。</t>
    <phoneticPr fontId="1" type="noConversion"/>
  </si>
  <si>
    <t>ย้ายไอเทมไปยังคลัง XDRACO แล้ว</t>
    <phoneticPr fontId="1" type="noConversion"/>
  </si>
  <si>
    <t>Has trasladado objetos al Almacén de XDRACO.</t>
    <phoneticPr fontId="1" type="noConversion"/>
  </si>
  <si>
    <t>O item foi movido para o Armazém de XDRACO.</t>
    <phoneticPr fontId="1" type="noConversion"/>
  </si>
  <si>
    <t>웹 가방에 있는 아이템을 XDRACO 창고로 이동시켰습니다.\r\n\r\n아이템 수량: {1}\r\n아이템 이름: {2}\r\n\r\n이동 시킨 아이템은 XDRACO 창고에서 확인할 수 있습니다.</t>
    <phoneticPr fontId="1" type="noConversion"/>
  </si>
  <si>
    <t>The item in your Web Bag was moved to XDRACO Warehouse.\r\n\r\nItem Amount: {1}\r\nItem Name: {2}\r\n\r\nThe moved item can be checked from XDRACO Warehouse.</t>
    <phoneticPr fontId="1" type="noConversion"/>
  </si>
  <si>
    <t>已將網頁背包中的道具移動至XDRACO倉庫中。\r\n\r\n道具數量：{1}\r\n道具名稱：{2}\r\n\r\n被移動的道具可於XDRACO倉庫中確認。</t>
    <phoneticPr fontId="1" type="noConversion"/>
  </si>
  <si>
    <t>已将网页背包中的道具移动至XDRACO仓库。\r\n\r\n道具数量：{1}\r\n道具名：{2}\r\n\r\n移动的道具可以在XDRACO仓库进行确认。</t>
    <phoneticPr fontId="1" type="noConversion"/>
  </si>
  <si>
    <t>WEBカバンにあるアイテムをXDRACO倉庫へ移動させました。\r\n\r\nアイテム数量：{1}\r\nアイテム名：{2}\r\n\r\n移動したアイテムはXDRACO倉庫から確認できます。</t>
    <phoneticPr fontId="1" type="noConversion"/>
  </si>
  <si>
    <t>ทำการย้ายไอเทมที่อยู่ในกระเป๋าเว็บไปยังคลัง XDRACO แล้ว\r\n\r\nจำนวนไอเทม: {1}\r\nชื่อไอเทม: {2}\r\n\r\nสามารถตรวจสอบไอเทมที่ถูกย้ายไปที่คลัง XDRACO ได้</t>
    <phoneticPr fontId="1" type="noConversion"/>
  </si>
  <si>
    <t>Has trasladado los objetos de la bolsa web al Almacén de XDRACO.\r\n\r\nCantidad: {1}\r\nObjeto: {2}\r\n\r\nPuedes verificar los objetos trasladados en el Almacén de XDRACO.</t>
    <phoneticPr fontId="1" type="noConversion"/>
  </si>
  <si>
    <t>O item na Bolsa Web foi movido para o Armazém de XDRACO.\r\n\r\nQuantidade: {1}\r\nNome do item: {2}\r\n\r\nO item movido pode ser verificado no Armazém de XDRACO.</t>
    <phoneticPr fontId="1" type="noConversion"/>
  </si>
  <si>
    <t>비천미궁 4층에 소환된 일언무천장이 처치되어\r\n\r\n협동보스를 소환하신 문파원님들에게 다음의 보상을 전해드립니다.\r\n\r\n가방의 여유공간을 확인하시고 수령하시기 바랍니다.\r\n\r\n감사합니다.</t>
    <phoneticPr fontId="1" type="noConversion"/>
  </si>
  <si>
    <t>The Spiked Mace General summoned in Bicheon Labyrinth 4F has been defeated.\r\n\r\nThe following rewards are given to the clan members that summoned the Cooperation Boss.\r\n\r\nCheck the available space in your bag before collecting it.\r\n\r\nThank you.</t>
    <phoneticPr fontId="1" type="noConversion"/>
  </si>
  <si>
    <t>成功击败召唤于比奇迷宫4层的一言武天将\r\n\r\n以下奖励将发放给召唤协同首领的门派成员。\r\n\r\n请确认背包的剩余空间后领取奖励。\r\n\r\n谢谢。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</si>
  <si>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ถือกระบองเหล็กที่ถูกอัญเชิญที่เขาวงกตบิชอน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</si>
  <si>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Rino da Clava de Ferro invocado no 4F do Labirinto de Bicheon.\r\n\r\nVerifique o espaço disponível na sua bolsa antes de a receber.\r\n\r\nObrigado.</t>
    <phoneticPr fontId="1" type="noConversion"/>
  </si>
  <si>
    <t>뱀골미궁 4층에 소환된 고천홍지장이 처치되어\r\n\r\n협동보스를 소환하신 문파원님들에게 다음의 보상을 전해드립니다.\r\n\r\n가방의 여유공간을 확인하시고 수령하시기 바랍니다.\r\n\r\n감사합니다.</t>
    <phoneticPr fontId="1" type="noConversion"/>
  </si>
  <si>
    <t>The Monk Pillar General summoned in Snake Pit Labyrinth 4F has been defeated.\r\n\r\nThe following rewards are given to the clan members that summoned the Cooperation Boss.\r\n\r\nCheck the available space in your bag before collecting it.\r\n\r\nThank you.</t>
    <phoneticPr fontId="1" type="noConversion"/>
  </si>
  <si>
    <t>成功击败召唤于蛇谷迷宫4层的古天弘地将\r\n\r\n以下奖励将发放给召唤协同首领的门派成员。\r\n\r\n请确认背包的剩余空间后领取奖励。\r\n\r\n谢谢。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</si>
  <si>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พระสงฆ์ถือเสาที่ถูกอัญเชิญที่เขาวงกตหุบเขาอสรพิษ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</si>
  <si>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Monge do Pilar invocado no 4F do Labirinto do Vale das Serpentes.\r\n\r\nVerifique o espaço disponível na sua bolsa antes de a receber.\r\n\r\nObrigado.</t>
    <phoneticPr fontId="1" type="noConversion"/>
  </si>
  <si>
    <t>폐광미궁 4층에 소환된 마락다천장이 처치되어\r\n\r\n협동보스를 소환하신 문파원님들에게 다음의 보상을 전해드립니다.\r\n\r\n가방의 여유공간을 확인하시고 수령하시기 바랍니다.\r\n\r\n감사합니다.</t>
    <phoneticPr fontId="1" type="noConversion"/>
  </si>
  <si>
    <t>The Corrupted Demon Spider General summoned in Abandoned Mine Labyrinth 4F has been defeated.\r\n\r\nThe following rewards are given to the clan members that summoned the Cooperation Boss.\r\n\r\nCheck the available space in your bag before collecting it.\r\n\r\nThank you.</t>
    <phoneticPr fontId="1" type="noConversion"/>
  </si>
  <si>
    <t>成功击败召唤于废矿迷宫4层的魔洛多天将\r\n\r\n以下奖励将发放给召唤协同首领的门派成员。\r\n\r\n请确认背包的剩余空间后领取奖励。\r\n\r\n谢谢。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</si>
  <si>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แมงมุมอสูรที่ถูกอัญเชิญที่เขาวงกตเหมืองร้าง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</si>
  <si>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Aranha Demoníaca Corrupta invocado no 4F do Labirinto da Mina Abandonada.\r\n\r\nVerifique o espaço disponível na sua bolsa antes de a receber.\r\n\r\nObrigado.</t>
    <phoneticPr fontId="1" type="noConversion"/>
  </si>
  <si>
    <t>천도미궁 4층에 소환된 차우거마장이 처치되어\r\n\r\n협동보스를 소환하신 문파원님들에게 다음의 보상을 전해드립니다.\r\n\r\n가방의 여유공간을 확인하시고 수령하시기 바랍니다.\r\n\r\n감사합니다.</t>
    <phoneticPr fontId="1" type="noConversion"/>
  </si>
  <si>
    <t>The Raptor-riding Lance General spawned in Heaven's Way Labyrinth 4F has been defeated.\r\n\r\nThe following rewards are given to the clan members that summoned the Cooperation Boss.\r\n\r\nCheck the available space in your bag before collecting it.\r\n\r\nThank you.</t>
    <phoneticPr fontId="1" type="noConversion"/>
  </si>
  <si>
    <t>成功击败召唤于天道迷宫4层的叉愚巨魔将\r\n\r\n以下奖励将发放给召唤协同首领的门派成员。\r\n\r\n请确认背包的剩余空间后领取奖励。\r\n\r\n谢谢。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</si>
  <si>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หอกขี่สัตว์ประหลาดที่ถูกอัญเชิญที่เขาวงกตวิถีสวรรค์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</si>
  <si>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Lança Raptora invocado no 4F do Labirinto do Caminho para o Céu.\r\n\r\nVerifique o espaço disponível na sua bolsa antes de a receber.\r\n\r\nObrigado.</t>
    <phoneticPr fontId="1" type="noConversion"/>
  </si>
  <si>
    <t>적월미궁 4층에 소환된 백월창갑장이 처치되어\r\n\r\n협동보스를 소환하신 문파원님들에게 다음의 보상을 전해드립니다.\r\n\r\n가방의 여유공간을 확인하시고 수령하시기 바랍니다.\r\n\r\n감사합니다.</t>
    <phoneticPr fontId="1" type="noConversion"/>
  </si>
  <si>
    <t>The Hoary Lance General summoned in Redmoon Labyrinth 4F has been defeated.\r\n\r\nThe following rewards are given to the clan members that summoned the Cooperation Boss.\r\n\r\nCheck the available space in your bag before collecting it.\r\n\r\nThank you.</t>
    <phoneticPr fontId="1" type="noConversion"/>
  </si>
  <si>
    <t>成功击败召唤于赤月迷宫4层的白月枪甲将\r\n\r\n以下奖励将发放给召唤协同首领的门派成员。\r\n\r\n请确认背包的剩余空间后领取奖励。\r\n\r\n谢谢。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</si>
  <si>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อาวุโสหนวดขาวที่ถูกอัญเชิญที่เขาวงกตจันทราโลหิต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</si>
  <si>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da Lança Grisalha invocado no 4F do Labirinto da Lúnula de Sangue.\r\n\r\nVerifique o espaço disponível na sua bolsa antes de a receber.\r\n\r\nObrigado.</t>
    <phoneticPr fontId="1" type="noConversion"/>
  </si>
  <si>
    <t>몽촌미궁 4층에 소환된 구장취월장이 처치되어\r\n\r\n협동보스를 소환하신 문파원님들에게 다음의 보상을 전해드립니다.\r\n\r\n가방의 여유공간을 확인하시고 수령하시기 바랍니다.\r\n\r\n감사합니다.</t>
    <phoneticPr fontId="1" type="noConversion"/>
  </si>
  <si>
    <t>The Heavy Armor General summoned in Phantasia Labyrinth 4F has been defeated.\r\n\r\nThe following rewards are given to the clan members that summoned the Cooperation Boss.\r\n\r\nCheck the available space in your bag before collecting it.\r\n\r\nThank you.</t>
    <phoneticPr fontId="1" type="noConversion"/>
  </si>
  <si>
    <t>成功击败召唤于盟重迷宫4层的九章醉月将\r\n\r\n以下奖励将发放给召唤协同首领的门派成员。\r\n\r\n请确认背包的剩余空间后领取奖励。\r\n\r\n谢谢。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</si>
  <si>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ไร้หัวดาบใหญ่ที่ถูกอัญเชิญที่เขาวงกตแฟนตาเซีย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</si>
  <si>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da Armadura Pesada invocado no 4F do Labirinto de Phantasia.\r\n\r\nVerifique o espaço disponível na sua bolsa antes de a receber.\r\n\r\nObrigado.</t>
    <phoneticPr fontId="1" type="noConversion"/>
  </si>
  <si>
    <t>사북미궁 4층에 소환된 화월괴여장이 처치되어\r\n\r\n협동보스를 소환하신 문파원님들에게 다음의 보상을 전해드립니다.\r\n\r\n가방의 여유공간을 확인하시고 수령하시기 바랍니다.\r\n\r\n감사합니다.</t>
    <phoneticPr fontId="1" type="noConversion"/>
  </si>
  <si>
    <t>The Bloated Monk General summoned in Sabuk Labyrinth 4F has been defeated.\r\n\r\nThe following rewards are given to the clan members that summoned the Cooperation Boss.\r\n\r\nCheck the available space in your bag before collecting it.\r\n\r\nThank you.</t>
    <phoneticPr fontId="1" type="noConversion"/>
  </si>
  <si>
    <t>成功击败召唤于沙巴克迷宫4层的花月怪如将\r\n\r\n以下奖励将发放给召唤协同首领的门派成员。\r\n\r\n请确认背包的剩余空间后领取奖励。\r\n\r\n谢谢。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</si>
  <si>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อ้วนที่คดโกงที่ถูกอัญเชิญที่เขาวงกตซาบัค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</si>
  <si>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Monge Corpulento invocado no 4F do Labirinto de Sabuk.\r\n\r\nVerifique o espaço disponível na sua bolsa antes de a receber.\r\n\r\nObrigado.</t>
    <phoneticPr fontId="1" type="noConversion"/>
  </si>
  <si>
    <t>구룡미궁 4층에 소환된 창천주현장이 처치되어\r\n\r\n협동보스를 소환하신 문파원님들에게 다음의 보상을 전해드립니다.\r\n\r\n가방의 여유공간을 확인하시고 수령하시기 바랍니다.\r\n\r\n감사합니다.</t>
    <phoneticPr fontId="1" type="noConversion"/>
  </si>
  <si>
    <t>The Azure Stone Golem General spawned in Nine Dragon Labyrinth 4F has been defeated.\r\n\r\nThe following rewards are given to the clan members that spawned the Cooperation Boss.\r\n\r\nCheck the available space in your bag before collecting it.\r\n\r\nThank you.</t>
    <phoneticPr fontId="1" type="noConversion"/>
  </si>
  <si>
    <t>成功击败召唤于九龙迷宫4层的苍天周玄将\r\n\r\n以下奖励将发放给召唤协同首领的门派成员。\r\n\r\n请确认背包的剩余空间后领取奖励。\r\n\r\n谢谢。</t>
    <phoneticPr fontId="1" type="noConversion"/>
  </si>
  <si>
    <t>มอบรางวัลดังต่อไปนี้ให้กับสมาชิกแคลนที่อัญเชิญบอสร่วมมือ\r\n\r\nหลังจากนายพลอสูรหินนภาที่ถูกอัญเชิญที่เขาวงกตเก้ามังกรชั้น 4 ถูกเอาชนะได้\r\n\r\nกรุณาตรวจสอบพื้นที่เหลือในกระเป๋า ก่อนที่จะเก็บ\r\n\r\nขอบคุณ</t>
    <phoneticPr fontId="1" type="noConversion"/>
  </si>
  <si>
    <t>Aqui está a recompensa dos membros do clã que invocaram o Boss Cooperativo\r\n\r\nem consequência da destruição do General Golem da Pedra Azul invocado no 4F do Labirinto dos Nove Dragões.\r\n\r\nVerifique o espaço disponível na sua bolsa antes de a receber.\r\n\r\nObrigado.</t>
    <phoneticPr fontId="1" type="noConversion"/>
  </si>
  <si>
    <t>恭喜！\r\n\r\n所屬門派占領了沙巴克爭霸［{1}］地區，獲得［{2}］的進出資格！\r\n作為門派獎勵{3}的門派資金已發送至門派倉庫。</t>
    <phoneticPr fontId="1" type="noConversion"/>
  </si>
  <si>
    <t>恭喜！\r\n\r\n所屬門派占領了［{1}］地區的占領石，於沙巴克爭霸中獲得最終勝利！\r\n獲勝門派的掌門將登基為皇帝，現在起可使用沙巴克城的領地功能。\r\n作為門派獎勵，{2}的門派資金已發送至門派倉庫。</t>
    <phoneticPr fontId="1" type="noConversion"/>
  </si>
  <si>
    <t>¡Felicidades!\r\n\r\n¡Tu clan ha capturado la piedra de captura de la zona [{1}] y ha obtenido la victoria final en la Colisión de Sabuk!\r\nEl líder del clan victorioso será declarado como emperador y podrá hacer uso de las funciones del territorio del Castillo de Sabuk desde ahora.\r\nLos fondos del clan de {2} han sido enviados al almacén del clan como recompensa.</t>
    <phoneticPr fontId="1" type="noConversion"/>
  </si>
  <si>
    <t>很遺憾，所屬門派於沙巴克爭霸［{1}］中戰敗。\r\n為了應援下一次挑戰，將會發送些許獎勵。</t>
    <phoneticPr fontId="1" type="noConversion"/>
  </si>
  <si>
    <t>恭喜！\r\n\r\n您於沙巴克爭霸［{1}］地區成功刻印占領石，被選為MVP。\r\n為您獻上最佳戰鬥的讚揚，並發送些許獎勵。</t>
    <phoneticPr fontId="1" type="noConversion"/>
  </si>
  <si>
    <t>很遺憾，所屬門派於沙巴克爭霸［{1}］戰爭中戰敗，進出權獲取失敗。\r\n為了應援下一次挑戰，將會發送些許獎勵。</t>
    <phoneticPr fontId="1" type="noConversion"/>
  </si>
  <si>
    <t>EXP Drop</t>
    <phoneticPr fontId="1" type="noConversion"/>
  </si>
  <si>
    <t>經驗值降低</t>
    <phoneticPr fontId="1" type="noConversion"/>
  </si>
  <si>
    <t>经验值降低</t>
    <phoneticPr fontId="1" type="noConversion"/>
  </si>
  <si>
    <t>経験値低下</t>
    <phoneticPr fontId="1" type="noConversion"/>
  </si>
  <si>
    <t>EXP ลดลง</t>
    <phoneticPr fontId="1" type="noConversion"/>
  </si>
  <si>
    <t>Reducción de EXP</t>
    <phoneticPr fontId="1" type="noConversion"/>
  </si>
  <si>
    <t>Diminuição de EXP</t>
    <phoneticPr fontId="1" type="noConversion"/>
  </si>
  <si>
    <t>Congrats on reaching Lv. 20!</t>
    <phoneticPr fontId="1" type="noConversion"/>
  </si>
  <si>
    <t>恭喜達成等級20！</t>
    <phoneticPr fontId="1" type="noConversion"/>
  </si>
  <si>
    <t>恭喜达到20级！</t>
    <phoneticPr fontId="1" type="noConversion"/>
  </si>
  <si>
    <t>レベル20達成、おめでとうございます！</t>
    <phoneticPr fontId="1" type="noConversion"/>
  </si>
  <si>
    <t>ขอแสดงความยินดีที่บรรลุเลเวล 20</t>
    <phoneticPr fontId="1" type="noConversion"/>
  </si>
  <si>
    <t>¡Enhorabuena por alcanzar el nv. 20!</t>
    <phoneticPr fontId="1" type="noConversion"/>
  </si>
  <si>
    <t>Parabéns em alcançar o Nv. 20!</t>
    <phoneticPr fontId="1" type="noConversion"/>
  </si>
  <si>
    <t>Your EXP slot is full.</t>
    <phoneticPr fontId="1" type="noConversion"/>
  </si>
  <si>
    <t>經驗值欄位爆滿。</t>
    <phoneticPr fontId="1" type="noConversion"/>
  </si>
  <si>
    <t>经验值栏位爆满。</t>
    <phoneticPr fontId="1" type="noConversion"/>
  </si>
  <si>
    <t>経験値スロットがいっぱいです</t>
    <phoneticPr fontId="1" type="noConversion"/>
  </si>
  <si>
    <t>สล็อต EXP เต็ม</t>
    <phoneticPr fontId="1" type="noConversion"/>
  </si>
  <si>
    <t>Tu barra de EXP está llena.</t>
    <phoneticPr fontId="1" type="noConversion"/>
  </si>
  <si>
    <t>O seu slot de EXP está cheio.</t>
    <phoneticPr fontId="1" type="noConversion"/>
  </si>
  <si>
    <t>死亡後經驗值降低，但由於經驗值儲存欄已滿，未能儲存。\r\n可以透過左上方的［石碑］-&gt;［還原經驗值］選單，確認降低的經驗值列表。\r\n請清空經驗值還原欄位。\r\n\r\n損失的經驗值：{2}</t>
    <phoneticPr fontId="1" type="noConversion"/>
  </si>
  <si>
    <t>คุณได้เสียชีวิตและ EXP ของคุณก็ลดลง แต่มันจะไม่ถูกบันทึกเนื่องจากช่องที่เก็บ EXP ของคุณเต็ม\r\nคุณสามารถตรวจสอบรายการ EXP ที่ลดลงได้ในเมนู [ศิลาหน้าหลุมฝังศพ] -&gt; [การเรียกคืน EXP] ที่ด้านบนซ้าย\r\nล้างช่องการเรียกคืน EXP ของคุณ\r\n\r\nEXP ที่ถูกทำให้เสียไป: {2}</t>
    <phoneticPr fontId="1" type="noConversion"/>
  </si>
  <si>
    <t>Morreu e a sua EXP diminuiu, mas não foi guardada porque o seu slot de armazenamento de EXP está cheio.\r\nPode verificar a lista de EXP perdida em [Lápide] -&gt; Menu [Reposição de EXP] na parte superior esquerda.\r\nEsvazie o seu slot de Reposição de EXP.\r\n\r\nPerda de EXP: {2}</t>
    <phoneticPr fontId="1" type="noConversion"/>
  </si>
  <si>
    <t>未還原的經驗值因超過保管期間已被刪除。\r\n可以透過左上方的［石碑］-&gt;［還原經驗值］選單，確認降低的經驗值列表。\r\n\r\n發生日期：{1}\r\n損失的經驗值：{2}</t>
    <phoneticPr fontId="1" type="noConversion"/>
  </si>
  <si>
    <t>EXP ที่ไม่ถูกเรียกคืนได้หายไปเนื่องจากระยะเวลาการเก็บของคุณได้หมดเขตลงแล้ว\r\nคุณสามารถตรวจสอบรายการ EXP ที่ลดลงได้ในเมนู [ศิลาหน้าหลุมฝังศพ] -&gt; [การเรียกคืน EXP] ที่ด้านบนซ้าย\r\n\r\nวัน/เวลาที่เกิดขึ้น: {1}\r\nEXP ที่ถูกทำให้เสียไป: {2}</t>
    <phoneticPr fontId="1" type="noConversion"/>
  </si>
  <si>
    <t>{1}龍士。\r\n從現在起，一旦死亡將有可能產生懲罰。\r\n\r\n［經驗值］：死亡時遺失的經驗值可透過普通／高級還原找回。\r\n［失物］：將掉落部份消耗道具與物資，若不重新找回，將永久消失。\r\n［內傷］：疊加時，狩獵經驗值與能力下降。可透過加速點或門派成員的幫助進行快速治療。\r\n［等待時間］：連續死亡時，復活等待時間將逐漸遞增。</t>
    <phoneticPr fontId="1" type="noConversion"/>
  </si>
  <si>
    <t>{1}龙士。\r\n从现在开始，一旦死亡将有可能产生惩罚。\r\n\r\n【经验值】：死亡时遗失的经验值可通过普通、高级恢复找回。\r\n【失物】：将掉落部份消耗道具与物资，若不重新找回，将永久消失。\r\n【内伤】：叠加时，狩猎经验值与能力下降。可通过加速点或门派成员的帮助进行快速治疗。\r\n【等待时间】：连续死亡时，复活等待时间将逐渐递增。</t>
    <phoneticPr fontId="1" type="noConversion"/>
  </si>
  <si>
    <t>ท่านนักรบ {1}\r\nนับแต่นี้ จะมีบทลงโทษในแต่ละครั้งที่คุณตาย\r\n\r\n[EXP]: EXP ที่สูญเสียขณะตายจะสามารถกู้คืนได้โดยใช้การฟื้นฟูปกติ/ขั้นสูง\r\n[ไอเทมที่สูญหาย]: ไอเทมที่ใช้งานได้และเงินบางส่วนจะตกลงเมื่อตายและจะสูญหายไปถาวรหากไม่ไปรับกลับ\r\n[บาดเจ็บภายใน]: เมื่อสะสมเพิ่มขึ้น EXP จากการล่าและสถานะจะลดลง สามารถรักษาอย่างรวดเร็วได้ด้วยการใช้แต้มเร่งความเร็วหรือด้วยความช่วยเหลือจากสมาชิกแคลน\r\n[เวลาที่รอ]: การตายบ่อยๆ จะเพิ่มเวลาที่รอในการคืนชีพ</t>
    <phoneticPr fontId="1" type="noConversion"/>
  </si>
  <si>
    <t>A sanctuary has been built.</t>
    <phoneticPr fontId="1" type="noConversion"/>
  </si>
  <si>
    <t>A sanctuary has been destroyed.</t>
    <phoneticPr fontId="1" type="noConversion"/>
  </si>
  <si>
    <t>The sanctuary in [{1}] is being attacked.</t>
    <phoneticPr fontId="1" type="noConversion"/>
  </si>
  <si>
    <t>［{1}］位置的聖所正在遭受攻擊。</t>
    <phoneticPr fontId="1" type="noConversion"/>
  </si>
  <si>
    <t>[{1}] has summoned a sanctuary in [{2}].\r\nYou can receive the sanctuary effect when hunting in the area.</t>
    <phoneticPr fontId="1" type="noConversion"/>
  </si>
  <si>
    <t>［{1}］玩家已在［{2}］位置召喚聖所。\r\n用該位置時，可獲得聖所效果。</t>
    <phoneticPr fontId="1" type="noConversion"/>
  </si>
  <si>
    <t>The sanctuary in [{2}] was destroyed by the attack of [{1}] clan.</t>
    <phoneticPr fontId="1" type="noConversion"/>
  </si>
  <si>
    <t>［{2}］位置的聖所因受到［{1}］門派的攻擊而被摧毀。</t>
    <phoneticPr fontId="1" type="noConversion"/>
  </si>
  <si>
    <t>The sanctuary in the [{1}] area was retrieved as its duration has expired.</t>
    <phoneticPr fontId="1" type="noConversion"/>
  </si>
  <si>
    <t>因［{1}］聖所的持續時間已結束，已被回收。</t>
    <phoneticPr fontId="1" type="noConversion"/>
  </si>
  <si>
    <t>A new sanctuary has been summoned. The sanctuary in [{1}] will be retrieved.</t>
    <phoneticPr fontId="1" type="noConversion"/>
  </si>
  <si>
    <t>因召喚了新聖所，［{1}］位置的聖所已被回收。</t>
    <phoneticPr fontId="1" type="noConversion"/>
  </si>
  <si>
    <t>공격알림</t>
    <phoneticPr fontId="1" type="noConversion"/>
  </si>
  <si>
    <t>Attack Notice</t>
    <phoneticPr fontId="1" type="noConversion"/>
  </si>
  <si>
    <t>攻擊通知</t>
    <phoneticPr fontId="1" type="noConversion"/>
  </si>
  <si>
    <t>攻击提示</t>
    <phoneticPr fontId="1" type="noConversion"/>
  </si>
  <si>
    <t>攻撃通知</t>
    <phoneticPr fontId="1" type="noConversion"/>
  </si>
  <si>
    <t>แจ้งเตือนการโจมตี</t>
    <phoneticPr fontId="1" type="noConversion"/>
  </si>
  <si>
    <t>Notificación de ataque</t>
    <phoneticPr fontId="1" type="noConversion"/>
  </si>
  <si>
    <t>Alerta de Ataque</t>
    <phoneticPr fontId="1" type="noConversion"/>
  </si>
  <si>
    <t>철문파괴</t>
    <phoneticPr fontId="1" type="noConversion"/>
  </si>
  <si>
    <t>Iron Gate Destroyed</t>
    <phoneticPr fontId="1" type="noConversion"/>
  </si>
  <si>
    <t>摧毀鐵門</t>
    <phoneticPr fontId="1" type="noConversion"/>
  </si>
  <si>
    <t>摧毁铁门</t>
    <phoneticPr fontId="1" type="noConversion"/>
  </si>
  <si>
    <t>鉄門破壊</t>
    <phoneticPr fontId="1" type="noConversion"/>
  </si>
  <si>
    <t>การทำลายประตูเหล็ก</t>
    <phoneticPr fontId="1" type="noConversion"/>
  </si>
  <si>
    <t>Puerta de acero destruida</t>
    <phoneticPr fontId="1" type="noConversion"/>
  </si>
  <si>
    <t>Destruição do Portão de Ferro</t>
    <phoneticPr fontId="1" type="noConversion"/>
  </si>
  <si>
    <t>{1}區域正在受到攻擊。\r\n請透過［戰爭］-&gt;［掠奪戰］選單，移動至{1}區域並守護領地資源！</t>
    <phoneticPr fontId="1" type="noConversion"/>
  </si>
  <si>
    <t>보고 드립니다! \r\n{1} 구역에 적들이 침공하여 철문이 파괴되었습니다. \r\n군사 지원을 요청 드립니다! \r\n지원군이 도착할 동안 병사들과 최대한 방어해 보겠습니다. \r\n\r\n{2}.</t>
    <phoneticPr fontId="1" type="noConversion"/>
  </si>
  <si>
    <t>Reporting! \r\nEnemies have invaded the {1} zone and the Iron Gate has been destroyed. \r\nWe request military support! \r\nWe will try our best to defend the area with our soldiers until the reinforcements arrive. \r\n\r\n{2}.</t>
    <phoneticPr fontId="1" type="noConversion"/>
  </si>
  <si>
    <t>報告！\r\n敵人侵襲了{1}區域，因此鐵門已被摧毀。\r\n請求軍事支援！\r\n在支援軍抵達前，我將和士兵們盡全力防禦。\r\n\r\n{2}。</t>
    <phoneticPr fontId="1" type="noConversion"/>
  </si>
  <si>
    <t>报告！\r\n敌人侵入{1}区域，铁门已被破坏。\r\n请求军事支援！\r\n援军到达前，将和士兵们一起全力防御。\r\n\r\n{2}。</t>
    <phoneticPr fontId="1" type="noConversion"/>
  </si>
  <si>
    <t>ご報告！\r\n{1}区域に敵が侵攻し、鉄門が破壊されました\r\n軍事支援を要請します！\r\n支援軍が到着するまで兵士たちと共に最大限防御に入ります\r\n\r\n{2}。</t>
    <phoneticPr fontId="1" type="noConversion"/>
  </si>
  <si>
    <t>มีรายงานมาว่า! \r\nมีศัตรูบุกรุกเขต {1} และประตูเหล็กจึงถูกทำลาย \r\nขอทหารเสริมกำลังด่วน! \r\nในขณะที่รอกำลังเสริมมาถึง ข้าจะป้องกันพื้นที่ร่วมกับทหารคนอื่นๆ เอาไว้ให้ดีที่สุด \r\n\r\n{2}.</t>
    <phoneticPr fontId="1" type="noConversion"/>
  </si>
  <si>
    <t>¡Informando! \r\nLos enemigos han invadido el área de {1} y han destruido la puerta de acero. \r\n¡Están solicitando apoyo! \r\nProtegeremos la zona a como dé lugar hasta que lleguen los refuerzos. \r\n\r\n{2}.</t>
    <phoneticPr fontId="1" type="noConversion"/>
  </si>
  <si>
    <t>Atenção! \r\nO Portão de Ferro da zona {1} foi destruído devido à invasão inimiga. \r\nSolicitamos reforços! \r\nNossos soldados farão o máximo para aguentar enquanto os reforços não chegam. \r\n\r\n{2}.</t>
    <phoneticPr fontId="1" type="noConversion"/>
  </si>
  <si>
    <t>ตั้งยศจักรวรรดิ</t>
    <phoneticPr fontId="1" type="noConversion"/>
  </si>
  <si>
    <t>Nomear Designação Imperial</t>
    <phoneticPr fontId="1" type="noConversion"/>
  </si>
  <si>
    <t>ยกเลิกยศจักรวรรดิ</t>
    <phoneticPr fontId="1" type="noConversion"/>
  </si>
  <si>
    <t>Remover Designação Imperial</t>
    <phoneticPr fontId="1" type="noConversion"/>
  </si>
  <si>
    <t>皇帝任命已任命［{1}］門派為［{2}］帝國稱謂。\r\n\r\n現在起［{1}］門派的所有門派成員將套用［{2}］的帝國稱謂效果。</t>
    <phoneticPr fontId="1" type="noConversion"/>
  </si>
  <si>
    <t>จักรพรรดิตั้งยศจักรวรรดิ [{2}] ให้แคลน [{1}] แล้ว\r\n\r\nต่อไปนี้สมาชิกแคลนทั้งหมดของแคลน [{1}] จะได้รับเอฟเฟกต์ยศจักรวรรดิ [{2}]</t>
    <phoneticPr fontId="1" type="noConversion"/>
  </si>
  <si>
    <t>O Imperador nomeou o clã [{1}] com a Designação Imperial [{2}].\r\n\r\nOs efeitos da Designação Imperial [{2}] serão aplicados em todos os membros do clã [{1}] a partir de agora.</t>
    <phoneticPr fontId="1" type="noConversion"/>
  </si>
  <si>
    <t>皇帝已解除［{1}］門派［{2}］的帝國稱謂。\r\n\r\n［{1}］門派的所有門派成員無法再繼續套用［{2}］的帝國稱謂效果。</t>
    <phoneticPr fontId="1" type="noConversion"/>
  </si>
  <si>
    <t>จักรพรรดิถอนยศจักรวรรดิ [{2}] ของแคลน [{1}] แล้ว\r\n\r\nต่อไปนี้สมาชิกแคลนทั้งหมดของแคลน [{1}] จะไม่ได้รับเอฟเฟกต์ยศจักรวรรดิ [{2}] อีก</t>
    <phoneticPr fontId="1" type="noConversion"/>
  </si>
  <si>
    <t>O Imperador removeu a Designação Imperial [{2}] do clã [{1}].\r\n\r\nOs efeitos da Designação Imperial [{2}] não serão mais aplicados aos membros do clã [{1}].</t>
    <phoneticPr fontId="1" type="noConversion"/>
  </si>
  <si>
    <t>皇帝已對［{1}］伺服器下達［{2}］聖旨。\r\n\r\n作為聖旨的效果，一定時間內將套用［{3}］的效果。</t>
    <phoneticPr fontId="1" type="noConversion"/>
  </si>
  <si>
    <t>皇帝已解除［{1}］伺服器［{2}］聖旨。\r\n\r\n無法再繼續套用聖旨效果。</t>
    <phoneticPr fontId="1" type="noConversion"/>
  </si>
  <si>
    <t>Você recebeu {2} presente(s) de {1}.\r\n\r\nÉ possível retirar o presente recebido no Repositório da loja.\r\n\r\nObrigado.</t>
    <phoneticPr fontId="1" type="noConversion"/>
  </si>
  <si>
    <t>결투장 개인전 레벨 달성 보상</t>
    <phoneticPr fontId="1" type="noConversion"/>
  </si>
  <si>
    <t>미사용</t>
  </si>
  <si>
    <t>Has sido derrotado por el monstruo {3} de nivel {2} en {1}.\r\nFortalécete a través de la constitución, Chi, desarrollo y fabricación.</t>
    <phoneticPr fontId="1" type="noConversion"/>
  </si>
  <si>
    <t>在與{1}進行的PVP中戰敗。\r\n可透過體質、內功、強化、製造等變得更強。</t>
    <phoneticPr fontId="1" type="noConversion"/>
  </si>
  <si>
    <t>{1}さんとのPvPで敗北しました\r\n体質、内功、強化、製作などでさらに強くなれます</t>
    <phoneticPr fontId="1" type="noConversion"/>
  </si>
  <si>
    <t>Has sido derrotado por {1} en el modo JcJ.\r\nFortalécete a través de la constitución, Chi, desarrollo y fabricación.</t>
    <phoneticPr fontId="1" type="noConversion"/>
  </si>
  <si>
    <t>Você foi derrotado por {1} em PvP.\r\nFique mais forte através de Constituição, Chi, Aprimoramento, Criação e outros.</t>
    <phoneticPr fontId="1" type="noConversion"/>
  </si>
  <si>
    <t>［{1}］在與{2}進行的PvP中戰敗。\r\n可透過體質、內功、強化、製造等變得更強。</t>
    <phoneticPr fontId="1" type="noConversion"/>
  </si>
  <si>
    <t>생사곡 정규 시즌 보상입니다.</t>
    <phoneticPr fontId="1" type="noConversion"/>
  </si>
  <si>
    <t>생사곡 시즌에서 [ {1} : {2}위 ]를 달성하였습니다.</t>
    <phoneticPr fontId="1" type="noConversion"/>
  </si>
  <si>
    <t>생사곡 시즌 결과에 대한 보상입니다.\r\n앞으로 생사곡에서 더 큰 활약을 기대합니다.</t>
    <phoneticPr fontId="1" type="noConversion"/>
  </si>
  <si>
    <t>2024.03.19</t>
    <phoneticPr fontId="1" type="noConversion"/>
  </si>
  <si>
    <t>2024.01.18</t>
    <phoneticPr fontId="1" type="noConversion"/>
  </si>
  <si>
    <t>Here is your Valley of Life and Death Regular Season reward.</t>
    <phoneticPr fontId="1" type="noConversion"/>
  </si>
  <si>
    <t>生死谷正式賽季獎勵。</t>
    <phoneticPr fontId="1" type="noConversion"/>
  </si>
  <si>
    <t>生死谷正规赛季奖励。</t>
    <phoneticPr fontId="1" type="noConversion"/>
  </si>
  <si>
    <t>生死谷正規シーズンの報酬です。</t>
    <phoneticPr fontId="1" type="noConversion"/>
  </si>
  <si>
    <t>นี่คือรางวัลซีซั่นประจำ: หุบเขาแห่งชีวิตและความตาย</t>
    <phoneticPr fontId="1" type="noConversion"/>
  </si>
  <si>
    <t>Recompensa de temporada regular de Valle vida y muerte.</t>
    <phoneticPr fontId="1" type="noConversion"/>
  </si>
  <si>
    <t>Recompensa da temporada regular do Vale da Vida e Morte.</t>
    <phoneticPr fontId="1" type="noConversion"/>
  </si>
  <si>
    <t>You have achieved [{1}: #{2}] in the Valley of Life and Death season.</t>
    <phoneticPr fontId="1" type="noConversion"/>
  </si>
  <si>
    <t>在生死谷賽季中達到了［{1}：第{2}名］。</t>
    <phoneticPr fontId="1" type="noConversion"/>
  </si>
  <si>
    <t>在生死谷赛季中达成【{1}：第{2}名】。</t>
    <phoneticPr fontId="1" type="noConversion"/>
  </si>
  <si>
    <t>生死谷シーズンで[{1}：{2}位]を達成しました。</t>
    <phoneticPr fontId="1" type="noConversion"/>
  </si>
  <si>
    <t>ได้ [{1}: อันดับที่ {2}] จากซีซั่นหุบเขาแห่งชีวิตและความตาย</t>
    <phoneticPr fontId="1" type="noConversion"/>
  </si>
  <si>
    <t>Alcanzaste [{1}: {2}.°] en la temporada de Valle vida y muerte.</t>
    <phoneticPr fontId="1" type="noConversion"/>
  </si>
  <si>
    <t>Alcançou [{1}: {2}.º lugar] na temporada do Vale da Vida e Morte.</t>
    <phoneticPr fontId="1" type="noConversion"/>
  </si>
  <si>
    <t>Here is your reward for the Valley of Life and Death season result.\r\nWe look forward to seeing you back in action in the valley.</t>
    <phoneticPr fontId="1" type="noConversion"/>
  </si>
  <si>
    <t>生死谷賽季結果相關獎勵。\r\n期待日後在生死谷中能有更活躍的表現。</t>
    <phoneticPr fontId="1" type="noConversion"/>
  </si>
  <si>
    <t>有关生死谷赛季结果的奖励。\r\n期待您未来在生死谷中更加出色的表现。</t>
    <phoneticPr fontId="1" type="noConversion"/>
  </si>
  <si>
    <t>生死谷シーズンの結果に対する報酬です。\r\nこれからも生死谷での輝かしい活躍を期待しています。</t>
    <phoneticPr fontId="1" type="noConversion"/>
  </si>
  <si>
    <t>นี่คือรางวัลที่เกี่ยวข้องกับผลอันดับในซีซั่นหุบเขาแห่งชีวิตและความตาย\r\nเราหวังว่าในอนาคตหุบเขาแห่งชีวิตและความตายจะคึกคักขึ้นกว่าเดิม</t>
    <phoneticPr fontId="1" type="noConversion"/>
  </si>
  <si>
    <t>Recompensa por tus resultados en la temporada de Valle vida y muerte.\r\nEsperamos más grandes hazañas en el futuro en el Valle vida y muerte.</t>
    <phoneticPr fontId="1" type="noConversion"/>
  </si>
  <si>
    <t>Esta é a recompensa do resultado obtido na temporada do Vale da Vida e Morte.\r\nEsperamos por um maior desempenho nos próximos Vales da Vida e Morte.</t>
    <phoneticPr fontId="1" type="noConversion"/>
  </si>
  <si>
    <t>문파대전 우편_제목</t>
    <phoneticPr fontId="1" type="noConversion"/>
  </si>
  <si>
    <t>문파대전</t>
    <phoneticPr fontId="1" type="noConversion"/>
  </si>
  <si>
    <t>문파대전 우편_서브제목</t>
    <phoneticPr fontId="1" type="noConversion"/>
  </si>
  <si>
    <t>우승</t>
    <phoneticPr fontId="1" type="noConversion"/>
  </si>
  <si>
    <t>개인 보상</t>
    <phoneticPr fontId="1" type="noConversion"/>
  </si>
  <si>
    <t>MVP 달성</t>
    <phoneticPr fontId="1" type="noConversion"/>
  </si>
  <si>
    <t>문파대전 우편_내용</t>
    <phoneticPr fontId="1" type="noConversion"/>
  </si>
  <si>
    <t>축하합니다!!\r\n\r\n소속 문파가 문파대전 [{1}]에서 승리하였습니다.\r\n다음 대전 진출 권한을 획득하였습니다.\r\n승리를 축하드리기 위해 소속 문파원 모두에게 보상을 지급해 드립니다.</t>
    <phoneticPr fontId="1" type="noConversion"/>
  </si>
  <si>
    <t>안타깝습니다.\r\n\r\n소속 문파가 문파대전 [{1}]에서 패배했습니다.\r\n도전에 대한 응원으로 소속 문파원 모두에게 소정의 보상을 지급해 드립니다.</t>
    <phoneticPr fontId="1" type="noConversion"/>
  </si>
  <si>
    <t>축하합니다!\r\n\r\n소속 문파가 문파대전에서 우승하여, 최고의 문파로 등극하였습니다.\r\n뛰어난 영예에 찬사를 드리며, 보상을 지급해 드립니다.</t>
    <phoneticPr fontId="1" type="noConversion"/>
  </si>
  <si>
    <t>축하합니다!\r\n\r\n문파대전 [{1}]에서 승리했습니다.\r\n해당 라운드에서 획득한 개인 총점은 {2}점이며, \r\n랭킹 {3}위를 달성했습니다.</t>
    <phoneticPr fontId="1" type="noConversion"/>
  </si>
  <si>
    <t>안타깝습니다.\r\n\r\n문파대전 [{1}]에서 패배했습니다.\r\n해당 라운드에서 획득한 개인 총점은 {2}점이며, \r\n랭킹 {3}위를 달성했습니다.</t>
    <phoneticPr fontId="1" type="noConversion"/>
  </si>
  <si>
    <t>축하합니다!\r\n\r\n문파대전 [{1}]에서 MVP로 선정되셨습니다.\r\n최고의 플레이에 찬사를 드리며, 보상을 지급해 드립니다.</t>
    <phoneticPr fontId="1" type="noConversion"/>
  </si>
  <si>
    <t>축하합니다!!\r\n\r\n소속 문파가 문파대전 [{1}]에서 승리하였습니다.\r\n\r\n아쉽게도 최소 대전 점수를 달성하지 못해 승리 보상이 지급되지 않습니다.</t>
    <phoneticPr fontId="1" type="noConversion"/>
  </si>
  <si>
    <t>안타깝습니다.\r\n\r\n소속 문파가 문파대전 [{1}]에서 패배했습니다.\r\n\r\n아쉽게도 최소 대전 점수를 달성하지 못해 패배 보상이 지급되지 않습니다.</t>
    <phoneticPr fontId="1" type="noConversion"/>
  </si>
  <si>
    <t>축하합니다!\r\n\r\n소속 문파가 문파대전에서 최종 승리하였습니다.\r\n뛰어난 영예에 찬사를 드립니다.\r\n\r\n아쉽게도 최소 대전 점수를 달성하지 못해 우승 보상이 지급되지 않습니다.</t>
    <phoneticPr fontId="1" type="noConversion"/>
  </si>
  <si>
    <t>축하합니다!\r\n문파대전 [{1}]에서 승리했습니다.\r\n해당 라운드에서 획득한 개인 총점은 {2}점이며, \r\n랭킹 {3}위를 달성했습니다.\r\n\r\n아쉽게도 최소 대전 점수를 달성하지 못해 개인 보상이 지급되지 않습니다.</t>
    <phoneticPr fontId="1" type="noConversion"/>
  </si>
  <si>
    <t>안타깝습니다.\r\n\r\n문파대전 [{1}]에서 패배했습니다.\r\n해당 라운드에서 획득한 개인 총점은 {2}점이며, \r\n랭킹 {3}위를 달성했습니다.\r\n\r\n아쉽게도 최소 대전 점수를 달성하지 못해 개인 보상이 지급되지 않습니다.</t>
    <phoneticPr fontId="1" type="noConversion"/>
  </si>
  <si>
    <t>축하합니다!\r\n\r\n문파대전 [{1}]에서 MVP로 선정되셨습니다.\r\n\r\n아쉽게도 최소 대전 점수를 달성하지 못해 MVP 보상이 지급되지 않습니다.</t>
    <phoneticPr fontId="1" type="noConversion"/>
  </si>
  <si>
    <t>Clan Match</t>
  </si>
  <si>
    <t>門派大戰</t>
  </si>
  <si>
    <t>门派大战</t>
  </si>
  <si>
    <t>門派大戦</t>
  </si>
  <si>
    <t>การแข่งขันแคลน</t>
  </si>
  <si>
    <t>Guerra de clanes</t>
  </si>
  <si>
    <t>Guerra de Clãs</t>
  </si>
  <si>
    <t>Defeat</t>
  </si>
  <si>
    <t>戰敗</t>
  </si>
  <si>
    <t>失败</t>
  </si>
  <si>
    <t>敗北</t>
  </si>
  <si>
    <t>แพ้</t>
  </si>
  <si>
    <t>Derrota</t>
  </si>
  <si>
    <t>Winner</t>
  </si>
  <si>
    <t>優勝</t>
  </si>
  <si>
    <t>获胜</t>
  </si>
  <si>
    <t>ชนะเลิศ</t>
  </si>
  <si>
    <t>Campeón</t>
  </si>
  <si>
    <t>Individual Reward</t>
  </si>
  <si>
    <t>個人獎勵</t>
  </si>
  <si>
    <t>个人奖励</t>
  </si>
  <si>
    <t>個人報酬</t>
  </si>
  <si>
    <t>รางวัลรายบุคคล</t>
  </si>
  <si>
    <t>Recompensa individual</t>
  </si>
  <si>
    <t>Recompensa Individual</t>
  </si>
  <si>
    <t>MVP Achieved</t>
  </si>
  <si>
    <t>達成MVP</t>
  </si>
  <si>
    <t>MVP达成</t>
  </si>
  <si>
    <t>MVP達成</t>
  </si>
  <si>
    <t>บรรลุ MVP</t>
  </si>
  <si>
    <t>Alcanzaste el MVP</t>
  </si>
  <si>
    <t>Alcançar MVP</t>
  </si>
  <si>
    <t>Congratulations!!\r\n\r\nYour clan has won the Clan Match [{1}].\r\nYour clan earned the right to advance to the next match.\r\nTo celebrate your victory, rewards will be given to all clan members.</t>
  </si>
  <si>
    <t>恭喜您！！\r\n\r\n所屬門派於門派大戰［{1}］中獲得勝利。\r\n已獲得晉級下一輪的資格。\r\n為了慶祝勝利，將會發送獎勵給所有門派成員。</t>
  </si>
  <si>
    <t>恭喜！！\r\n\r\n所属门派于门派大战【{1}】中获胜。\r\n已获得下一回合大战的入围权限。\r\n为了庆祝胜利，向所属门派的所有门派成员发放奖励。</t>
  </si>
  <si>
    <t>おめでとうございます！\r\n\r\n所属した門派が門派大戦[{1}]で勝利しました。\r\n次の大戦進出権限を獲得しました。\r\n勝利を祝して所属門派員全員に報酬を支給します。</t>
  </si>
  <si>
    <t>ขอแสดงความยินดี!!\r\n\r\nแคลนของคุณชนะการแข่งขันแคลน [{1}]\r\nคุณได้รับสิทธิ์เข้าร่วมการแข่งขันรอบถัดไป\r\nเพื่อเป็นการฉลองชัยชนะ เราได้มอบรางวัลให้กับสมาชิกแคลนทุกคน</t>
  </si>
  <si>
    <t>¡Felicidades!\r\n\r\nTu clan ha ganado en la Guerra de clanes [{1}].\r\nHas obtenido el permiso de avanzar a la siguiente ronda.\r\nLe enviaremos una recompensa a todos los miembros del clan para celebrar la victoria.</t>
  </si>
  <si>
    <t>Parabéns!!\r\n\r\nSeu clã conquistou a vitória na Guerra de Clãs [{1}].\r\nVocê obteve a qualificação para avançar para a próxima batalha.\r\nPreparamos uma recompensa para todos os membros do clã em comemoração à vitória.</t>
  </si>
  <si>
    <t>Congratulations!!\r\n\r\nYour clan has won the Clan Match [{1}].\r\n\r\nUnfortunately, you did not achieve the minimum match score, so no victory rewards will be given.</t>
  </si>
  <si>
    <t>恭喜！！\r\n\r\n所屬門派於門派大戰［{1}］中獲勝。\r\n\r\n可惜因未達到最低戰鬥分數，無法發放勝利獎勵。</t>
  </si>
  <si>
    <t>恭喜！！\r\n\r\n所属门派于门派大战【{1}】中获胜。\r\n\r\n很遗憾，因未能达到最低大战分数，无法获得胜利奖励。</t>
  </si>
  <si>
    <t>おめでとうございます！\r\n\r\n所属門派が門派大戦[{1}]で勝利しました。\r\n\r\n残念ながら、最低大戦スコアを達成できなかったため、勝利報酬は支給されません。</t>
  </si>
  <si>
    <t>ยินดีด้วย!!\r\n\r\nแคลนของคุณชนะการแข่งขันแคลน [{1}] แล้ว\r\n\r\nอย่างไรก็ตาม เนื่องจากไม่ได้คะแนนขั้นต่ำในการแข่งขัน จึงไม่ได้รับรางวัลสำหรับชัยชนะ</t>
  </si>
  <si>
    <t>¡Felicidades!\r\n\r\nTu clan ha ganado la Guerra de clanes [{1}].\r\n\r\nLamentablemente, no se ha alcanzado la puntuación mínima, por lo que no se enviará la recompensa de victoria.</t>
  </si>
  <si>
    <t>Parabéns!!\r\n\r\nSeu clã conquistou a vitória na Guerra de Clãs [{1}].\r\n\r\nInfelizmente, você não atingiu a pontuação mínima necessária para receber a recompensa de vitória.</t>
  </si>
  <si>
    <t>Congratulations!\r\n\r\nYou have been selected as the MVP in the Clan Match [{1}].\r\n\r\nUnfortunately, you did not achieve the minimum match score, so no MVP rewards will be given.</t>
  </si>
  <si>
    <t>恭喜！\r\n\r\n您於門派大戰［{1}］中被選為MVP。\r\n\r\n可惜因未達到最低戰鬥分數，無法發放MVP獎勵。</t>
  </si>
  <si>
    <t>恭喜！\r\n\r\n所属门派于门派大战【{1}】中被选为MVP。\r\n\r\n很遗憾，因未能达到最低大战分数，无法获得MVP奖励。</t>
  </si>
  <si>
    <t>おめでとうございます！\r\n\r\n門派大戦[{1}]でMVPに選ばれました。\r\n\r\n残念ながら、最低大戦スコアを達成できなかったため、MVP報酬は支給されません。</t>
  </si>
  <si>
    <t>ยินดีด้วย!\r\n\r\nคุณได้รับการคัดเลือกเป็น MVP ในการแข่งขันแคลน [{1}]\r\n\r\nอย่างไรก็ตาม เนื่องจากไม่ได้คะแนนขั้นต่ำในการแข่งขัน จึงไม่ได้รับรางวัลสำหรับ MVP</t>
  </si>
  <si>
    <t>¡Felicidades!\r\n\r\nHas sido elegido como MVP en la Guerra de clanes [{1}].\r\n\r\nLamentablemente, no se ha alcanzado la puntuación mínima, por lo que no se enviará la recompensa de MVP.</t>
  </si>
  <si>
    <t>Parabéns!\r\n\r\nVocê foi nomeado MVP na Guerra de Clãs [{1}].\r\n\r\nInfelizmente, você não atingiu a pontuação mínima necessária para receber a recompensa de MVP.</t>
  </si>
  <si>
    <t>참가 자격 획득</t>
    <phoneticPr fontId="1" type="noConversion"/>
  </si>
  <si>
    <t>Qualified for Participation</t>
    <phoneticPr fontId="1" type="noConversion"/>
  </si>
  <si>
    <t>獲得參加資格</t>
    <phoneticPr fontId="1" type="noConversion"/>
  </si>
  <si>
    <t>获得参与资格</t>
    <phoneticPr fontId="1" type="noConversion"/>
  </si>
  <si>
    <t>参加資格獲得</t>
    <phoneticPr fontId="1" type="noConversion"/>
  </si>
  <si>
    <t>รับสิทธิ์เข้ารอบ</t>
    <phoneticPr fontId="1" type="noConversion"/>
  </si>
  <si>
    <t>Apto para participar</t>
    <phoneticPr fontId="1" type="noConversion"/>
  </si>
  <si>
    <t>Qualificado para Participar</t>
    <phoneticPr fontId="1" type="noConversion"/>
  </si>
  <si>
    <t>축하합니다!!\r\n\r\n소속 문파가 문파대전 참가 자격을 획득하였습니다.</t>
    <phoneticPr fontId="1" type="noConversion"/>
  </si>
  <si>
    <t>Congratulations!!\r\n\r\nYour clan can now participate in the Clan Match.</t>
    <phoneticPr fontId="1" type="noConversion"/>
  </si>
  <si>
    <t>恭喜您！！\r\n\r\n所屬門派已獲得門派大戰參加資格。</t>
    <phoneticPr fontId="1" type="noConversion"/>
  </si>
  <si>
    <t>恭喜！！\r\n\r\n所属门派已获得门派大战参与资格。</t>
    <phoneticPr fontId="1" type="noConversion"/>
  </si>
  <si>
    <t>おめでとうございます！\r\n\r\n所属した門派が門派大戦参加資格を獲得しました。</t>
    <phoneticPr fontId="1" type="noConversion"/>
  </si>
  <si>
    <t>ขอแสดงความยินดี!!\r\n\r\nแคลนของคุณมีสิทธิ์เข้าร่วมการแข่งขันแคลนแล้ว</t>
    <phoneticPr fontId="1" type="noConversion"/>
  </si>
  <si>
    <t>¡Felicidades!\r\n\r\nTu clan es apto para participar en la Guerra de clanes.</t>
    <phoneticPr fontId="1" type="noConversion"/>
  </si>
  <si>
    <t>Parabéns!!\r\n\r\nSeu Clã obteve a qualificação para participar na Guerra de Clãs.</t>
    <phoneticPr fontId="1" type="noConversion"/>
  </si>
  <si>
    <t>We regret to inform you of this news.\r\n\r\nYour clan has been defeated in the Clan Match [{1}].\r\nAs a token of encouragement for your effort, some rewards will be given to all clan members.</t>
    <phoneticPr fontId="1" type="noConversion"/>
  </si>
  <si>
    <t>很遺憾。\r\n\r\n所屬門派於門派大戰［{1}］中戰敗。\r\n為了應援下一次挑戰，將會發送些許獎勵給所有門派成員。</t>
    <phoneticPr fontId="1" type="noConversion"/>
  </si>
  <si>
    <t>很遗憾。\r\n\r\n所属门派于门派大战【{1}】中战败。\r\n为了鼓励挑战，向所属门派的所有门派成员发放少量奖励。</t>
    <phoneticPr fontId="1" type="noConversion"/>
  </si>
  <si>
    <t>お疲れ様でした。\r\n\r\n残念ながら、所属した門派が門派大戦[{1}]で敗北しました。\r\n挑戦に対する応援の意味を込めて、所属門派員全員に所定の報酬を支給します。</t>
    <phoneticPr fontId="1" type="noConversion"/>
  </si>
  <si>
    <t>น่าเสียดาย\r\n\r\nแคลนของคุณแพ้ในการแข่งขันแคลน [{1}]\r\nเพื่อเป็นกำลังใจในการท้าทาย เราได้มอบรางวัลเล็กน้อยให้กับสมาชิกแคลนทุกคน</t>
    <phoneticPr fontId="1" type="noConversion"/>
  </si>
  <si>
    <t>Lo sentimos.\r\n\r\nTu clan ha sido derrotado en la Guerra de clanes [{1}].\r\nLe enviremos una pequeña recompensa de apoyo a todos los miembros del clan ara el próximo desafío.</t>
    <phoneticPr fontId="1" type="noConversion"/>
  </si>
  <si>
    <t>Que pena.\r\n\r\nSeu clã foi derrotado na Guerra de Clãs [{1}].\r\nPreparamos uma pequena recompensa para todos os membros do clã como forma de apoio pelo esforço.</t>
    <phoneticPr fontId="1" type="noConversion"/>
  </si>
  <si>
    <t>Congratulations!\r\n\r\nYour clan has won Clan Match and risen to become the top clan.\r\nWe applaud your outstanding honor and give you these rewards.</t>
    <phoneticPr fontId="1" type="noConversion"/>
  </si>
  <si>
    <t>恭喜您！\r\n\r\n所屬門派於門派大戰中優勝，成為最強門派。\r\n為您獻上卓越榮譽的讚揚，並發送獎勵。</t>
    <phoneticPr fontId="1" type="noConversion"/>
  </si>
  <si>
    <t>恭喜！\r\n\r\n所属门派于门派大战中获胜，荣登最强门派。\r\n恭贺您的崇高荣耀，并发放奖励。</t>
    <phoneticPr fontId="1" type="noConversion"/>
  </si>
  <si>
    <t>おめでとうございます！\r\n\r\n所属した門派が門派大戦で優勝し、最高の門派の座を獲得しました。\r\n素晴らしい栄誉に賛辞を送り、報酬を支給します。</t>
    <phoneticPr fontId="1" type="noConversion"/>
  </si>
  <si>
    <t>ขอแสดงความยินดี!\r\n\r\nแคลนของคุณชนะเลิศในการแข่งขันแคลนและได้ขึ้นเป็นแคลนที่ดีที่สุด\r\nขอแสดงความยินดีกับเกียรติยศอันยิ่งใหญ่ และมอบรางวัลให้กับคุณ</t>
    <phoneticPr fontId="1" type="noConversion"/>
  </si>
  <si>
    <t>¡Felicidades!\r\n\r\nTu clan ha ganado la Guerra de clanes y ha sido coronado como el mejor clan.\r\nTe enviaremos una recompensa en reconocimiento de este gran honor.</t>
    <phoneticPr fontId="1" type="noConversion"/>
  </si>
  <si>
    <t>Parabéns!\r\n\r\nSeu clã conquistou a vitória na Guerra de Clãs e ascendeu como o melhor clã.\r\nSaudamos a sua grande glória e oferecemos uma recompensa.</t>
    <phoneticPr fontId="1" type="noConversion"/>
  </si>
  <si>
    <t>Congratulations!\r\n\r\nYour clan won the Clan Match [{1}].\r\nYour total individual score for this round is {2} point(s),\r\nand you are ranked #{3}.</t>
    <phoneticPr fontId="1" type="noConversion"/>
  </si>
  <si>
    <t>恭喜您！\r\n\r\n您於門派大戰［{1}］中獲得勝利。\r\n本回合獲得的個人總分為{2}分，\r\n排位達成第{3}名。</t>
    <phoneticPr fontId="1" type="noConversion"/>
  </si>
  <si>
    <t>恭喜！\r\n\r\n所属门派于门派大战【{1}】中获胜。\r\n在本回合获得的个人总分为{2}分，\r\n排位达到第{3}名。</t>
    <phoneticPr fontId="1" type="noConversion"/>
  </si>
  <si>
    <t>おめでとうございます！\r\n\r\n門派大戦[{1}]で勝利しました。\r\nこのラウンドで獲得した個人スコアは合計{2}点で、\r\nランキング{3}位を達成しました。</t>
    <phoneticPr fontId="1" type="noConversion"/>
  </si>
  <si>
    <t>ขอแสดงความยินดี!\r\n\r\nคุณชนะการแข่งขันแคลน [{1}]\r\nคะแนนรวมส่วนตัวของคุณสำหรับรอบนี้คือ {2} คะแนน,\r\nและคุณอยู่ในอันดับที่ #{3}</t>
    <phoneticPr fontId="1" type="noConversion"/>
  </si>
  <si>
    <t>¡Felicidades!\r\n\r\nHas ganado en la Guerra de clanes [{1}].\r\nLos puntos totales obtenidos en esta ronda son {2} puntos.\r\nHas alcanzado el {3}.° puesto en la clasificación.</t>
    <phoneticPr fontId="1" type="noConversion"/>
  </si>
  <si>
    <t>Parabéns!\r\n\r\nVocê conquistou a vitória na Guerra de Clãs [{1}].\r\nA sua pontuação pessoal total para esta rodada foi de {2} pontos,\r\ne ficou classificado em n.º {3}.</t>
    <phoneticPr fontId="1" type="noConversion"/>
  </si>
  <si>
    <t>We regret to inform you of this news.\r\n\r\nYour clan has lost the Clan Match [{1}].\r\nYour total individual score for this round is {2} point(s),\r\nand you are ranked #{3}.</t>
    <phoneticPr fontId="1" type="noConversion"/>
  </si>
  <si>
    <t>很遺憾。\r\n\r\n您於門派大戰［{1}］中戰敗。\r\n本回合獲得的個人總分為{2}分，\r\n排位達成第{3}名。</t>
    <phoneticPr fontId="1" type="noConversion"/>
  </si>
  <si>
    <t>很遗憾。\r\n\r\n所属门派于门派大战【{1}】中战败。\r\n在本回合获得的个人总分为{2}分，\r\n排位达到第{3}名。</t>
    <phoneticPr fontId="1" type="noConversion"/>
  </si>
  <si>
    <t>お疲れ様でした。\r\n\r\n残念ながら門派大戦[{1}]で敗北しました。\r\nこのラウンドで獲得した個人スコアは合計{2}点で、\r\nランキング{3}位を達成しました。</t>
    <phoneticPr fontId="1" type="noConversion"/>
  </si>
  <si>
    <t>น่าเสียดาย\r\n\r\nคุณแพ้ในการแข่งขันแคลน [{1}]\r\nคะแนนรวมส่วนตัวของคุณสำหรับรอบนี้คือ {2} คะแนน,\r\nและคุณอยู่ในอันดับที่ #{3}</t>
    <phoneticPr fontId="1" type="noConversion"/>
  </si>
  <si>
    <t>Lo sentimos.\r\n\r\nHas sido derrotado en la Guerra de clanes [{1}].\r\nLos puntos totales obtenidos en esta ronda son {2} puntos.\r\nHas alcanzado el {3}.° puesto en la clasificación.</t>
    <phoneticPr fontId="1" type="noConversion"/>
  </si>
  <si>
    <t>Que pena.\r\n\r\nVocê foi derrotado na Guerra de Clãs [{1}].\r\nA sua pontuação pessoal total para esta rodada foi de {2} pontos,\r\ne ficou classificado em n.º {3}.</t>
    <phoneticPr fontId="1" type="noConversion"/>
  </si>
  <si>
    <t>Congratulations!\r\n\r\nYou have been selected as the MVP in the Clan Match [{1}].\r\nTo applaud your excellent gameplay, we give you these rewards.</t>
    <phoneticPr fontId="1" type="noConversion"/>
  </si>
  <si>
    <t>恭喜！\r\n\r\n您於門派大戰［{1}］中被選為MVP。\r\n為您獻上最佳戰鬥的讚揚，並發送獎勵。</t>
    <phoneticPr fontId="1" type="noConversion"/>
  </si>
  <si>
    <t>恭喜！\r\n\r\n所属门派于门派大战【{1}】中被选为MVP。\r\n向出色的表现奉上赞赏，并发放奖励。</t>
    <phoneticPr fontId="1" type="noConversion"/>
  </si>
  <si>
    <t>おめでとうございます！\r\n\r\n門派大戦[{1}]でMVPに選ばれました。\r\n最高のプレイを褒め称えながら、報酬を支給します。</t>
    <phoneticPr fontId="1" type="noConversion"/>
  </si>
  <si>
    <t>ยินดีด้วย!\r\n\r\nคุณได้รับการคัดเลือกเป็น MVP ในการแข่งขันแคลน [{1}]\r\nขอชื่นชมในฝีมือการเล่นที่ยอดเยี่ยมและมอบรางวัลให้กับคุณ</t>
    <phoneticPr fontId="1" type="noConversion"/>
  </si>
  <si>
    <t>¡Felicidades!\r\n\r\nHas sido elegido como MVP en la Guerra de clanes [{1}].\r\nFelicidades por ser el mejor de los jugadores, te enviaremos una recompensa.</t>
    <phoneticPr fontId="1" type="noConversion"/>
  </si>
  <si>
    <t>Parabéns!\r\n\r\nVocê foi nomeado MVP na Guerra de Clãs [{1}].\r\nSaudamos o melhor jogador e oferecemos uma recompensa.</t>
    <phoneticPr fontId="1" type="noConversion"/>
  </si>
  <si>
    <t>We regret to inform you of this news.\r\n\r\nYour clan has been defeated in the Clan Match [{1}].\r\n\r\nUnfortunately, you did not achieve the minimum match score, so no defeat rewards will be given.</t>
    <phoneticPr fontId="1" type="noConversion"/>
  </si>
  <si>
    <t>很遺憾。\r\n\r\n所屬門派於門派大戰［{1}］中戰敗。\r\n\r\n可惜因未達到最低戰鬥分數，無法發放失敗獎勵。</t>
    <phoneticPr fontId="1" type="noConversion"/>
  </si>
  <si>
    <t>很遗憾。\r\n\r\n所属门派于门派大战【{1}】中战败。\r\n\r\n很遗憾，因未能达到最低大战分数，无法获得失败奖励。</t>
    <phoneticPr fontId="1" type="noConversion"/>
  </si>
  <si>
    <t>お疲れ様でした。\r\n\r\n所属門派が門派大戦[{1}]で敗北しました。\r\n\r\n残念ながら、最低大戦スコアを達成できなかったため、敗北報酬は支給されません。</t>
    <phoneticPr fontId="1" type="noConversion"/>
  </si>
  <si>
    <t>น่าเสียดาย\r\n\r\nแคลนของคุณพ่ายแพ้ในการแข่งขันแคลน [{1}]\r\n\r\nอย่างไรก็ตาม เนื่องจากไม่ได้คะแนนขั้นต่ำในการแข่งขัน จึงไม่ได้รับรางวัลสำหรับการพ่ายแพ้</t>
    <phoneticPr fontId="1" type="noConversion"/>
  </si>
  <si>
    <t>Lo sentimos.\r\n\r\nTu clan ha sido derrotado en la Guerra de clanes [{1}].\r\n\r\nLamentablemente, no se ha alcanzado la puntuación mínima, por lo que no se enviará la recompensa de derrota.</t>
    <phoneticPr fontId="1" type="noConversion"/>
  </si>
  <si>
    <t>Que pena.\r\n\r\nSeu clã foi derrotado na Guerra de Clãs [{1}].\r\n\r\nInfelizmente, você não atingiu a pontuação mínima necessária para receber a recompensa de derrota.</t>
    <phoneticPr fontId="1" type="noConversion"/>
  </si>
  <si>
    <t>Congratulations!\r\n\r\nYour clan has become the final winner of Clan Match.\r\nWe applaud your outstanding honor.\r\n\r\nUnfortunately, you did not achieve the minimum match score, so no victory rewards will be given.</t>
    <phoneticPr fontId="1" type="noConversion"/>
  </si>
  <si>
    <t>恭喜！\r\n\r\n所屬門派於門派大戰中最終獲勝。\r\n為您獻上卓越榮譽的讚揚。\r\n\r\n可惜因未達到最低戰鬥分數，無法發放優勝獎勵。</t>
    <phoneticPr fontId="1" type="noConversion"/>
  </si>
  <si>
    <t>恭喜！\r\n\r\n所属门派在门派大战中获得了最终胜利。\r\n恭贺您的崇高荣耀。\r\n\r\n很遗憾，因未能达到最低大战分数，无法获得胜利奖励。</t>
    <phoneticPr fontId="1" type="noConversion"/>
  </si>
  <si>
    <t>おめでとうございます！\r\n\r\n所属門派が門派大戦で最終勝利しました。\r\n素晴らしい栄誉に称賛を送ります。\r\n\r\n残念ながら、最低大戦スコアを達成できなかったため、優勝報酬は支給されません。</t>
    <phoneticPr fontId="1" type="noConversion"/>
  </si>
  <si>
    <t>ยินดีด้วย!\r\n\r\nแคลนของคุณชนะการแข่งขันแคลนในที่สุด\r\nขอชื่นชมในเกียรติยศอันยอดเยี่ยมของคุณ\r\n\r\nอย่างไรก็ตาม เนื่องจากไม่ได้คะแนนขั้นต่ำในการแข่งขัน จึงไม่ได้รับรางวัลสำหรับการชนะ</t>
    <phoneticPr fontId="1" type="noConversion"/>
  </si>
  <si>
    <t>¡Felicidades!\r\n\r\nTu clan ha obtenido la victoria final en la Guerra de clanes.\r\nTe felicitamos por este gran honor.\r\n\r\nLamentablemente, no se ha alcanzado la puntuación mínima, por lo que no se enviará la recompensa de victoria.</t>
    <phoneticPr fontId="1" type="noConversion"/>
  </si>
  <si>
    <t>Parabéns!\r\n\r\nSeu clã conquistou a vitória final na Guerra de Clãs.\r\nSaudamos a sua grande glória.\r\n\r\nInfelizmente, você não atingiu a pontuação mínima necessária para receber a recompensa de vitória.</t>
    <phoneticPr fontId="1" type="noConversion"/>
  </si>
  <si>
    <t>Congratulations!\r\nYou won the Clan Match [{1}].\r\nYour total individual score for this round is {2} point(s),\r\nand you are ranked #{3}.\r\n\r\nUnfortunately, you did not achieve the minimum match score, so no individual rewards will be given.</t>
    <phoneticPr fontId="1" type="noConversion"/>
  </si>
  <si>
    <t>恭喜您！\r\n您於門派大戰［{1}］中獲得勝利。\r\n本回合獲得的個人總分為{2}分，\r\n排位達成第{3}名。\r\n\r\n可惜因未達到最低戰鬥分數，無法發放個人獎勵。</t>
    <phoneticPr fontId="1" type="noConversion"/>
  </si>
  <si>
    <t>恭喜！\r\n所属门派于门派大战【{1}】中获胜。\r\n在本回合获得的个人总分为{2}分，\r\n排位达到第{3}名。\r\n\r\n很遗憾，因未能达到最低大战分数，无法获得个人奖励。</t>
    <phoneticPr fontId="1" type="noConversion"/>
  </si>
  <si>
    <t>おめでとうございます！\r\n門派大戦[{1}]で勝利しました。\r\nこのラウンドで獲得した個人スコアは合計{2}点で、\r\nランキング{3}位を達成しました。\r\n\r\n残念ながら、最低大戦スコアを達成できなかったため、個人報酬は支給されません。</t>
    <phoneticPr fontId="1" type="noConversion"/>
  </si>
  <si>
    <t>ขอแสดงความยินดี!\r\nคุณชนะการแข่งขันแคลน [{1}]\r\nคะแนนรวมส่วนตัวของคุณสำหรับรอบนี้คือ {2} คะแนน,\r\nและคุณอยู่ในอันดับที่ #{3}\r\n\r\nอย่างไรก็ตาม เนื่องจากไม่ได้คะแนนขั้นต่ำในการแข่งขัน จึงไม่ได้รับรางวัลส่วนตัว</t>
    <phoneticPr fontId="1" type="noConversion"/>
  </si>
  <si>
    <t>¡Felicidades!\r\nHas ganado en la Guerra de clanes [{1}].\r\nLos puntos totales obtenidos en esta ronda son {2} puntos.\r\nHas alcanzado el {3}.° puesto en la clasificación.\r\n\r\nLamentablemente, no se ha alcanzado la puntuación mínima, por lo que no se enviará la recompensa individual.</t>
    <phoneticPr fontId="1" type="noConversion"/>
  </si>
  <si>
    <t>Parabéns!\r\nVocê conquistou a vitória na Guerra de Clãs [{1}].\r\nA sua pontuação pessoal total para esta rodada foi de {2} pontos,\r\ne ficou classificado em n.º {3}.\r\n\r\nInfelizmente, você não atingiu a pontuação mínima necessária para receber a recompensa individual.</t>
    <phoneticPr fontId="1" type="noConversion"/>
  </si>
  <si>
    <t>We regret to inform you of this news.\r\n\r\nYour clan has been defeated in the Clan Match [{1}].\r\nYour total individual score for this round is {2} point(s),\r\nand you are ranked #{3}.\r\n\r\nUnfortunately, you did not achieve the minimum match score, so no individual rewards will be given.</t>
    <phoneticPr fontId="1" type="noConversion"/>
  </si>
  <si>
    <t>很遺憾。\r\n\r\n您在門派大戰［{1}］中戰敗。\r\n本回合獲得的個人總分為{2}分，\r\n排位達成第{3}名。\r\n\r\n可惜因未達到最低戰鬥分數，無法發放個人獎勵。</t>
    <phoneticPr fontId="1" type="noConversion"/>
  </si>
  <si>
    <t>很遗憾。\r\n\r\n所属门派于门派大战【{1}】中战败。\r\n在本回合获得的个人总分为{2}分，\r\n排位达到第{3}名。\r\n\r\n很遗憾，因未能达到最低大战分数，无法获得个人奖励。</t>
    <phoneticPr fontId="1" type="noConversion"/>
  </si>
  <si>
    <t>お疲れ様でした。\r\n\r\n門派大戦[{1}]で敗北しました。\r\nこのラウンドで獲得した個人スコアは合計{2}点で、\r\nランキング{3}位を達成しました。\r\n\r\n残念ながら、最低大戦スコアを達成できなかったため、個人報酬は支給されません。</t>
    <phoneticPr fontId="1" type="noConversion"/>
  </si>
  <si>
    <t>น่าเสียดาย\r\n\r\nแคลนของคุณพ่ายแพ้ในการแข่งขันแคลน [{1}]\r\nคะแนนรวมส่วนตัวของคุณสำหรับรอบนี้คือ {2} คะแนน,\r\nและคุณอยู่ในอันดับที่ #{3}\r\n\r\nอย่างไรก็ตาม เนื่องจากไม่ได้คะแนนขั้นต่ำในการแข่งขัน จึงไม่ได้รับรางวัลส่วนตัว</t>
    <phoneticPr fontId="1" type="noConversion"/>
  </si>
  <si>
    <t>Lo sentimos.\r\n\r\nHas sido derrotado en la Guerra de clanes [{1}].\r\nLos puntos totales obtenidos en esta ronda son {2} puntos.\r\nHas alcanzado el {3}.° puesto en la clasificación.\r\n\r\nLamentablemente, no se ha alcanzado la puntuación mínima, por lo que no se enviará la recompensa individual.</t>
    <phoneticPr fontId="1" type="noConversion"/>
  </si>
  <si>
    <t>Que pena.\r\n\r\nVocê foi derrotado na Guerra de Clãs [{1}].\r\nA sua pontuação pessoal total para esta rodada foi de {2} pontos,\r\ne ficou classificado em n.º {3}.\r\n\r\nInfelizmente, você não atingiu a pontuação mínima necessária para receber a recompensa individual.</t>
    <phoneticPr fontId="1" type="noConversion"/>
  </si>
  <si>
    <t>緝捕了指名通緝犯。</t>
    <phoneticPr fontId="1" type="noConversion"/>
  </si>
  <si>
    <t>缉捕了指名通缉犯。</t>
    <phoneticPr fontId="1" type="noConversion"/>
  </si>
  <si>
    <t>指名手配犯を検挙しました。</t>
    <phoneticPr fontId="1" type="noConversion"/>
  </si>
  <si>
    <t>คุณจับอาชญากรค่าหัวได้แล้ว</t>
    <phoneticPr fontId="1" type="noConversion"/>
  </si>
  <si>
    <t>Has capturado al delincuente buscado.</t>
    <phoneticPr fontId="1" type="noConversion"/>
  </si>
  <si>
    <t>Capturou um Criminoso Procurado.</t>
    <phoneticPr fontId="1" type="noConversion"/>
  </si>
  <si>
    <t>You have caught Wanted Criminal {1}.\r\n\r\nHere is your reward in appreciation for your efforts.\r\n\r\nThank you.</t>
    <phoneticPr fontId="1" type="noConversion"/>
  </si>
  <si>
    <t>成功緝捕指名通緝犯{1}。\r\n\r\n為表對閣下辛苦付出的感謝，將送上獎勵。\r\n\r\n謝謝。</t>
    <phoneticPr fontId="1" type="noConversion"/>
  </si>
  <si>
    <t>成功缉捕指名通缉犯{1}。\r\n\r\n为表达对阁下辛苦付出的感谢，特此送上奖励。\r\n\r\n谢谢。</t>
    <phoneticPr fontId="1" type="noConversion"/>
  </si>
  <si>
    <t>指名手配犯{1}さんを検挙しました。\r\n\r\n取り組みへのお礼を兼ね、報酬を支給します。</t>
    <phoneticPr fontId="1" type="noConversion"/>
  </si>
  <si>
    <t>คุณจับตัวอาชญากรค่าหัว {1} ได้\r\n\r\nนี่คือรางวัลสำหรับความพยายามของคุณ\r\n\r\nขอขอบคุณ</t>
    <phoneticPr fontId="1" type="noConversion"/>
  </si>
  <si>
    <t>Has capturado al delincuente buscado {1}\r\n\r\nAquí tienes tu recompensa en agradecimiento por tus esfuerzos.\r\n\r\nGracias.</t>
    <phoneticPr fontId="1" type="noConversion"/>
  </si>
  <si>
    <t>Capturou o Criminoso Procurado {1}\r\n\r\nAqui está a sua recompensa como agradecimento pelos seus esforços.\r\n\r\nObrigado.</t>
    <phoneticPr fontId="1" type="noConversion"/>
  </si>
  <si>
    <t>2024.11.26</t>
    <phoneticPr fontId="1" type="noConversion"/>
  </si>
  <si>
    <t>요청하신 DRACO 제련에 성공하였습니다.\r\n\r\n제련 요청 수량 : {1} 개\r\n제련 비용 : {2} 흑철\r\n\r\n제련한 DRACO는 WEMIX PLAY에서 확인하실 수 있습니다.\r\n\r\n감사합니다.</t>
    <phoneticPr fontId="1" type="noConversion"/>
  </si>
  <si>
    <t>The requested DRACO smelting was successful.\r\n\r\nRequested Smelting Amount: {1}\r\nSmelting Cost: {2} Darksteel\r\n\r\nYou can check the smelted DRACO in WEMIX PLAY.\r\n\r\nThank you.</t>
    <phoneticPr fontId="1" type="noConversion"/>
  </si>
  <si>
    <t>요청하신 HYDRA 정제에 성공하였습니다.\r\n\r\n정제 요청 수량 : {1} 개\r\n정제 비용 : DRACO {2} 개, Septaria {3} 개\r\n\r\n정제한 HYDRA는 WEMIX PLAY에서 확인하실 수 있습니다.\r\n\r\n감사합니다.</t>
    <phoneticPr fontId="1" type="noConversion"/>
  </si>
  <si>
    <t>The requested HYDRA refining was successful.\r\n\r\nRequested Refining Amount: {1}\r\nRefining Cost: {2} DRACO, {3} Septaria\r\n\r\nYou can check the refined HYDRA in WEMIX PLAY.\r\n\r\nThank you.</t>
    <phoneticPr fontId="1" type="noConversion"/>
  </si>
  <si>
    <t>您所請求的DRACO冶煉已成功。\r\n\r\n冶煉要求數量：{1}個\r\n冶煉費用：{2}黑鐵\r\n\r\n冶煉的DRACO在WEMIX PLAY內可以確認。\r\n\r\n謝謝。</t>
    <phoneticPr fontId="1" type="noConversion"/>
  </si>
  <si>
    <t>请求的DRACO冶炼成功。\r\n\r\n冶炼请求数量：{1}个\r\n冶炼费用：{2}黑铁\r\n\r\n制造的DRACO可以在WEMIX PLAY进行确认。\r\n\r\n谢谢。</t>
    <phoneticPr fontId="1" type="noConversion"/>
  </si>
  <si>
    <t>DRACO製錬に成功しました。\r\n\r\n製錬要請数量：{1}個\r\n製錬費用：黒鉄{2}\r\n\r\n製錬されたDRACOはWEMIX PLAYでご確認いただけます。\r\n\r\nご利用ありがとうございます。</t>
    <phoneticPr fontId="1" type="noConversion"/>
  </si>
  <si>
    <t>การใช้ DRACO ที่ร้องขอสำเร็จแล้ว\r\n\r\nจำนวนการหลอมที่ขอ: {1}\r\nค่าใช้จ่ายในการหลอม: {2} เหล็กดำ\r\n\r\nคุณสามารถตรวจสอบ DRACO ที่หลอมเหลวได้ใน WEMIX PLAY\r\n\r\nขอบคุณ</t>
    <phoneticPr fontId="1" type="noConversion"/>
  </si>
  <si>
    <t>La fundición de DRACO que solicitaste ha sido exitosa.\r\n\r\nCantidad solicitada para fundición: {1}\r\nCosto de fundición: Acero oscuro x{2}\r\n\r\nEl DRACO fundido se puede verificar en WEMIX PLAY.\r\n\r\nGracias.</t>
    <phoneticPr fontId="1" type="noConversion"/>
  </si>
  <si>
    <t>A fundição de DRACO solicitada foi bem-sucedida.\r\n\r\nQuantidade de Fundição Solicitada: {1}\r\nCusto de Fundição: {2} Aço Negro\r\n\r\nVocê pode verificar o DRACO fundido em WEMIX PLAY.\r\n\r\nObrigado.</t>
    <phoneticPr fontId="1" type="noConversion"/>
  </si>
  <si>
    <t>您所請求的HYDRA精製已成功。\r\n\r\n請求的精製數量：{1}個\r\n精製費用：{2}個DRACO、{3}個Septaria\r\n\r\n精製的HYDRA可於WEMIX PLAY中確認。\r\n\r\n謝謝。</t>
    <phoneticPr fontId="1" type="noConversion"/>
  </si>
  <si>
    <t>请求的HYDRA精制成功。\r\n\r\n精制请求数量：{1}个\r\n精制费用：{2}个DRACO，{3}个Septaria\r\n\r\n精制的HYDRA可以在WEMIX PLAY进行确认。\r\n\r\n谢谢。</t>
    <phoneticPr fontId="1" type="noConversion"/>
  </si>
  <si>
    <t>HYDRA精製に成功しました。\r\n\r\n精製要請数量：{1}個\r\n精製費用：DRACO{2}個、Septaria{3}個\r\n\r\n精製されたHYDRAはWEMIX PLAYでご確認いただけます。\r\n\r\nご利用ありがとうございます。</t>
    <phoneticPr fontId="1" type="noConversion"/>
  </si>
  <si>
    <t>การกลั่น HYDRA ที่ร้องขอสำเร็จแล้ว\r\n\r\nจำนวนการกลั่นที่ขอ: {1} ชิ้น\r\nค่าใช้จ่ายในการกลั่น: {2} DRACO, {3} Septaria\r\n\r\nสามารถตรวจสอบ HYDRA ที่กลั่นแล้วได้ที่ WEMIX PLAY\r\n\r\nขอบคุณ</t>
    <phoneticPr fontId="1" type="noConversion"/>
  </si>
  <si>
    <t>El refinamiento de HYDRA que solicitaste ha sido exitoso.\r\n\r\nCantidad solicitada para refinamiento: {1}\r\nCosto de refinamiento: DRACO x{2}, Septaria x{3}\r\n\r\nEl HYDRA refinado se puede verificar en WEMIX PLAY.\r\n\r\nGracias.</t>
    <phoneticPr fontId="1" type="noConversion"/>
  </si>
  <si>
    <t>O refino de HYDRA solicitado foi bem-sucedido.\r\n\r\nQuantidade de refino solicitado: x{1}\r\nCusto de refino: DRACO x{2} e Septaria x{3}\r\n\r\nA HYDRA refinada pode ser verificada em WEMIX PLAY.\r\n\r\nObrigado.</t>
    <phoneticPr fontId="1" type="noConversion"/>
  </si>
  <si>
    <t>상자 교환 성공</t>
    <phoneticPr fontId="1" type="noConversion"/>
  </si>
  <si>
    <t>전투력 랭킹 보상이 지급되었습니다.</t>
    <phoneticPr fontId="1" type="noConversion"/>
  </si>
  <si>
    <t>축하합니다!\r\n전투력 랭킹을 달성하여 보상을 보내드립니다.\r\n랭킹 보상 구간 : 1위\r\n\r\n뛰어난 영예에 찬사를 드리며, 보상을 지급해 드립니다.\r\n\r\n감사합니다.</t>
    <phoneticPr fontId="1" type="noConversion"/>
  </si>
  <si>
    <t>요청하신 {1} 교환에 성공 하였습니다.\r\n\r\n교환 요청 수량 : {2} 개\r\n교환 비용 : EXDRA1 : {3}개\r\n\r\n감사합니다.</t>
    <phoneticPr fontId="1" type="noConversion"/>
  </si>
  <si>
    <t>{1} 교환에 성공하였습니다.</t>
    <phoneticPr fontId="1" type="noConversion"/>
  </si>
  <si>
    <t>Exchanged {1} successfully.</t>
    <phoneticPr fontId="1" type="noConversion"/>
  </si>
  <si>
    <t>{1}交換已成功。</t>
    <phoneticPr fontId="1" type="noConversion"/>
  </si>
  <si>
    <t>{1}交换成功。</t>
    <phoneticPr fontId="1" type="noConversion"/>
  </si>
  <si>
    <t>{1}交換に成功しました。</t>
    <phoneticPr fontId="1" type="noConversion"/>
  </si>
  <si>
    <t>แลกเปลี่ยน{1}สำเร็จแล้ว</t>
    <phoneticPr fontId="1" type="noConversion"/>
  </si>
  <si>
    <t>{1} se ha intercambiado con éxito.</t>
    <phoneticPr fontId="1" type="noConversion"/>
  </si>
  <si>
    <t>Troca de {1} bem-sucedida.</t>
    <phoneticPr fontId="1" type="noConversion"/>
  </si>
  <si>
    <t>Box Exchange Success</t>
    <phoneticPr fontId="1" type="noConversion"/>
  </si>
  <si>
    <t>축하합니다!\r\n전투력 랭킹을 달성하여 보상을 보내드립니다.\r\n랭킹 보상 구간 : 2위\r\n\r\n뛰어난 영예에 찬사를 드리며, 보상을 지급해 드립니다.\r\n\r\n감사합니다.</t>
    <phoneticPr fontId="1" type="noConversion"/>
  </si>
  <si>
    <t>축하합니다!\r\n전투력 랭킹을 달성하여 보상을 보내드립니다.\r\n랭킹 보상 구간 : 3~5위\r\n\r\n뛰어난 영예에 찬사를 드리며, 보상을 지급해 드립니다.\r\n\r\n감사합니다.</t>
    <phoneticPr fontId="1" type="noConversion"/>
  </si>
  <si>
    <t>축하합니다!\r\n전투력 랭킹을 달성하여 보상을 보내드립니다.\r\n랭킹 보상 구간 : 6~10위\r\n\r\n뛰어난 영예에 찬사를 드리며, 보상을 지급해 드립니다.\r\n\r\n감사합니다.</t>
    <phoneticPr fontId="1" type="noConversion"/>
  </si>
  <si>
    <t>축하합니다!\r\n전투력 랭킹을 달성하여 보상을 보내드립니다.\r\n랭킹 보상 구간 : 11~50위\r\n\r\n뛰어난 영예에 찬사를 드리며, 보상을 지급해 드립니다.\r\n\r\n감사합니다.</t>
    <phoneticPr fontId="1" type="noConversion"/>
  </si>
  <si>
    <t>축하합니다!\r\n전투력 랭킹을 달성하여 보상을 보내드립니다.\r\n랭킹 보상 구간 : 51~100위\r\n\r\n뛰어난 영예에 찬사를 드리며, 보상을 지급해 드립니다.\r\n\r\n감사합니다.</t>
    <phoneticPr fontId="1" type="noConversion"/>
  </si>
  <si>
    <t>축하합니다!\r\n전투력 랭킹을 달성하여 보상을 보내드립니다.\r\n랭킹 보상 구간 : 101~500위\r\n\r\n뛰어난 영예에 찬사를 드리며, 보상을 지급해 드립니다.\r\n\r\n감사합니다.</t>
    <phoneticPr fontId="1" type="noConversion"/>
  </si>
  <si>
    <t>축하합니다!\r\n전투력 랭킹을 달성하여 보상을 보내드립니다.\r\n랭킹 보상 구간 : 501~1000위\r\n\r\n뛰어난 영예에 찬사를 드리며, 보상을 지급해 드립니다.\r\n\r\n감사합니다.</t>
    <phoneticPr fontId="1" type="noConversion"/>
  </si>
  <si>
    <t>축하합니다!\r\n전투력 랭킹을 달성하여 보상을 보내드립니다.\r\n랭킹 보상 구간 : 1001~5000위\r\n\r\n뛰어난 영예에 찬사를 드리며, 보상을 지급해 드립니다.\r\n\r\n감사합니다.</t>
    <phoneticPr fontId="1" type="noConversion"/>
  </si>
  <si>
    <t>축하합니다!\r\n전투력 랭킹을 달성하여 보상을 보내드립니다.\r\n랭킹 보상 구간 : 5001~10000위\r\n\r\n뛰어난 영예에 찬사를 드리며, 보상을 지급해 드립니다.\r\n\r\n감사합니다.</t>
    <phoneticPr fontId="1" type="noConversion"/>
  </si>
  <si>
    <t>EXDRA1 제작 성공</t>
    <phoneticPr fontId="1" type="noConversion"/>
  </si>
  <si>
    <t>EXDRA1 제작 실패</t>
    <phoneticPr fontId="1" type="noConversion"/>
  </si>
  <si>
    <t>EXDRA1 제작에 성공하였습니다.</t>
    <phoneticPr fontId="1" type="noConversion"/>
  </si>
  <si>
    <t>EXDRA1 제작에 실패하였습니다.</t>
    <phoneticPr fontId="1" type="noConversion"/>
  </si>
  <si>
    <t>요청하신 EXDRA1 제작에 성공하였습니다.\r\n\r\n제작 요청 수량 : {1} 개\r\n제작 비용 : 운철 {2} 개, 붉은 귀갑석 {3} 개\r\n\r\n제작한 EXDRA1은 WEMIX PLAY에서 확인하실 수 있습니다.\r\n\r\n감사합니다.</t>
    <phoneticPr fontId="1" type="noConversion"/>
  </si>
  <si>
    <t>요청하신 EXDRA1 제작에 실패하였습니다.\r\n\r\n제작 요청 수량 : {1} 개\r\n제작 비용 : 운철 {2} 개, 붉은 귀갑석 {3} 개\r\n\r\n제작에 실패한 재료는 다시 반환하여 드립니다.\r\n\r\n감사합니다.</t>
    <phoneticPr fontId="1" type="noConversion"/>
  </si>
  <si>
    <t>箱子交換成功</t>
    <phoneticPr fontId="1" type="noConversion"/>
  </si>
  <si>
    <t>箱子交换成功</t>
    <phoneticPr fontId="1" type="noConversion"/>
  </si>
  <si>
    <t>箱交換成功</t>
    <phoneticPr fontId="1" type="noConversion"/>
  </si>
  <si>
    <t>แลกเปลี่ยนกล่องสำเร็จ</t>
    <phoneticPr fontId="1" type="noConversion"/>
  </si>
  <si>
    <t>Éxito del intercambio de caja</t>
    <phoneticPr fontId="1" type="noConversion"/>
  </si>
  <si>
    <t>Sucesso da Troca de Caixa</t>
    <phoneticPr fontId="1" type="noConversion"/>
  </si>
  <si>
    <t>Ranking Reward</t>
    <phoneticPr fontId="1" type="noConversion"/>
  </si>
  <si>
    <t>排位獎勵</t>
    <phoneticPr fontId="1" type="noConversion"/>
  </si>
  <si>
    <t>排位奖励</t>
    <phoneticPr fontId="1" type="noConversion"/>
  </si>
  <si>
    <t>ランキング報酬</t>
    <phoneticPr fontId="1" type="noConversion"/>
  </si>
  <si>
    <t>รางวัลอันดับ</t>
    <phoneticPr fontId="1" type="noConversion"/>
  </si>
  <si>
    <t>Recompensas de clasificación</t>
    <phoneticPr fontId="1" type="noConversion"/>
  </si>
  <si>
    <t>Recompensa de Classificação</t>
    <phoneticPr fontId="1" type="noConversion"/>
  </si>
  <si>
    <t>The Power Score ranking reward has been sent.</t>
    <phoneticPr fontId="1" type="noConversion"/>
  </si>
  <si>
    <t>已發放戰鬥力排位獎勵。</t>
    <phoneticPr fontId="1" type="noConversion"/>
  </si>
  <si>
    <t>已发放战斗力排位奖励。</t>
    <phoneticPr fontId="1" type="noConversion"/>
  </si>
  <si>
    <t>戦闘力ランキング報酬が支給されました。</t>
    <phoneticPr fontId="1" type="noConversion"/>
  </si>
  <si>
    <t>คุณได้รับรางวัลอันดับแต้มพลัง</t>
    <phoneticPr fontId="1" type="noConversion"/>
  </si>
  <si>
    <t>Has recibido una recompensa de clasificación de poder de combate.</t>
    <phoneticPr fontId="1" type="noConversion"/>
  </si>
  <si>
    <t>Congratulations!\r\nHere is your reward for achieving the Power Score ranking.\r\nRanking Reward: 1st Place\r\n\r\nWe commend you for your outstanding honor and give you the reward.\r\n\r\nThank you.</t>
    <phoneticPr fontId="1" type="noConversion"/>
  </si>
  <si>
    <t>恭喜您！\r\n戰鬥力排位達成，特此送上獎勵。\r\n排位獎勵區間：第1名\r\n\r\n為您獻上卓越榮譽的讚揚，並發送獎勵。\r\n\r\n謝謝。</t>
    <phoneticPr fontId="1" type="noConversion"/>
  </si>
  <si>
    <t>恭喜！\r\n已入围战斗力排位，发放奖励。\r\n排位奖励范围：第1名\r\n\r\n恭贺您的崇高荣耀，并发放奖励。\r\n\r\n谢谢。</t>
    <phoneticPr fontId="1" type="noConversion"/>
  </si>
  <si>
    <t>おめでとうございます！\r\n戦闘力ランキングを達成したので、報酬をお送りします。\r\nランキング報酬区間：1位\r\n\r\n素晴らしい栄誉に賛辞を送り、報酬を支給します。\r\n\r\nありがとうございます。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</si>
  <si>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1\r\n\r\nขอชื่นชมในเกียรติยศอันยอดเยี่ยมของคุณ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</si>
  <si>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1.° lugar\r\n\r\nTe felicitamos por este gran honor y te otorgamos la recompensa.\r\n\r\nGracias.</t>
    <phoneticPr fontId="1" type="noConversion"/>
  </si>
  <si>
    <t>Congratulations!\r\nHere is your reward for achieving the Power Score ranking.\r\nRanking Reward: 2nd Place\r\n\r\nWe commend you for your outstanding honor and give you the reward.\r\n\r\nThank you.</t>
    <phoneticPr fontId="1" type="noConversion"/>
  </si>
  <si>
    <t>恭喜您！\r\n戰鬥力排位達成，特此送上獎勵。\r\n排位獎勵區間：第2名\r\n\r\n為您獻上卓越榮譽的讚揚，並發送獎勵。\r\n\r\n謝謝。</t>
    <phoneticPr fontId="1" type="noConversion"/>
  </si>
  <si>
    <t>恭喜！\r\n已入围战斗力排位，发放奖励。\r\n排位奖励范围：第2名\r\n\r\n恭贺您的崇高荣耀，并发放奖励。\r\n\r\n谢谢。</t>
    <phoneticPr fontId="1" type="noConversion"/>
  </si>
  <si>
    <t>おめでとうございます！\r\n戦闘力ランキングを達成したので、報酬をお送りします。\r\nランキング報酬区間：2位\r\n\r\n素晴らしい栄誉に賛辞を送り、報酬を支給します。\r\n\r\nありがとうございます。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</si>
  <si>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2\r\n\r\nขอชื่นชมในเกียรติยศอันยอดเยี่ยมของคุณ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</si>
  <si>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2.° lugar\r\n\r\nTe felicitamos por este gran honor y te otorgamos la recompensa.\r\n\r\nGracias.</t>
    <phoneticPr fontId="1" type="noConversion"/>
  </si>
  <si>
    <t>Congratulations!\r\nHere is your reward for achieving the Power Score ranking.\r\nRanking Reward: 3rd – 5th Place\r\n\r\nWe commend you for your outstanding honor and give you the reward.\r\n\r\nThank you.</t>
    <phoneticPr fontId="1" type="noConversion"/>
  </si>
  <si>
    <t>恭喜您！\r\n戰鬥力排位達成，特此送上獎勵。\r\n排位獎勵區間：第3~5名\r\n\r\n為您獻上卓越榮譽的讚揚，並發送獎勵。\r\n\r\n謝謝。</t>
    <phoneticPr fontId="1" type="noConversion"/>
  </si>
  <si>
    <t>恭喜！\r\n已入围战斗力排位，发放奖励。\r\n排位奖励范围：第3~5名\r\n\r\n恭贺您的崇高荣耀，并发放奖励。\r\n\r\n谢谢。</t>
    <phoneticPr fontId="1" type="noConversion"/>
  </si>
  <si>
    <t>おめでとうございます！\r\n戦闘力ランキングを達成したので、報酬をお送りします。\r\nランキング報酬区間：3～5位\r\n\r\n素晴らしい栄誉に賛辞を送り、報酬を支給します。\r\n\r\nありがとうございます。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</si>
  <si>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3~5\r\n\r\nขอชื่นชมในเกียรติยศอันยอดเยี่ยมของคุณ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</si>
  <si>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3.° a 5.° lugar\r\n\r\nTe felicitamos por este gran honor y te otorgamos la recompensa.\r\n\r\nGracias.</t>
    <phoneticPr fontId="1" type="noConversion"/>
  </si>
  <si>
    <t>Congratulations!\r\nHere is your reward for achieving the Power Score ranking.\r\nRanking Reward: 6th – 10th Place\r\n\r\nWe commend you for your outstanding honor and give you the reward.\r\n\r\nThank you.</t>
    <phoneticPr fontId="1" type="noConversion"/>
  </si>
  <si>
    <t>恭喜您！\r\n戰鬥力排位達成，特此送上獎勵。\r\n排位獎勵區間：第6~10名\r\n\r\n為您獻上卓越榮譽的讚揚，並發送獎勵。\r\n\r\n謝謝。</t>
    <phoneticPr fontId="1" type="noConversion"/>
  </si>
  <si>
    <t>恭喜！\r\n已入围战斗力排位，发放奖励。\r\n排位奖励范围：第6~10名\r\n\r\n恭贺您的崇高荣耀，并发放奖励。\r\n\r\n谢谢。</t>
    <phoneticPr fontId="1" type="noConversion"/>
  </si>
  <si>
    <t>おめでとうございます！\r\n戦闘力ランキングを達成したので、報酬をお送りします。\r\nランキング報酬区間：6～10位\r\n\r\n素晴らしい栄誉に賛辞を送り、報酬を支給します。\r\n\r\nありがとうございます。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</si>
  <si>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6~10\r\n\r\nขอชื่นชมในเกียรติยศอันยอดเยี่ยมของคุณ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</si>
  <si>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6.° a 10.° lugar\r\n\r\nTe felicitamos por este gran honor y te otorgamos la recompensa.\r\n\r\nGracias.</t>
    <phoneticPr fontId="1" type="noConversion"/>
  </si>
  <si>
    <t>Congratulations!\r\nHere is your reward for achieving the Power Score ranking.\r\nRanking Reward: 11th – 50th Place\r\n\r\nWe commend you for your outstanding honor and give you the reward.\r\n\r\nThank you.</t>
    <phoneticPr fontId="1" type="noConversion"/>
  </si>
  <si>
    <t>恭喜您！\r\n戰鬥力排位達成，特此送上獎勵。\r\n排位獎勵區間：第11~50名\r\n\r\n為您獻上卓越榮譽的讚揚，並發送獎勵。\r\n\r\n謝謝。</t>
    <phoneticPr fontId="1" type="noConversion"/>
  </si>
  <si>
    <t>恭喜！\r\n已入围战斗力排位，发放奖励。\r\n排位奖励范围：第11~50名\r\n\r\n恭贺您的崇高荣耀，并发放奖励。\r\n\r\n谢谢。</t>
    <phoneticPr fontId="1" type="noConversion"/>
  </si>
  <si>
    <t>おめでとうございます！\r\n戦闘力ランキングを達成したので、報酬をお送りします。\r\nランキング報酬区間：11～50位\r\n\r\n素晴らしい栄誉に賛辞を送り、報酬を支給します。\r\n\r\nありがとうございます。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</si>
  <si>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11~50\r\n\r\nขอชื่นชมในเกียรติยศอันยอดเยี่ยมของคุณ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</si>
  <si>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11.° a 50.° lugar\r\n\r\nTe felicitamos por este gran honor y te otorgamos la recompensa.\r\n\r\nGracias.</t>
    <phoneticPr fontId="1" type="noConversion"/>
  </si>
  <si>
    <t>Congratulations!\r\nHere is your reward for achieving the Power Score ranking.\r\nRanking Reward: 51st – 100th Place\r\n\r\nWe commend you for your outstanding honor and give you the reward.\r\n\r\nThank you.</t>
    <phoneticPr fontId="1" type="noConversion"/>
  </si>
  <si>
    <t>恭喜您！\r\n戰鬥力排位達成，特此送上獎勵。\r\n排位獎勵區間：第51~100名\r\n\r\n為您獻上卓越榮譽的讚揚，並發送獎勵。\r\n\r\n謝謝。</t>
    <phoneticPr fontId="1" type="noConversion"/>
  </si>
  <si>
    <t>恭喜！\r\n已入围战斗力排位，发放奖励。\r\n排位奖励范围：第51~100名\r\n\r\n恭贺您的崇高荣耀，并发放奖励。\r\n\r\n谢谢。</t>
    <phoneticPr fontId="1" type="noConversion"/>
  </si>
  <si>
    <t>おめでとうございます！\r\n戦闘力ランキングを達成したので、報酬をお送りします。\r\nランキング報酬区間：51～100位\r\n\r\n素晴らしい栄誉に賛辞を送り、報酬を支給します。\r\n\r\nありがとうございます。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</si>
  <si>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51~100\r\n\r\nขอชื่นชมในเกียรติยศอันยอดเยี่ยมของคุณ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</si>
  <si>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51.° a 100.° lugar\r\n\r\nTe felicitamos por este gran honor y te otorgamos la recompensa.\r\n\r\nGracias.</t>
    <phoneticPr fontId="1" type="noConversion"/>
  </si>
  <si>
    <t>Congratulations!\r\nHere is your reward for achieving the Power Score ranking.\r\nRanking Reward: 101st – 500th Place\r\n\r\nWe commend you for your outstanding honor and give you the reward.\r\n\r\nThank you.</t>
    <phoneticPr fontId="1" type="noConversion"/>
  </si>
  <si>
    <t>恭喜您！\r\n戰鬥力排位達成，特此送上獎勵。\r\n排位獎勵區間：第101~500名\r\n\r\n為您獻上卓越榮譽的讚揚，並發送獎勵。\r\n\r\n謝謝。</t>
    <phoneticPr fontId="1" type="noConversion"/>
  </si>
  <si>
    <t>恭喜！\r\n已入围战斗力排位，发放奖励。\r\n排位奖励范围：第101~500名\r\n\r\n恭贺您的崇高荣耀，并发放奖励。\r\n\r\n谢谢。</t>
    <phoneticPr fontId="1" type="noConversion"/>
  </si>
  <si>
    <t>おめでとうございます！\r\n戦闘力ランキングを達成したので、報酬をお送りします。\r\nランキング報酬区間：101～500位\r\n\r\n素晴らしい栄誉に賛辞を送り、報酬を支給します。\r\n\r\nありがとうございます。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</si>
  <si>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101 ถึง 500\r\n\r\nขอชื่นชมในเกียรติยศอันยอดเยี่ยมของคุณ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</si>
  <si>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101.° a 500.° lugar\r\n\r\nTe felicitamos por este gran honor y te otorgamos la recompensa.\r\n\r\nGracias.</t>
    <phoneticPr fontId="1" type="noConversion"/>
  </si>
  <si>
    <t>Congratulations!\r\nHere is your reward for achieving the Power Score ranking.\r\nRanking Reward: 501st – 1,000th Place\r\n\r\nWe commend you for your outstanding honor and give you the reward.\r\n\r\nThank you.</t>
    <phoneticPr fontId="1" type="noConversion"/>
  </si>
  <si>
    <t>恭喜您！\r\n戰鬥力排位達成，特此送上獎勵。\r\n排位獎勵區間：第501~1000名\r\n\r\n為您獻上卓越榮譽的讚揚，並發送獎勵。\r\n\r\n謝謝。</t>
    <phoneticPr fontId="1" type="noConversion"/>
  </si>
  <si>
    <t>恭喜！\r\n已入围战斗力排位，发放奖励。\r\n排位奖励范围：第501~1,000名\r\n\r\n恭贺您的崇高荣耀，并发放奖励。\r\n\r\n谢谢。</t>
    <phoneticPr fontId="1" type="noConversion"/>
  </si>
  <si>
    <t>おめでとうございます！\r\n戦闘力ランキングを達成したので、報酬をお送りします。\r\nランキング報酬区間：501～1,000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</si>
  <si>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501 ถึง 1,000\r\n\r\nขอชื่นชมในเกียรติยศอันยอดเยี่ยมของคุณ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</si>
  <si>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501.° a 1 000.° lugar\r\n\r\nTe felicitamos por este gran honor y te otorgamos la recompensa.\r\n\r\nGracias.</t>
    <phoneticPr fontId="1" type="noConversion"/>
  </si>
  <si>
    <t>Congratulations!\r\nHere is your reward for achieving the Power Score ranking.\r\nRanking Reward: 1,001st – 5,000th Place\r\n\r\nWe commend you for your outstanding honor and give you the reward.\r\n\r\nThank you.</t>
    <phoneticPr fontId="1" type="noConversion"/>
  </si>
  <si>
    <t>恭喜您！\r\n戰鬥力排位達成，特此送上獎勵。\r\n排位獎勵區間：第1001~5000名\r\n\r\n為您獻上卓越榮譽的讚揚，並發送獎勵。\r\n\r\n謝謝。</t>
    <phoneticPr fontId="1" type="noConversion"/>
  </si>
  <si>
    <t>恭喜！\r\n已入围战斗力排位，发放奖励。\r\n排位奖励范围：第1,001~5,000名\r\n\r\n恭贺您的崇高荣耀，并发放奖励。\r\n\r\n谢谢。</t>
    <phoneticPr fontId="1" type="noConversion"/>
  </si>
  <si>
    <t>おめでとうございます！\r\n戦闘力ランキングを達成したので、報酬をお送りします。\r\nランキング報酬区間：1,001～5,000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</si>
  <si>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1,001 ถึง 5,000\r\n\r\nขอชื่นชมในเกียรติยศอันยอดเยี่ยมของคุณ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</si>
  <si>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1 001.° a 5 000.° lugar\r\n\r\nTe felicitamos por este gran honor y te otorgamos la recompensa.\r\n\r\nGracias.</t>
    <phoneticPr fontId="1" type="noConversion"/>
  </si>
  <si>
    <t>Congratulations!\r\nHere is your reward for achieving the Power Score ranking.\r\nRanking Reward: 5,001st – 10,000th Place\r\n\r\nWe commend you for your outstanding honor and give you the reward.\r\n\r\nThank you.</t>
    <phoneticPr fontId="1" type="noConversion"/>
  </si>
  <si>
    <t>恭喜您！\r\n戰鬥力排位達成，特此送上獎勵。\r\n排位獎勵區間：第5001~10000名\r\n\r\n為您獻上卓越榮譽的讚揚，並發送獎勵。\r\n\r\n謝謝。</t>
    <phoneticPr fontId="1" type="noConversion"/>
  </si>
  <si>
    <t>恭喜！\r\n已入围战斗力排位，发放奖励。\r\n排位奖励范围：第5,001~10,000名\r\n\r\n恭贺您的崇高荣耀，并发放奖励。\r\n\r\n谢谢。</t>
    <phoneticPr fontId="1" type="noConversion"/>
  </si>
  <si>
    <t>おめでとうございます！\r\n戦闘力ランキングを達成したので、報酬をお送りします。\r\nランキング報酬区間：5,001～10,000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</si>
  <si>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5001~10000\r\n\r\nขอชื่นชมในเกียรติยศอันยอดเยี่ยมของคุณ และมอบรางวัลให้คุณ\r\n\r\nขอบคุณครับ/ค่ะ</t>
    <phoneticPr fontId="1" type="noConversion"/>
  </si>
  <si>
    <t>¡Felicidades!\r\nTe enviamos una recompensa por haber alcanzado una clasificación de poder de combate.\r\nRango de recompensa de clasificación: 5 001.° a 10 000.° lugar\r\n\r\nTe felicitamos por este gran honor y te otorgamos la recompensa.\r\n\r\nGracias.</t>
    <phoneticPr fontId="1" type="noConversion"/>
  </si>
  <si>
    <t>The requested {1} exchange was successful.\r\n\r\nRequested Exchange Amount: {2}\r\nExchange Cost: EXDRA1: {3}\r\n\r\nThank you.</t>
    <phoneticPr fontId="1" type="noConversion"/>
  </si>
  <si>
    <t>請求的{1}交換已成功。\r\n\r\n請求交換數量：{2}個\r\n交換費用：EXDRA1：{3}個\r\n\r\n謝謝。</t>
    <phoneticPr fontId="1" type="noConversion"/>
  </si>
  <si>
    <t>提出的{1}交换成功。\r\n\r\n交换请求数量：{2}个\r\n交换费用：EXDRA1：{3}个\r\n\r\n谢谢。</t>
    <phoneticPr fontId="1" type="noConversion"/>
  </si>
  <si>
    <t>{1}交換に成功しました。\r\n\r\n交換要請数量：{2}個\r\n交換費用：EXDRA1：{3}個\r\n\r\nご利用ありがとうございます。</t>
    <phoneticPr fontId="1" type="noConversion"/>
  </si>
  <si>
    <t>การแลกเปลี่ยน {1} ที่ร้องขอสำเร็จแล้ว\r\n\r\nจำนวนที่ร้องขอแลกเปลี่ยน: {2} ชิ้น\r\nค่าใช้จ่ายในการแลกเปลี่ยน: EXDRA1: {3} ชิ้น\r\n\r\nขอบคุณ.</t>
    <phoneticPr fontId="1" type="noConversion"/>
  </si>
  <si>
    <t>El intercambio de {1} que solicitaste ha sido exitoso.\r\n\r\nCantidad solicitada: {2}\r\nCosto: EXDRA1: {3}\r\n\r\nGracias.</t>
    <phoneticPr fontId="1" type="noConversion"/>
  </si>
  <si>
    <t>A troca de {1} solicitada foi bem-sucedida.\r\n\r\nQuantidade de Troca Solicitada: {2}\r\nCusto da Troca: {3} EXDRA1\r\n\r\nObrigado.</t>
    <phoneticPr fontId="1" type="noConversion"/>
  </si>
  <si>
    <t>EXDRA1 Crafting Success</t>
    <phoneticPr fontId="1" type="noConversion"/>
  </si>
  <si>
    <t>EXDRA1製造成功</t>
    <phoneticPr fontId="1" type="noConversion"/>
  </si>
  <si>
    <t>EXDRA1制造成功</t>
    <phoneticPr fontId="1" type="noConversion"/>
  </si>
  <si>
    <t>EXDRA1製作成功</t>
    <phoneticPr fontId="1" type="noConversion"/>
  </si>
  <si>
    <t>สร้าง EXDRA1 สำเร็จ</t>
    <phoneticPr fontId="1" type="noConversion"/>
  </si>
  <si>
    <t>Éxito en la fabricación de EXDRA1</t>
    <phoneticPr fontId="1" type="noConversion"/>
  </si>
  <si>
    <t>Sucesso na Criação de EXDRA1</t>
    <phoneticPr fontId="1" type="noConversion"/>
  </si>
  <si>
    <t>EXDRA1 Crafting Failure</t>
    <phoneticPr fontId="1" type="noConversion"/>
  </si>
  <si>
    <t>EXDRA1製造失敗</t>
    <phoneticPr fontId="1" type="noConversion"/>
  </si>
  <si>
    <t>EXDRA1制造失败</t>
    <phoneticPr fontId="1" type="noConversion"/>
  </si>
  <si>
    <t>EXDRA1製作失敗</t>
    <phoneticPr fontId="1" type="noConversion"/>
  </si>
  <si>
    <t>สร้าง EXDRA1 ล้มเหลว</t>
    <phoneticPr fontId="1" type="noConversion"/>
  </si>
  <si>
    <t>Fallo en la fabricación de EXDRA1</t>
    <phoneticPr fontId="1" type="noConversion"/>
  </si>
  <si>
    <t>Fracasso na Criação de EXDRA1</t>
    <phoneticPr fontId="1" type="noConversion"/>
  </si>
  <si>
    <t>EXDRA1 crafting was successful.</t>
    <phoneticPr fontId="1" type="noConversion"/>
  </si>
  <si>
    <t>EXDRA1製造已成功。</t>
    <phoneticPr fontId="1" type="noConversion"/>
  </si>
  <si>
    <t>EXDRA1制造成功。</t>
    <phoneticPr fontId="1" type="noConversion"/>
  </si>
  <si>
    <t>EXDRA1製作に成功しました。</t>
    <phoneticPr fontId="1" type="noConversion"/>
  </si>
  <si>
    <t>การสร้าง EXDRA1 สำเร็จ</t>
    <phoneticPr fontId="1" type="noConversion"/>
  </si>
  <si>
    <t>La fabricación de EXDRA1 ha sido exitosa.</t>
    <phoneticPr fontId="1" type="noConversion"/>
  </si>
  <si>
    <t>Criação de EXDRA1 bem-sucedida.</t>
    <phoneticPr fontId="1" type="noConversion"/>
  </si>
  <si>
    <t>EXDRA1 crafting was unsuccessful.</t>
    <phoneticPr fontId="1" type="noConversion"/>
  </si>
  <si>
    <t>EXDRA1製造已失敗。</t>
    <phoneticPr fontId="1" type="noConversion"/>
  </si>
  <si>
    <t>EXDRA1制造失败。</t>
    <phoneticPr fontId="1" type="noConversion"/>
  </si>
  <si>
    <t>EXDRA1製作に失敗しました。</t>
    <phoneticPr fontId="1" type="noConversion"/>
  </si>
  <si>
    <t>การสร้าง EXDRA1 ล้มเหลว</t>
    <phoneticPr fontId="1" type="noConversion"/>
  </si>
  <si>
    <t>La fabricación de EXDRA1 ha fallado.</t>
    <phoneticPr fontId="1" type="noConversion"/>
  </si>
  <si>
    <t>Criação de EXDRA1 fracassada.</t>
    <phoneticPr fontId="1" type="noConversion"/>
  </si>
  <si>
    <t>The requested EXDRA1 crafting was successful.\r\n\r\nRequested Crafting Amount: {1}\r\nCrafting Cost: {2} Dragonsteel, {3} Red Septaria\r\n\r\nYou can check the crafted EXDRA1 in WEMIX PLAY.\r\n\r\nThank you.</t>
    <phoneticPr fontId="1" type="noConversion"/>
  </si>
  <si>
    <t>請求的EXDRA1製造已成功。\r\n\r\n製造請求數量：{1}個\r\n製造費用：{2}個龍鐵、{3}個紅色龜甲石\r\n\r\n製造的EXDRA1可於WEMIX PLAY中確認。\r\n\r\n謝謝。</t>
    <phoneticPr fontId="1" type="noConversion"/>
  </si>
  <si>
    <t>请求的EXDRA1制造成功。\r\n\r\n制造请求数量：{1}个\r\n制造费用：{2}个龙铁、{3}个红色龟甲石\r\n\r\n制造的EXDRA1可以在WEMIX PLAY进行确认。\r\n\r\n谢谢。</t>
    <phoneticPr fontId="1" type="noConversion"/>
  </si>
  <si>
    <t>EXDRA1製作に成功しました。\r\n\r\n製作要請数量：{1}個\r\n製作費用：龍鉄{2}個、赤いSeptaria{3}個\r\n\r\n製作したEXDRA1はWEMIX PLAYでご確認いただけます。\r\n\r\nご利用ありがとうございます。</t>
    <phoneticPr fontId="1" type="noConversion"/>
  </si>
  <si>
    <t>คุณได้สร้าง EXDRA1 ตามที่ร้องขอสำเร็จแล้ว\r\n\r\nจำนวนที่ร้องขอในการสร้าง: {1} ชิ้น\r\nค่าใช้จ่ายในการสร้าง: เหล็กมังกร {2} ชิ้น, Septaria แดง {3} ชิ้น\r\n\r\nคุณสามารถตรวจสอบ EXDRA1 ที่สร้างได้ใน WEMIX PLAY\r\n\r\nขอบคุณ</t>
    <phoneticPr fontId="1" type="noConversion"/>
  </si>
  <si>
    <t>La fabricación de EXDRA1 que solicitaste ha sido exitosa.\r\n\r\nCantidad solicitada para fabricación: {1}\r\nCosto de fabricación: Acero dragón x{2}, Septaria roja x{3}\r\n\r\nEl EXDRA1 fabricado se puede verificar en WEMIX PLAY.\r\n\r\nGracias.</t>
    <phoneticPr fontId="1" type="noConversion"/>
  </si>
  <si>
    <t>A criação de EXDRA1 solicitada fracassou.\r\n\r\nQuantidade de Criação Solicitada: {1}\r\nCusto de Criação: Aço de Dragão x{2}e Septaria Vermelha x{3}\r\n\r\nA EXDRA1 criada pode ser verificada no WEMIX PLAY.\r\n\r\nObrigado.</t>
    <phoneticPr fontId="1" type="noConversion"/>
  </si>
  <si>
    <t>The requested EXDRA1 crafting was unsuccessful.\r\n\r\nRequested Crafting Amount: {1}\r\nCrafting Cost: {2} Dragonsteel, {3} Red Septaria\r\n\r\nThe materials for failed crafting will be returned.\r\n\r\nThank you.</t>
    <phoneticPr fontId="1" type="noConversion"/>
  </si>
  <si>
    <t>請求的EXDRA1製造已失敗。\r\n\r\n製造請求數量：{1}個\r\n製造費用：{2}個龍鐵、{3}個紅色龜甲石\r\n\r\n將歸還製造失敗的材料。\r\n\r\n謝謝。</t>
    <phoneticPr fontId="1" type="noConversion"/>
  </si>
  <si>
    <t>请求的EXDRA1制造失败。\r\n\r\n制造请求数量：{1}个\r\n制造费用：{2}个龙铁、{3}个红色龟甲石\r\n\r\n制造失败的材料将会重新返还。\r\n\r\n谢谢。</t>
    <phoneticPr fontId="1" type="noConversion"/>
  </si>
  <si>
    <t>EXDRA1製作に失敗しました。\r\n\r\n製作要請数量：{1}個\r\n製作費用：龍鉄{2}個、赤いSeptaria{3}個\r\n\r\n製作に失敗した素材は返却させていただきます。\r\n\r\nご利用ありがとうございます。</t>
    <phoneticPr fontId="1" type="noConversion"/>
  </si>
  <si>
    <t>การสร้าง EXDRA1 ที่คุณร้องขอล้มเหลว\r\n\r\nจำนวนที่ร้องขอสร้าง: {1} ชิ้น\r\nค่าใช้จ่ายในการสร้าง: เหล็กมังกร {2} ชิ้น, Septaria แดง {3} ชิ้น\r\n\r\nวัตถุดิบที่ล้มเหลวในการสร้างจะถูกส่งคืน\r\n\r\nขอบคุณ</t>
    <phoneticPr fontId="1" type="noConversion"/>
  </si>
  <si>
    <t>La fabricación de EXDRA1 que solicitaste ha fallado.\r\n\r\nCantidad solicitada para fabricación: {1}\r\nCosto de fabricación: Acero dragón x{2}, Septaria roja x{3}\r\n\r\nLos materiales utilizados en la fabricación fallida serán devueltos.\r\n\r\nGracias.</t>
    <phoneticPr fontId="1" type="noConversion"/>
  </si>
  <si>
    <t>A criação de EXDRA1 solicitada fracassou.\r\n\r\nQuantidade de Criação Solicitada: {1}\r\nCusto de Criação: Aço de Dragão x{2} e Septaria Vermelha x{3}\r\n\r\nOs materiais que fracassaram na criação serão devolvidos.\r\n\r\nObrigado.</t>
    <phoneticPr fontId="1" type="noConversion"/>
  </si>
  <si>
    <t>2024.12.10</t>
    <phoneticPr fontId="1" type="noConversion"/>
  </si>
  <si>
    <t>축하합니다!\r\n전투력 랭킹을 달성하여 보상을 보내드립니다.\r\n랭킹 보상 구간 : {1}위\r\n\r\n뛰어난 영예에 찬사를 드리며, 보상을 지급해 드립니다.\r\n\r\n감사합니다.</t>
    <phoneticPr fontId="1" type="noConversion"/>
  </si>
  <si>
    <t>WEMIX PLAY Webshop 구매품 발송</t>
    <phoneticPr fontId="1" type="noConversion"/>
  </si>
  <si>
    <t>WEMIX PLAY Webshop에서 구매하신 상품이 발송되었습니다.</t>
    <phoneticPr fontId="1" type="noConversion"/>
  </si>
  <si>
    <t>WEMIX PLAY Webshop Purchase Delivery</t>
    <phoneticPr fontId="1" type="noConversion"/>
  </si>
  <si>
    <t>發送WEMIX PLAY Webshop購買商品</t>
    <phoneticPr fontId="1" type="noConversion"/>
  </si>
  <si>
    <t>WEMIX PLAY Webshop购买物品发送</t>
    <phoneticPr fontId="1" type="noConversion"/>
  </si>
  <si>
    <t>WEMIX PLAY Webshop購入アイテム発送</t>
    <phoneticPr fontId="1" type="noConversion"/>
  </si>
  <si>
    <t>การจัดส่งรายการซื้อจาก WEMIX PLAY Webshop</t>
    <phoneticPr fontId="1" type="noConversion"/>
  </si>
  <si>
    <t>Envío de compra en WEMIX PLAY Webshop</t>
    <phoneticPr fontId="1" type="noConversion"/>
  </si>
  <si>
    <t>Entrega das compras do WEMIX PLAY Webshop</t>
    <phoneticPr fontId="1" type="noConversion"/>
  </si>
  <si>
    <t>The product you purchased from the WEMIX PLAY Webshop has been sent.</t>
    <phoneticPr fontId="1" type="noConversion"/>
  </si>
  <si>
    <t>在WEMIX PLAY Webshop購買的商品已發送。</t>
    <phoneticPr fontId="1" type="noConversion"/>
  </si>
  <si>
    <t>在WEMIX PLAY Webshop购买的商品已发送。</t>
    <phoneticPr fontId="1" type="noConversion"/>
  </si>
  <si>
    <t>WEMIX PLAY Webshopで購入した商品が発送されました。</t>
    <phoneticPr fontId="1" type="noConversion"/>
  </si>
  <si>
    <t>สินค้าที่คุณซื้อจาก WEMIX PLAY Webshop ได้ถูกจัดส่งแล้ว</t>
    <phoneticPr fontId="1" type="noConversion"/>
  </si>
  <si>
    <t>El producto que compraste en WEMIX PLAY Webshop ha sido enviado.</t>
    <phoneticPr fontId="1" type="noConversion"/>
  </si>
  <si>
    <t>O produto comprado no WEMIX PLAY Webshop foi enviado.</t>
    <phoneticPr fontId="1" type="noConversion"/>
  </si>
  <si>
    <t>The {1} you purchased from the Shop has been sent\r\n\r\nto your mail due to the storage limit.\r\n\r\nThe mail will be automatically deleted after accepting the item.</t>
    <phoneticPr fontId="1" type="noConversion"/>
  </si>
  <si>
    <t>商店で購入した{1}が\r\n\r\n保管限度を超過したため、メールで発送します。\r\n\r\n商品を受領すると、メールは自動で削除されます。</t>
    <phoneticPr fontId="1" type="noConversion"/>
  </si>
  <si>
    <t>懸賞手配報酬</t>
    <phoneticPr fontId="1" type="noConversion"/>
  </si>
  <si>
    <t>懸賞手配完了報酬</t>
    <phoneticPr fontId="1" type="noConversion"/>
  </si>
  <si>
    <t>懸賞手配犯{1}を退治したので、以下の通り報酬を支給します。\r\n\r\nカバンの空きスロットを確認してから、お受け取りください。</t>
    <phoneticPr fontId="1" type="noConversion"/>
  </si>
  <si>
    <t>Aquí tienes tu recompensa por vencer al delincuente más buscado, {1}.\r\n\r\nComprueba que tienes espacio suficiente en la bolsa antes de recogerla.</t>
    <phoneticPr fontId="1" type="noConversion"/>
  </si>
  <si>
    <t>Failed to send mail</t>
    <phoneticPr fontId="1" type="noConversion"/>
  </si>
  <si>
    <t>發送信件失敗</t>
    <phoneticPr fontId="1" type="noConversion"/>
  </si>
  <si>
    <t>发送信件失败</t>
    <phoneticPr fontId="1" type="noConversion"/>
  </si>
  <si>
    <t>メール発送失敗</t>
    <phoneticPr fontId="1" type="noConversion"/>
  </si>
  <si>
    <t>การส่งจดหมายล้มเหลว</t>
    <phoneticPr fontId="1" type="noConversion"/>
  </si>
  <si>
    <t>Fallo al enviar el correo.</t>
    <phoneticPr fontId="1" type="noConversion"/>
  </si>
  <si>
    <t>Fracasso no envio de correio.</t>
    <phoneticPr fontId="1" type="noConversion"/>
  </si>
  <si>
    <t>Failed to send mail.</t>
    <phoneticPr fontId="1" type="noConversion"/>
  </si>
  <si>
    <t>發送信件失敗。</t>
    <phoneticPr fontId="1" type="noConversion"/>
  </si>
  <si>
    <t>发送信件失败。</t>
    <phoneticPr fontId="1" type="noConversion"/>
  </si>
  <si>
    <t>メールの発送に失敗しました。</t>
    <phoneticPr fontId="1" type="noConversion"/>
  </si>
  <si>
    <t>Se ha fallado al enviar el correo.</t>
    <phoneticPr fontId="1" type="noConversion"/>
  </si>
  <si>
    <t>O envio de correio foi fracassado.</t>
    <phoneticPr fontId="1" type="noConversion"/>
  </si>
  <si>
    <t>Failed to send the mail because the character in the mail does not exist. \r\nMail fee refunded: {1}</t>
    <phoneticPr fontId="1" type="noConversion"/>
  </si>
  <si>
    <t>因發送信件的角色不存在，信件傳送失敗。\r\n發送信件金額退還：{1}</t>
    <phoneticPr fontId="1" type="noConversion"/>
  </si>
  <si>
    <t>因发送的信件中不存在角色，导致信件发送失败。\r\n退还信件发送费用：{1}</t>
    <phoneticPr fontId="1" type="noConversion"/>
  </si>
  <si>
    <t>発送先のキャラクターが存在しないため、メールの発送に失敗しました。\r\nメール発送金額返金：{1}</t>
    <phoneticPr fontId="1" type="noConversion"/>
  </si>
  <si>
    <t>การส่งจดหมายล้มเหลว เนื่องจากไม่มีตัวละครในจดหมายที่ส่งไป\r\nคืนเงินค่าใช้จ่ายในการส่งจดหมาย: {1}</t>
    <phoneticPr fontId="1" type="noConversion"/>
  </si>
  <si>
    <t>Fallo al enviar el correo debido a que no existe el personaje en el correo que enviaste.\r\nReembolso del costo de envío del correo: {1}</t>
    <phoneticPr fontId="1" type="noConversion"/>
  </si>
  <si>
    <t>Não foi possível enviar o correio pois o personagem não existe.\r\nReembolso do correio enviado: {1}</t>
    <phoneticPr fontId="1" type="noConversion"/>
  </si>
  <si>
    <t>因超过保管上限，将通过信件发送。</t>
    <phoneticPr fontId="1" type="noConversion"/>
  </si>
  <si>
    <t>因超过保管上限，在商店购买的\r\n\r\n{1}将通过信件发送。\r\n\r\n领取物品之后，信件会自动删除。</t>
    <phoneticPr fontId="1" type="noConversion"/>
  </si>
  <si>
    <t>占领秘谷MVP</t>
    <phoneticPr fontId="1" type="noConversion"/>
  </si>
  <si>
    <t>当选秘谷占领战MVP</t>
    <phoneticPr fontId="1" type="noConversion"/>
  </si>
  <si>
    <t>恭喜！成功占領{1}。\r\n因大俠在戰鬥中的重大貢獻，已當選為MVP。\r\n獲得門派鑄幣：{2}\r\n該獎勵僅限當天進行占領戰時，每個秘谷獲得1次。\r\n可喜可賀。</t>
    <phoneticPr fontId="1" type="noConversion"/>
  </si>
  <si>
    <t>恭喜！成功占领{1}。\r\n因战斗中的重大贡献，已当选为MVP。\r\n获得门派铸币：{2}\r\n该奖励仅限当天进行占领战时，每个秘谷获得1次。\r\n可喜可贺。</t>
    <phoneticPr fontId="1" type="noConversion"/>
  </si>
  <si>
    <t>Has capturado un Valle oculto.</t>
    <phoneticPr fontId="1" type="noConversion"/>
  </si>
  <si>
    <t>Parabéns! Capturou {1}.\r\nVenda o Aço Negro abundante ganho do Vale Oculto capturado para construir o clã mais poderoso que existe.\r\nMoedas de Clã: {2}\r\nFundos do Clã: {3} (Armazenados no Armazém do clã)\r\nA próxima Captura do Vale Oculto começará dentro de uma semana.\r\nEsta recompensa está disponível apenas uma vez para cada Vale Oculto no dia da Captura do Vale Oculto.</t>
    <phoneticPr fontId="1" type="noConversion"/>
  </si>
  <si>
    <t>發放獎賞</t>
    <phoneticPr fontId="1" type="noConversion"/>
  </si>
  <si>
    <t>ราชาได้ประกาศคำสั่ง [อนุญาตให้ล่าสัตว์]\r\n\r\nเอฟเฟกต์จากคำสั่งจะเพิ่มค่าสถานะ [EXP จากการล่า, ทองแดง, โอกาสดร็อป] เป็นระยะเวลาหนึ่ง\r\n\r\nพวกเราซาบซึ้งในความกรุณาของท่านราชา!</t>
    <phoneticPr fontId="1" type="noConversion"/>
  </si>
  <si>
    <t>왕국수호 선포</t>
    <phoneticPr fontId="1" type="noConversion"/>
  </si>
  <si>
    <t>Protect the Kingdom</t>
    <phoneticPr fontId="1" type="noConversion"/>
  </si>
  <si>
    <t>發佈守護王國</t>
    <phoneticPr fontId="1" type="noConversion"/>
  </si>
  <si>
    <t>宣布守护王国</t>
    <phoneticPr fontId="1" type="noConversion"/>
  </si>
  <si>
    <t>王国守護宣布</t>
    <phoneticPr fontId="1" type="noConversion"/>
  </si>
  <si>
    <t>ประกาศปกป้องอาณาจักร</t>
    <phoneticPr fontId="1" type="noConversion"/>
  </si>
  <si>
    <t>Decreto de Guardia real</t>
    <phoneticPr fontId="1" type="noConversion"/>
  </si>
  <si>
    <t>Declaração de Proteção do Reino</t>
    <phoneticPr fontId="1" type="noConversion"/>
  </si>
  <si>
    <t>The King has decreed the [Protect the Kingdom].\r\n\r\nThe [PvP ATK DMG Boost and PvP DMG Reduction] stats will be increased for a certain amount of time due to the decree.\r\n\r\nAll hail the generous King!</t>
    <phoneticPr fontId="1" type="noConversion"/>
  </si>
  <si>
    <t>El rey ha decretado el mandato [Guardia real].\r\n\r\nLas estadísticas de [Aum. de daño JcJ y Reducc. de Daño JcJ Recibido] aumentarán durante un tiempo mediante el efecto del mandato.\r\n\r\n¡Alabado sea el generoso rey!</t>
    <phoneticPr fontId="1" type="noConversion"/>
  </si>
  <si>
    <t>已退出{1}門派。\r\n\r\n進行門派活動可獲得許多福利。\r\n\r\n大俠可以選擇創設新門派或加入其他門派，繼續獲得特惠。\r\n\r\n謝謝。</t>
    <phoneticPr fontId="1" type="noConversion"/>
  </si>
  <si>
    <t>已被{1}門派踢除。\r\n\r\n進行門派活動可獲得許多福利。\r\n\r\n大俠可以選擇創設新門派或加入其他門派，繼續獲得特惠。\r\n\r\n謝謝。</t>
    <phoneticPr fontId="1" type="noConversion"/>
  </si>
  <si>
    <t>Your Clan Expedition reward has arrived.</t>
    <phoneticPr fontId="1" type="noConversion"/>
  </si>
  <si>
    <t>門派遠征獎勵已送達。</t>
    <phoneticPr fontId="1" type="noConversion"/>
  </si>
  <si>
    <t>门派远征奖励已送达。</t>
    <phoneticPr fontId="1" type="noConversion"/>
  </si>
  <si>
    <t>門派遠征の報酬が届きました</t>
    <phoneticPr fontId="1" type="noConversion"/>
  </si>
  <si>
    <t>รางวัลการสำรวจของแคลนของคุณมาถึงแล้ว</t>
    <phoneticPr fontId="1" type="noConversion"/>
  </si>
  <si>
    <t>Tu recompensa por Expedición de Clan ha llegado.</t>
    <phoneticPr fontId="1" type="noConversion"/>
  </si>
  <si>
    <t>A sua recompensa de Expedição do Clã chegou.</t>
    <phoneticPr fontId="1" type="noConversion"/>
  </si>
  <si>
    <t>A clan alliance request has arrived.</t>
    <phoneticPr fontId="1" type="noConversion"/>
  </si>
  <si>
    <t>收到門派結盟請求。</t>
    <phoneticPr fontId="1" type="noConversion"/>
  </si>
  <si>
    <t>收到门派结盟请求。</t>
    <phoneticPr fontId="1" type="noConversion"/>
  </si>
  <si>
    <t>門派同盟要請を受けました</t>
    <phoneticPr fontId="1" type="noConversion"/>
  </si>
  <si>
    <t>มีคำขอพันธมิตรแคลนมาถึงคุณ</t>
    <phoneticPr fontId="1" type="noConversion"/>
  </si>
  <si>
    <t>Tu clan ha recibido una solicitud de alianza.</t>
    <phoneticPr fontId="1" type="noConversion"/>
  </si>
  <si>
    <t>Chegou um pedido de aliança de clã.</t>
    <phoneticPr fontId="1" type="noConversion"/>
  </si>
  <si>
    <t>{1}門派已請求結盟。\r\n\r\n點擊下方的確認結盟按鍵即可確認請求結盟的門派。\r\n\r\n謝謝。</t>
    <phoneticPr fontId="1" type="noConversion"/>
  </si>
  <si>
    <t>{1}門派已宣戰。\r\n\r\n點擊下方的確認戰爭按鍵即可確認宣戰的門派。\r\n\r\n謝謝。</t>
    <phoneticPr fontId="1" type="noConversion"/>
  </si>
  <si>
    <t>O mercador de Aço Negro terminou a venda de Aço Negro.</t>
    <phoneticPr fontId="1" type="noConversion"/>
  </si>
  <si>
    <t>O [{1}] mercador de Aço Negro terminou a venda de Aço Negro.\r\nMotivo: As horas de trabalho do Mercador de Aço Negro terminaram\r\nLucro: {2} de Moeda de Ouro\r\nAço Negro recuperado: {3}\r\nAço Negro não recuperado: {4}\r\nPode continuar a vender Aço Negro se estiver a ocupar o Vale Oculto.</t>
    <phoneticPr fontId="1" type="noConversion"/>
  </si>
  <si>
    <t>O Aço Negro está esgotado.</t>
    <phoneticPr fontId="1" type="noConversion"/>
  </si>
  <si>
    <t>O mercador de Aço Negro [{1}] terminou a venda de Aço Negro.\r\nMotivo: Esgotado\r\nLucro: {2} de Moeda de Ouro\r\nOs lucros de venda são guardados diretamente no Armazém do clã.</t>
    <phoneticPr fontId="1" type="noConversion"/>
  </si>
  <si>
    <t>O [{1}] mercador de Aço Negro terminou a venda de Aço Negro.\r\nMotivo: Venda de Aço Negro cancelada por [{5}] \r\nLucro: {2} de Moeda de Ouro\r\nAço Negro recuperado: {3}\r\nAço Negro não recuperado: {4}\r\nO Aço Negro não recuperado é automaticamente eliminado.</t>
    <phoneticPr fontId="1" type="noConversion"/>
  </si>
  <si>
    <t>A venda de Aço Negro parou.</t>
    <phoneticPr fontId="1" type="noConversion"/>
  </si>
  <si>
    <t>O mercador de Aço Negro [{1}] terminou a venda de Aço Negro.\r\nMotivo: Espaço insuficiente para Moedas de ouro no Armazém do clã\r\nLucro: {2} de Moeda de Ouro\r\nAço Negro recuperado: {3}\r\nAço Negro não recuperado: {4}\r\nO Aço Negro não recuperado é automaticamente eliminado.</t>
    <phoneticPr fontId="1" type="noConversion"/>
  </si>
  <si>
    <t>Here is your reward for achieving the Weekly Ranking Reward #{1} place.\r\n\r\nCheck the available space in your bag before collecting it.\r\n\r\nThank you.</t>
    <phoneticPr fontId="1" type="noConversion"/>
  </si>
  <si>
    <t>每週排位獎勵第{1}名達成，特此送上獎勵。\r\n\r\n請確認背包空間後領取獎勵。\r\n\r\n謝謝。</t>
    <phoneticPr fontId="1" type="noConversion"/>
  </si>
  <si>
    <t>每周排位奖励第{1}名达成，特此送上奖励。\r\n\r\n请确认背包空间后领取奖励。\r\n\r\n谢谢。</t>
    <phoneticPr fontId="1" type="noConversion"/>
  </si>
  <si>
    <t>週間ランキング{1}位を達成したので、報酬を支給します。\r\n\r\nカバンの空きスロットを確認してから、お受け取りください。</t>
    <phoneticPr fontId="1" type="noConversion"/>
  </si>
  <si>
    <t>นี่คือรางวัลของคุณสำหรับการบรรลุรางวัลอันดับรายสัปดาห์ที่อันดับ {1} \r\n\r\nตรวจสอบที่ว่างในกระเป๋าของคุณก่อนรับรางวัล\r\n\r\nขอขอบคุณ</t>
    <phoneticPr fontId="1" type="noConversion"/>
  </si>
  <si>
    <t>Aquí tienes tu recompensa por alcanzar el puesto n.º {1} en la recompensa por clasificación semanal.\r\n\r\nComprueba que tienes espacio suficiente en la bolsa antes de recogerla.\r\n\r\nGracias.</t>
    <phoneticPr fontId="1" type="noConversion"/>
  </si>
  <si>
    <t>Aqui está a sua recompensa por alcançar o {1}.º lugar na Recompensa de classificação semanal.\r\n\r\nVerifique o espaço disponível na sua bolsa antes de a receber.\r\n\r\nObrigado.</t>
    <phoneticPr fontId="1" type="noConversion"/>
  </si>
  <si>
    <t>Clan Gift</t>
    <phoneticPr fontId="1" type="noConversion"/>
  </si>
  <si>
    <t>門派禮物</t>
    <phoneticPr fontId="1" type="noConversion"/>
  </si>
  <si>
    <t>门派礼物</t>
    <phoneticPr fontId="1" type="noConversion"/>
  </si>
  <si>
    <t>門派からの贈り物</t>
    <phoneticPr fontId="1" type="noConversion"/>
  </si>
  <si>
    <t>ของขวัญแคลน</t>
    <phoneticPr fontId="1" type="noConversion"/>
  </si>
  <si>
    <t>Regalo de clan</t>
    <phoneticPr fontId="1" type="noConversion"/>
  </si>
  <si>
    <t>Presente do Clã</t>
    <phoneticPr fontId="1" type="noConversion"/>
  </si>
  <si>
    <t>A clan gift has arrived.</t>
    <phoneticPr fontId="1" type="noConversion"/>
  </si>
  <si>
    <t>門派禮物送達。</t>
    <phoneticPr fontId="1" type="noConversion"/>
  </si>
  <si>
    <t>门派礼物送达。</t>
    <phoneticPr fontId="1" type="noConversion"/>
  </si>
  <si>
    <t>門派からの贈り物が届きました。</t>
    <phoneticPr fontId="1" type="noConversion"/>
  </si>
  <si>
    <t>รางวัลแคลนมาถึงแล้ว</t>
    <phoneticPr fontId="1" type="noConversion"/>
  </si>
  <si>
    <t>Has recibido un regalo de clan.</t>
    <phoneticPr fontId="1" type="noConversion"/>
  </si>
  <si>
    <t>Chegou um presente do clã.</t>
    <phoneticPr fontId="1" type="noConversion"/>
  </si>
  <si>
    <t>Leadership has been transferred.</t>
    <phoneticPr fontId="1" type="noConversion"/>
  </si>
  <si>
    <t>已將掌門之位傳於其他玩家。</t>
    <phoneticPr fontId="1" type="noConversion"/>
  </si>
  <si>
    <t>已将掌门之位传于其他玩家。</t>
    <phoneticPr fontId="1" type="noConversion"/>
  </si>
  <si>
    <t>門主の地位を譲渡しました。</t>
    <phoneticPr fontId="1" type="noConversion"/>
  </si>
  <si>
    <t>ส่งต่อผู้นำแคลนแล้ว</t>
    <phoneticPr fontId="1" type="noConversion"/>
  </si>
  <si>
    <t>Se ha cedido el liderazgo del clan.</t>
    <phoneticPr fontId="1" type="noConversion"/>
  </si>
  <si>
    <t>A liderança do clã foi transferida.</t>
    <phoneticPr fontId="1" type="noConversion"/>
  </si>
  <si>
    <t>{1}さんが熟考の上、門主の地位を{2}さんに譲渡することを決定しました。\r\n\r\n新しい門主を歓迎しましょう。</t>
    <phoneticPr fontId="1" type="noConversion"/>
  </si>
  <si>
    <t>Clan Technique Activation</t>
    <phoneticPr fontId="1" type="noConversion"/>
  </si>
  <si>
    <t>使用門派技能</t>
    <phoneticPr fontId="1" type="noConversion"/>
  </si>
  <si>
    <t>使用门派技能</t>
    <phoneticPr fontId="1" type="noConversion"/>
  </si>
  <si>
    <t>門派技術使用</t>
    <phoneticPr fontId="1" type="noConversion"/>
  </si>
  <si>
    <t>การเปิดใช้งานเทคนิคแคลน</t>
    <phoneticPr fontId="1" type="noConversion"/>
  </si>
  <si>
    <t>Activación de técnica de clan</t>
    <phoneticPr fontId="1" type="noConversion"/>
  </si>
  <si>
    <t>Ativação de técnica do clã</t>
    <phoneticPr fontId="1" type="noConversion"/>
  </si>
  <si>
    <t>Clan Technique has been activated.</t>
    <phoneticPr fontId="1" type="noConversion"/>
  </si>
  <si>
    <t>成功啟動門派技能。</t>
    <phoneticPr fontId="1" type="noConversion"/>
  </si>
  <si>
    <t>成功启动门派技能。</t>
    <phoneticPr fontId="1" type="noConversion"/>
  </si>
  <si>
    <t>門派技術が発動されました。</t>
    <phoneticPr fontId="1" type="noConversion"/>
  </si>
  <si>
    <t>เปิดใช้งานเทคนิคแคลนแล้ว</t>
    <phoneticPr fontId="1" type="noConversion"/>
  </si>
  <si>
    <t>Se ha activado una técnica de clan.</t>
    <phoneticPr fontId="1" type="noConversion"/>
  </si>
  <si>
    <t>Foi ativada uma técnica do clã.</t>
    <phoneticPr fontId="1" type="noConversion"/>
  </si>
  <si>
    <t>{1}さんが{2}技術を使用しました。\r\n\r\nさっそく技術の効果を経験してみましょう</t>
    <phoneticPr fontId="1" type="noConversion"/>
  </si>
  <si>
    <t>공격제외문파 등록</t>
    <phoneticPr fontId="1" type="noConversion"/>
  </si>
  <si>
    <t>Register as Unattackable Clan</t>
    <phoneticPr fontId="1" type="noConversion"/>
  </si>
  <si>
    <t>登錄排除攻擊門派</t>
    <phoneticPr fontId="1" type="noConversion"/>
  </si>
  <si>
    <t>添加为排除攻击的门派</t>
    <phoneticPr fontId="1" type="noConversion"/>
  </si>
  <si>
    <t>攻撃除外門派登録</t>
    <phoneticPr fontId="1" type="noConversion"/>
  </si>
  <si>
    <t>ลงทะเบียนแคลนที่ไม่ร่วมการโจมตี</t>
    <phoneticPr fontId="1" type="noConversion"/>
  </si>
  <si>
    <t>Registro de clan excluido de ataques</t>
    <phoneticPr fontId="1" type="noConversion"/>
  </si>
  <si>
    <t>Registro de Clã Inatacável</t>
    <phoneticPr fontId="1" type="noConversion"/>
  </si>
  <si>
    <t>공격제외문파가 등록되었습니다.</t>
    <phoneticPr fontId="1" type="noConversion"/>
  </si>
  <si>
    <t>A clan was registered as an unattackable clan.</t>
    <phoneticPr fontId="1" type="noConversion"/>
  </si>
  <si>
    <t>已登錄排除攻擊門派。</t>
    <phoneticPr fontId="1" type="noConversion"/>
  </si>
  <si>
    <t>已添加为排除攻击的门派。</t>
    <phoneticPr fontId="1" type="noConversion"/>
  </si>
  <si>
    <t>攻撃除外門派が登録されました。</t>
    <phoneticPr fontId="1" type="noConversion"/>
  </si>
  <si>
    <t>แคลนของคุณได้ลงทะเบียนเป็นแคลนที่ไม่ร่วมการโจมตีแล้ว</t>
    <phoneticPr fontId="1" type="noConversion"/>
  </si>
  <si>
    <t>Se ha registrado como clan excluido de ataques.</t>
    <phoneticPr fontId="1" type="noConversion"/>
  </si>
  <si>
    <t>O clã foi registrado como inatacável.</t>
    <phoneticPr fontId="1" type="noConversion"/>
  </si>
  <si>
    <t>已将{1}门派添加为排除攻击的门派。\r\n\r\n点击下方的确认门派信息按键即可确认。\r\n\r\n谢谢。</t>
    <phoneticPr fontId="1" type="noConversion"/>
  </si>
  <si>
    <t>공격제외문파에 등록되었습니다.</t>
    <phoneticPr fontId="1" type="noConversion"/>
  </si>
  <si>
    <t>Your clan was registered as an unattackable clan.</t>
    <phoneticPr fontId="1" type="noConversion"/>
  </si>
  <si>
    <t>已被登錄於排除攻擊門派。</t>
    <phoneticPr fontId="1" type="noConversion"/>
  </si>
  <si>
    <t>攻撃除外門派に登録されました。</t>
    <phoneticPr fontId="1" type="noConversion"/>
  </si>
  <si>
    <t>ลงทะเบียนเป็นแคลนที่ไม่ร่วมการโจมตีแล้ว</t>
    <phoneticPr fontId="1" type="noConversion"/>
  </si>
  <si>
    <t>Has sido registrado como clan excluido de ataques.</t>
    <phoneticPr fontId="1" type="noConversion"/>
  </si>
  <si>
    <t>Seu clã foi registrado como inatacável.</t>
    <phoneticPr fontId="1" type="noConversion"/>
  </si>
  <si>
    <t>{1}门派已将您的门派添加为排除攻击的门派。\r\n\r\n点击下方的确认门派信息按键可以添加至排除攻击的门派。\r\n\r\n谢谢。</t>
    <phoneticPr fontId="1" type="noConversion"/>
  </si>
  <si>
    <t>【{1}】{2}门派已将您的门派添加为排除攻击的门派。\r\n\r\n点击下方的确认门派信息按键可以添加至排除攻击的门派。\r\n\r\n谢谢。</t>
    <phoneticPr fontId="1" type="noConversion"/>
  </si>
  <si>
    <t>공격제외문파 등록 해제</t>
    <phoneticPr fontId="1" type="noConversion"/>
  </si>
  <si>
    <t>Remove from Unattackable Clan</t>
    <phoneticPr fontId="1" type="noConversion"/>
  </si>
  <si>
    <t>解除排除攻擊門派登錄</t>
    <phoneticPr fontId="1" type="noConversion"/>
  </si>
  <si>
    <t>解除添加为排除攻击的门派</t>
    <phoneticPr fontId="1" type="noConversion"/>
  </si>
  <si>
    <t>攻撃除外門派登録解除</t>
    <phoneticPr fontId="1" type="noConversion"/>
  </si>
  <si>
    <t>ยกเลิกการลงทะเบียนแคลนที่ไม่ร่วมการโจมตี</t>
    <phoneticPr fontId="1" type="noConversion"/>
  </si>
  <si>
    <t>Remover clan de la exclusión de ataques</t>
    <phoneticPr fontId="1" type="noConversion"/>
  </si>
  <si>
    <t>Anulação de Clã Inatacável</t>
    <phoneticPr fontId="1" type="noConversion"/>
  </si>
  <si>
    <t>已解除添加为排除攻击的门派。</t>
    <phoneticPr fontId="1" type="noConversion"/>
  </si>
  <si>
    <t>{1}门派已解除添加为排除攻击的门派。\r\n\r\n点击下方的确认门派信息按键即可确认。\r\n\r\n谢谢。</t>
    <phoneticPr fontId="1" type="noConversion"/>
  </si>
  <si>
    <t>공격제외문파 등록이 해제되었습니다.</t>
    <phoneticPr fontId="1" type="noConversion"/>
  </si>
  <si>
    <t>Your clan was removed from the other clan's list of unattackable clans.</t>
    <phoneticPr fontId="1" type="noConversion"/>
  </si>
  <si>
    <t>已解除排除攻擊門派的登錄。</t>
    <phoneticPr fontId="1" type="noConversion"/>
  </si>
  <si>
    <t>已解除添加为排除攻击的门派。</t>
    <phoneticPr fontId="1" type="noConversion"/>
  </si>
  <si>
    <t>攻撃除外門派登録が解除されました。</t>
    <phoneticPr fontId="1" type="noConversion"/>
  </si>
  <si>
    <t>แคลนของคุณได้ยกเลิกการลงทะเบียนแคลนที่ไม่ร่วมการโจมตีแล้ว</t>
    <phoneticPr fontId="1" type="noConversion"/>
  </si>
  <si>
    <t>Clan removido de la exclusión de ataques.</t>
    <phoneticPr fontId="1" type="noConversion"/>
  </si>
  <si>
    <t>Seu clã deixou de ser inatacável.</t>
    <phoneticPr fontId="1" type="noConversion"/>
  </si>
  <si>
    <t>{1}门派已将您的门派解除添加为排除攻击的门派。\r\n\r\n点击下方的确认门派信息按键可以从排除攻击的门派中解除添加。\r\n\r\n谢谢。</t>
    <phoneticPr fontId="1" type="noConversion"/>
  </si>
  <si>
    <t>【{1}】{2}门派已将您的门派解除添加为排除攻击的门派。\r\n\r\n点击下方的确认门派信息按键可以从排除攻击的门派中解除添加。\r\n\r\n谢谢。</t>
    <phoneticPr fontId="1" type="noConversion"/>
  </si>
  <si>
    <t>สงครามกับแคลน [{1}] {2} ได้สิ้นสุดลงแล้ว\r\n&lt;span color="#FF3333"&gt;จำนวนสมาชิกแคลนของฉันที่ถูกสังหาร:&lt;/&gt;\r\nTotal {3} Kills\r\n&lt;span color="#92CDFF"&gt;จำนวนสมาชิกแคลนศัตรูที่เอาชนะ:&lt;/&gt;\r\nTotal {4} Kills\r\nขอบคุณ</t>
    <phoneticPr fontId="1" type="noConversion"/>
  </si>
  <si>
    <t>สงครามกับแคลน {1} ได้สิ้นสุดลงแล้ว\r\n&lt;span color="#FF3333"&gt;จำนวนสมาชิกแคลนของฉันที่ถูกสังหาร:&lt;/&gt;\r\nTotal {2} Kills\r\n&lt;span color="#92CDFF"&gt;จำนวนสมาชิกแคลนศัตรูที่เอาชนะ:&lt;/&gt;\r\nTotal {3} Kills\r\nขอบคุณ</t>
    <phoneticPr fontId="1" type="noConversion"/>
  </si>
  <si>
    <t>登錄懸賞通緝</t>
    <phoneticPr fontId="1" type="noConversion"/>
  </si>
  <si>
    <t>懸賞手配登録</t>
    <phoneticPr fontId="1" type="noConversion"/>
  </si>
  <si>
    <t>Registrado como Mais Procurado</t>
    <phoneticPr fontId="1" type="noConversion"/>
  </si>
  <si>
    <t>懸賞手配満了</t>
    <phoneticPr fontId="1" type="noConversion"/>
  </si>
  <si>
    <t>已登錄懸賞通緝目標。</t>
    <phoneticPr fontId="1" type="noConversion"/>
  </si>
  <si>
    <t>懸賞手配の対象に登録されました。</t>
    <phoneticPr fontId="1" type="noConversion"/>
  </si>
  <si>
    <t>Registrado como alvo Mais Procurado.</t>
    <phoneticPr fontId="1" type="noConversion"/>
  </si>
  <si>
    <t>懸賞手配時間が満了しました。</t>
    <phoneticPr fontId="1" type="noConversion"/>
  </si>
  <si>
    <t>已被登錄為懸賞通緝目標。\r\n\r\n請小心周圍的敵人。</t>
    <phoneticPr fontId="1" type="noConversion"/>
  </si>
  <si>
    <t>懸賞手配の対象に登録されました。\r\n\r\n周りの敵に用心してください。</t>
    <phoneticPr fontId="1" type="noConversion"/>
  </si>
  <si>
    <t>Foi registrado como alvo Mais Procurado.\r\n\r\nCuidado com os inimigos que o rodeiam.</t>
    <phoneticPr fontId="1" type="noConversion"/>
  </si>
  <si>
    <t>懸賞手配の時間が満了したため、{1}さんは\r\n\r\nもう懸賞手配犯ではありません。</t>
    <phoneticPr fontId="1" type="noConversion"/>
  </si>
  <si>
    <t>已登錄刺殺目標。</t>
    <phoneticPr fontId="1" type="noConversion"/>
  </si>
  <si>
    <t>Foi registrado como alvo de abate.</t>
    <phoneticPr fontId="1" type="noConversion"/>
  </si>
  <si>
    <t>已被{1}門派登錄為刺殺目標。\r\n\r\n請小心周圍的敵人。</t>
    <phoneticPr fontId="1" type="noConversion"/>
  </si>
  <si>
    <t>O clã {1} registrou-o como alvo de abate.\r\n\r\nCuidado com os inimigos que o rodeiam.</t>
    <phoneticPr fontId="1" type="noConversion"/>
  </si>
  <si>
    <t>{1}門派已接受結盟。\r\n\r\n希望能與結盟門派結下深厚的友誼。\r\n\r\n謝謝。</t>
    <phoneticPr fontId="1" type="noConversion"/>
  </si>
  <si>
    <t>The {1} clan has declined the alliance.\r\n\r\nThank you.</t>
    <phoneticPr fontId="1" type="noConversion"/>
  </si>
  <si>
    <t>{1}門派已拒絕結盟。\r\n\r\n謝謝。</t>
    <phoneticPr fontId="1" type="noConversion"/>
  </si>
  <si>
    <t>{1}门派拒绝结盟。\r\n\r\n谢谢。</t>
    <phoneticPr fontId="1" type="noConversion"/>
  </si>
  <si>
    <t>{1}門派が同盟を拒否しました</t>
    <phoneticPr fontId="1" type="noConversion"/>
  </si>
  <si>
    <t xml:space="preserve"> {1} แคลนได้ปฏิเสธพันธมิตรแล้ว\r\n\r\nขอขอบคุณ</t>
    <phoneticPr fontId="1" type="noConversion"/>
  </si>
  <si>
    <t>El clan {1} ha rechazado la alianza.\r\n\r\nGracias.</t>
    <phoneticPr fontId="1" type="noConversion"/>
  </si>
  <si>
    <t>O clã {1} rejeitou a aliança.\r\n\r\nObrigado.</t>
    <phoneticPr fontId="1" type="noConversion"/>
  </si>
  <si>
    <t>恭喜你！\r\n{1}成为攻城战的MVP。\r\n本轮攻城战获得的个人总分为{2}分。</t>
    <phoneticPr fontId="1" type="noConversion"/>
  </si>
  <si>
    <t>You have failed in the {1} raid.\r\nBecome stronger, or try again with a stronger party.</t>
    <phoneticPr fontId="1" type="noConversion"/>
  </si>
  <si>
    <t>{1}討伐失敗。\r\n試著讓自己變強，或是招募更強的人員再來重新挑戰吧。</t>
    <phoneticPr fontId="1" type="noConversion"/>
  </si>
  <si>
    <t>{1}讨伐失败。\r\n试着让自己变强，或是招募更强的人员再来重新挑战吧。</t>
    <phoneticPr fontId="1" type="noConversion"/>
  </si>
  <si>
    <t>{1}討伐に失敗しました\r\n自ら成長して強くなるか、さらに強いメンバーを迎え入れて再挑戦してみましょう</t>
    <phoneticPr fontId="1" type="noConversion"/>
  </si>
  <si>
    <t>คุณล้มเหลวในเรด {1} \r\nเพิ่มความแข็งแกร่ง หรือลองอีกครั้งด้วยปาร์ตี้อื่น</t>
    <phoneticPr fontId="1" type="noConversion"/>
  </si>
  <si>
    <t>Has fracasado en el asalto de {1}.\r\nHazte más fuerte o inténtalo de nuevo con un grupo más fuerte.</t>
    <phoneticPr fontId="1" type="noConversion"/>
  </si>
  <si>
    <t>Falhou o raide {1}.\r\nTorne-se mais forte, ou tente novamente com uma equipe mais forte.</t>
    <phoneticPr fontId="1" type="noConversion"/>
  </si>
  <si>
    <t>คุณพ่ายแพ้การต่อสู้ PvP ระหว่างท่าน {1}\r\nคุณสามารถแข็งแกร่งขึ้นได้จากการอัปเกรดสภาวะร่างกาย, พลังชี่, การเสริมพลัง และการสร้าง</t>
    <phoneticPr fontId="1" type="noConversion"/>
  </si>
  <si>
    <t>ชนะ PvP</t>
    <phoneticPr fontId="1" type="noConversion"/>
  </si>
  <si>
    <t>ได้ชนะในโหมด PvP</t>
    <phoneticPr fontId="1" type="noConversion"/>
  </si>
  <si>
    <t>[{1}] ได้ชนะ {2} ในโหมด PvP\r\n\r\nคะแนนอุปนิสัยที่ได้รับ: {3}\r\nระดับอุปนิสัยปัจจุบัน: {5} ({4} คะแนน)</t>
    <phoneticPr fontId="1" type="noConversion"/>
  </si>
  <si>
    <t>แพ้ PvP</t>
    <phoneticPr fontId="1" type="noConversion"/>
  </si>
  <si>
    <t>ได้แพ้ในโหมด PvP</t>
    <phoneticPr fontId="1" type="noConversion"/>
  </si>
  <si>
    <t>คุณพ่ายแพ้การต่อสู้ PvP ระหว่างท่าน [{1}] {2}\r\nคุณสามารถแข็งแกร่งขึ้นได้จากการอัปเกรดสภาวะร่างกาย, พลังชี่, การเสริมพลัง และการสร้าง</t>
    <phoneticPr fontId="1" type="noConversion"/>
  </si>
  <si>
    <t>Fundição de DRACO malsucedida.</t>
    <phoneticPr fontId="1" type="noConversion"/>
  </si>
  <si>
    <t>Troca de Aço Negro malsucedida.</t>
    <phoneticPr fontId="1" type="noConversion"/>
  </si>
  <si>
    <t>A fundição DRACO solicitada não foi bem-sucedida.\r\n\r\nQuantidade de Fundição Solicitada: {1}\r\nCusto de Fundição: {2} Aço Negro\r\n\r\nO Aço Negro fundido sem sucesso será devolvido.\r\n\r\nObrigado.</t>
    <phoneticPr fontId="1" type="noConversion"/>
  </si>
  <si>
    <t>Fundição de DRACO malsucedida.\r\nLimite diário de fundição de DRACO atingido.</t>
    <phoneticPr fontId="1" type="noConversion"/>
  </si>
  <si>
    <t>Fundição de DRACO malsucedida.\r\nLimite total de fundição de DRACO atingido.</t>
    <phoneticPr fontId="1" type="noConversion"/>
  </si>
  <si>
    <t>Fundição de DRACO malsucedida porque a quantidade diária de fundições foi alcançada.</t>
    <phoneticPr fontId="1" type="noConversion"/>
  </si>
  <si>
    <t>Character Sealing failed</t>
    <phoneticPr fontId="1" type="noConversion"/>
  </si>
  <si>
    <t>角色封印失敗</t>
    <phoneticPr fontId="1" type="noConversion"/>
  </si>
  <si>
    <t>角色封印失败</t>
    <phoneticPr fontId="1" type="noConversion"/>
  </si>
  <si>
    <t>キャラクター封印失敗</t>
    <phoneticPr fontId="1" type="noConversion"/>
  </si>
  <si>
    <t>ปิดผนึกตัวละครล้มเหลว</t>
    <phoneticPr fontId="1" type="noConversion"/>
  </si>
  <si>
    <t>Falla al sellar el personaje</t>
    <phoneticPr fontId="1" type="noConversion"/>
  </si>
  <si>
    <t>Falha na selagem de personagem</t>
    <phoneticPr fontId="1" type="noConversion"/>
  </si>
  <si>
    <t>The sealing fee has been refunded.</t>
    <phoneticPr fontId="1" type="noConversion"/>
  </si>
  <si>
    <t>將歸還用於封印的金額。</t>
    <phoneticPr fontId="1" type="noConversion"/>
  </si>
  <si>
    <t>归还封印的金额。</t>
    <phoneticPr fontId="1" type="noConversion"/>
  </si>
  <si>
    <t>封印に使用された金額が払い戻されます。</t>
    <phoneticPr fontId="1" type="noConversion"/>
  </si>
  <si>
    <t>คุณจะได้รับเงินค่าธรรมเนียมจากการปิดผนึกคืน</t>
    <phoneticPr fontId="1" type="noConversion"/>
  </si>
  <si>
    <t>Se te devolverá el monto del sello.</t>
    <phoneticPr fontId="1" type="noConversion"/>
  </si>
  <si>
    <t>A taxa de selagem será reembolsada.</t>
    <phoneticPr fontId="1" type="noConversion"/>
  </si>
  <si>
    <t>Falla al sellar el personaje.\r\n\r\nSe te devolverá el oro por la falla.\r\nGracias.</t>
    <phoneticPr fontId="1" type="noConversion"/>
  </si>
  <si>
    <t>NFT character registration failed</t>
    <phoneticPr fontId="1" type="noConversion"/>
  </si>
  <si>
    <t>NFT角色登錄失敗</t>
    <phoneticPr fontId="1" type="noConversion"/>
  </si>
  <si>
    <t>添加NFT角色失败</t>
    <phoneticPr fontId="1" type="noConversion"/>
  </si>
  <si>
    <t>NFTキャラクター登録失敗</t>
    <phoneticPr fontId="1" type="noConversion"/>
  </si>
  <si>
    <t>ลงทะเบียนตัวละคร NFT ล้มเหลว</t>
    <phoneticPr fontId="1" type="noConversion"/>
  </si>
  <si>
    <t>Falla al registrar el personaje NFT</t>
    <phoneticPr fontId="1" type="noConversion"/>
  </si>
  <si>
    <t>Falha na listagem de Personagem NFT</t>
    <phoneticPr fontId="1" type="noConversion"/>
  </si>
  <si>
    <t>The NFT character registration fee has been refunded.</t>
    <phoneticPr fontId="1" type="noConversion"/>
  </si>
  <si>
    <t>歸還登錄NFT角色的金額。</t>
    <phoneticPr fontId="1" type="noConversion"/>
  </si>
  <si>
    <t>归还添加NFT角色的金额。</t>
    <phoneticPr fontId="1" type="noConversion"/>
  </si>
  <si>
    <t>NFTキャラクター登録に使用された金額が払い戻されます。</t>
    <phoneticPr fontId="1" type="noConversion"/>
  </si>
  <si>
    <t>คุณจะได้รับเงินค่าธรรมเนียมการลงทะเบียนตัวละคร NFT คืน</t>
    <phoneticPr fontId="1" type="noConversion"/>
  </si>
  <si>
    <t>Se te devolverá el monto por registrar el personaje NFT.</t>
    <phoneticPr fontId="1" type="noConversion"/>
  </si>
  <si>
    <t>O custo de listagem de Personagem NFT será reembolsado.</t>
    <phoneticPr fontId="1" type="noConversion"/>
  </si>
  <si>
    <t>請求的NFT角色登錄失敗。\r\n\r\n將歸還失敗的金幣。\r\n謝謝。</t>
    <phoneticPr fontId="1" type="noConversion"/>
  </si>
  <si>
    <t>O item registrado em EXD foi vendido.</t>
    <phoneticPr fontId="1" type="noConversion"/>
  </si>
  <si>
    <t>登錄於EXD的道具已出售。\r\n道具名稱：{1}\r\n可連線至EXD確認已販賣的道具。\r\n\r\n謝謝。</t>
    <phoneticPr fontId="1" type="noConversion"/>
  </si>
  <si>
    <t>登记于EXD的道具已售出。\r\n道具名称：{1}\r\n可登录至EXD确认已贩卖的道具。\r\n\r\n谢谢。</t>
    <phoneticPr fontId="1" type="noConversion"/>
  </si>
  <si>
    <t>O item registrado em EXD foi vendido.\r\nNome do item: {1}\r\nO item vendido pode ser verificado acessando o EXD.\r\n\r\nObrigado.</t>
    <phoneticPr fontId="1" type="noConversion"/>
  </si>
  <si>
    <t>Refino de HYDRA malsucedido.</t>
    <phoneticPr fontId="1" type="noConversion"/>
  </si>
  <si>
    <t>O refino de HYDRA solicitado foi malsucedido.\r\n\r\nQuantidade de refino solicitada: x{1}\r\nCusto de refino: Septaria x{2}\r\n\r\nOs materiais que fracassaram no refino serão devolvidos.\r\n\r\nObrigado.</t>
    <phoneticPr fontId="1" type="noConversion"/>
  </si>
  <si>
    <t>협동보스 처치 보상</t>
    <phoneticPr fontId="1" type="noConversion"/>
  </si>
  <si>
    <t>Cooperation Boss Defeat Reward</t>
    <phoneticPr fontId="1" type="noConversion"/>
  </si>
  <si>
    <t>協同首領擊敗獎勵</t>
    <phoneticPr fontId="1" type="noConversion"/>
  </si>
  <si>
    <t>协同首领击败奖励</t>
    <phoneticPr fontId="1" type="noConversion"/>
  </si>
  <si>
    <t>協力ボス退治報酬</t>
    <phoneticPr fontId="1" type="noConversion"/>
  </si>
  <si>
    <t>รางวัลเอาชนะบอสร่วมมือ</t>
    <phoneticPr fontId="1" type="noConversion"/>
  </si>
  <si>
    <t>Recompensa al vencer el jefe cooperativo</t>
    <phoneticPr fontId="1" type="noConversion"/>
  </si>
  <si>
    <t>Recompensa de destruição do Boss Cooperativo</t>
    <phoneticPr fontId="1" type="noConversion"/>
  </si>
  <si>
    <t>召喚至比奇迷宮4層的一言武天將已被擊敗，\r\n\r\n給予召喚協同首領的門派成員以下獎勵。\r\n\r\n請確認背包空間後領取獎勵。\r\n\r\n謝謝。</t>
    <phoneticPr fontId="1" type="noConversion"/>
  </si>
  <si>
    <t>飛天迷宮4階に召喚された一言武天将が退治され\r\n\r\n協力ボスを召喚した門派の門派員に次の報酬を支給します。\r\n\r\nカバンの空きスロットを確認してからお受け取りください。\r\n\r\nありがとうございます。</t>
    <phoneticPr fontId="1" type="noConversion"/>
  </si>
  <si>
    <t>El General maza de púas invocado en el Laberinto de Bicheon P4 ha sido vencido.\r\n\r\nLos miembros del clan que invocaron al jefe cooperativo recibirán las siguientes recompensas.\r\n\r\nRecibe las recompensas tras verificar el espacio en la bolsa.\r\n\r\nGracias.</t>
    <phoneticPr fontId="1" type="noConversion"/>
  </si>
  <si>
    <t>召喚至牛魔迷宮4層的天厚羅豪將已被擊敗，\r\n\r\n給予召喚協同首領的門派成員以下獎勵。\r\n\r\n請確認背包空間後領取獎勵。\r\n\r\n謝謝。</t>
    <phoneticPr fontId="1" type="noConversion"/>
  </si>
  <si>
    <t>牛魔迷宮4階に召喚された天厚羅豪将が退治され\r\n\r\n協力ボスを召喚した門派の門派員に次の報酬を支給します。\r\n\r\nカバンの空きスロットを確認してからお受け取りください。\r\n\r\nありがとうございます。</t>
    <phoneticPr fontId="1" type="noConversion"/>
  </si>
  <si>
    <t>El General hacha de demonio alado invocado en el Laberinto de toro demoníaco P4 ha sido vencido.\r\n\r\nLos miembros del clan que invocaron al jefe cooperativo recibirán las siguientes recompensas.\r\n\r\nRecibe las recompensas tras verificar el espacio en la bolsa.\r\n\r\nGracias.</t>
    <phoneticPr fontId="1" type="noConversion"/>
  </si>
  <si>
    <t>召喚至蛇谷迷宮4層的古天泓志將已被擊敗，\r\n\r\n給予召喚協同首領的門派成員以下獎勵。\r\n\r\n請確認背包空間後領取獎勵。\r\n\r\n謝謝。</t>
    <phoneticPr fontId="1" type="noConversion"/>
  </si>
  <si>
    <t>蛇谷迷宮4階に召喚された古天弘志将が退治され\r\n\r\n協力ボスを召喚した門派の門派員に次の報酬を支給します。\r\n\r\nカバンの空きスロットを確認してからお受け取りください。\r\n\r\nありがとうございます。</t>
    <phoneticPr fontId="1" type="noConversion"/>
  </si>
  <si>
    <t>El General pilar monje invocado en el Laberinto de Valle serpiente P4 ha sido vencido.\r\n\r\nLos miembros del clan que invocaron al jefe cooperativo recibirán las siguientes recompensas.\r\n\r\nRecibe las recompensas tras verificar el espacio en la bolsa.\r\n\r\nGracias.</t>
    <phoneticPr fontId="1" type="noConversion"/>
  </si>
  <si>
    <t>召喚至廢礦迷宮4層的魔洛多天將已被擊敗，\r\n\r\n給予召喚協同首領的門派成員以下獎勵。\r\n\r\n請確認背包空間後領取獎勵。\r\n\r\n謝謝。</t>
    <phoneticPr fontId="1" type="noConversion"/>
  </si>
  <si>
    <t>廃坑迷宮4階に召喚された魔落多天将が退治され\r\n\r\n協力ボスを召喚した門派の門派員に次の報酬を支給します。\r\n\r\nカバンの空きスロットを確認してからお受け取りください。\r\n\r\nありがとうございます。</t>
    <phoneticPr fontId="1" type="noConversion"/>
  </si>
  <si>
    <t>El General demonio araña corrupto invocado en el Laberinto de Mina abandonada P4 ha sido vencido.\r\n\r\nLos miembros del clan que invocaron al jefe cooperativo recibirán las siguientes recompensas.\r\n\r\nRecibe las recompensas tras verificar el espacio en la bolsa.\r\n\r\nGracias.</t>
    <phoneticPr fontId="1" type="noConversion"/>
  </si>
  <si>
    <t>召喚至天道迷宮4層的叉愚巨魔將已被擊敗，\r\n\r\n給予召喚協同首領的門派成員以下獎勵。\r\n\r\n請確認背包空間後領取獎勵。\r\n\r\n謝謝。</t>
    <phoneticPr fontId="1" type="noConversion"/>
  </si>
  <si>
    <t>天都迷宮4階に召喚された叉愚巨魔将が退治され\r\n\r\n協力ボスを召喚した門派の門派員に次の報酬を支給します。\r\n\r\nカバンの空きスロットを確認してからお受け取りください。\r\n\r\nありがとうございます。</t>
    <phoneticPr fontId="1" type="noConversion"/>
  </si>
  <si>
    <t>El General de lanza raptor invocado en el Laberinto de Camino divino P4 ha sido vencido.\r\n\r\nLos miembros del clan que invocaron al jefe cooperativo recibirán las siguientes recompensas.\r\n\r\nRecibe las recompensas tras verificar el espacio en la bolsa.\r\n\r\nGracias.</t>
    <phoneticPr fontId="1" type="noConversion"/>
  </si>
  <si>
    <t>召喚至赤月迷宮4層的白月槍甲將已被擊敗，\r\n\r\n給予召喚協同首領的門派成員以下獎勵。\r\n\r\n請確認背包空間後領取獎勵。\r\n\r\n謝謝。</t>
    <phoneticPr fontId="1" type="noConversion"/>
  </si>
  <si>
    <t>赤月迷宮4階に召喚された白月槍甲将が退治され\r\n\r\n協力ボスを召喚した門派の門派員に次の報酬を支給します。\r\n\r\nカバンの空きスロットを確認してからお受け取りください。\r\n\r\nありがとうございます。</t>
    <phoneticPr fontId="1" type="noConversion"/>
  </si>
  <si>
    <t>El General de lanza blanca invocado en el Laberinto de Luna sangrienta P4 ha sido vencido.\r\n\r\nLos miembros del clan que invocaron al jefe cooperativo recibirán las siguientes recompensas.\r\n\r\nRecibe las recompensas tras verificar el espacio en la bolsa.\r\n\r\nGracias.</t>
    <phoneticPr fontId="1" type="noConversion"/>
  </si>
  <si>
    <t>召喚至夢村迷宮4層的九丈醉月將已被擊敗，\r\n\r\n給予召喚協同首領的門派成員以下獎勵。\r\n\r\n請確認背包空間後領取獎勵。\r\n\r\n謝謝。</t>
    <phoneticPr fontId="1" type="noConversion"/>
  </si>
  <si>
    <t>孟村迷宮4階に召喚された九丈酔月将が退治され\r\n\r\n協力ボスを召喚した門派の門派員に次の報酬を支給します。\r\n\r\nカバンの空きスロットを確認してからお受け取りください。\r\n\r\nありがとうございます。</t>
    <phoneticPr fontId="1" type="noConversion"/>
  </si>
  <si>
    <t>El General de armadura pesada invocado en el Laberinto de Fantasía P4 ha sido vencido.\r\n\r\nLos miembros del clan que invocaron al jefe cooperativo recibirán las siguientes recompensas.\r\n\r\nRecibe las recompensas tras verificar el espacio en la bolsa.\r\n\r\nGracias.</t>
    <phoneticPr fontId="1" type="noConversion"/>
  </si>
  <si>
    <t>召喚至石刻迷宮4層的暗怪綠豪將已被擊敗，\r\n\r\n給予召喚協同首領的門派成員以下獎勵。\r\n\r\n請確認背包空間後領取獎勵。\r\n\r\n謝謝。</t>
    <phoneticPr fontId="1" type="noConversion"/>
  </si>
  <si>
    <t>石刻迷宮4階に召喚された暗怪緑豪将が退治され\r\n\r\n協力ボスを召喚した門派の門派員に次の報酬を支給します。\r\n\r\nカバンの空きスロットを確認してからお受け取りください。\r\n\r\nありがとうございます。</t>
    <phoneticPr fontId="1" type="noConversion"/>
  </si>
  <si>
    <t>El General gólem de piedra verde invocado en el Laberinto de Piedra tallada P4 ha sido vencido.\r\n\r\nLos miembros del clan que invocaron al jefe cooperativo recibirán las siguientes recompensas.\r\n\r\nRecibe las recompensas tras verificar el espacio en la bolsa.\r\n\r\nGracias.</t>
    <phoneticPr fontId="1" type="noConversion"/>
  </si>
  <si>
    <t>召喚至沙巴克迷宮4層的火月怪如將已被擊敗，\r\n\r\n給予召喚協同首領的門派成員以下獎勵。\r\n\r\n請確認背包空間後領取獎勵。\r\n\r\n謝謝。</t>
    <phoneticPr fontId="1" type="noConversion"/>
  </si>
  <si>
    <t>沙北迷宮4階に召喚された火月怪如将が退治され\r\n\r\n協力ボスを召喚した門派の門派員に次の報酬を支給します。\r\n\r\nカバンの空きスロットを確認してからお受け取りください。\r\n\r\nありがとうございます。</t>
    <phoneticPr fontId="1" type="noConversion"/>
  </si>
  <si>
    <t>El General monje hinchado invocado en el Laberinto de Sabuk P4 ha sido vencido.\r\n\r\nLos miembros del clan que invocaron al jefe cooperativo recibirán las siguientes recompensas.\r\n\r\nRecibe las recompensas tras verificar el espacio en la bolsa.\r\n\r\nGracias.</t>
    <phoneticPr fontId="1" type="noConversion"/>
  </si>
  <si>
    <t>召喚至九龍迷宮4層的蒼天朱玄將已被擊敗，\r\n\r\n給予召喚協同首領的門派成員以下獎勵。\r\n\r\n請確認背包空間後領取獎勵。\r\n\r\n謝謝。</t>
    <phoneticPr fontId="1" type="noConversion"/>
  </si>
  <si>
    <t>九龍迷宮4階に召喚された蒼天主玄将が退治され\r\n\r\n協力ボスを召喚した門派の門派員に次の報酬を支給します。\r\n\r\nカバンの空きスロットを確認してからお受け取りください。\r\n\r\nありがとうございます。</t>
    <phoneticPr fontId="1" type="noConversion"/>
  </si>
  <si>
    <t>El General gólem de piedra azul invocado en el Laberinto del nonadragón P4 ha sido vencido.\r\n\r\nLos miembros del clan que invocaron al jefe cooperativo recibirán las siguientes recompensas.\r\n\r\nRecibe las recompensas tras verificar el espacio en la bolsa.\r\n\r\nGracias.</t>
    <phoneticPr fontId="1" type="noConversion"/>
  </si>
  <si>
    <t>상점에서 구매한 물품을 우편으로 전해드립니다. 감사합니다.</t>
    <phoneticPr fontId="1" type="noConversion"/>
  </si>
  <si>
    <t>The item you purchased from the Shop has been sent to your mail. Thank you.</t>
    <phoneticPr fontId="1" type="noConversion"/>
  </si>
  <si>
    <t>在商店購買的物品將透過信件傳達。謝謝。</t>
    <phoneticPr fontId="1" type="noConversion"/>
  </si>
  <si>
    <t>通过信件发送您在商店购买的物品。谢谢。</t>
    <phoneticPr fontId="1" type="noConversion"/>
  </si>
  <si>
    <t>商店で購入したアイテムをメールでお届けします。ありがとうございます。</t>
    <phoneticPr fontId="1" type="noConversion"/>
  </si>
  <si>
    <t>ไอเทมที่คุณซื้อจากร้านค้าด้ส่งให้คุณทางจดหมายแล้ว ขอบคุณ</t>
    <phoneticPr fontId="1" type="noConversion"/>
  </si>
  <si>
    <t>Los productos que compraste en la tienda te serán enviados por correo.</t>
    <phoneticPr fontId="1" type="noConversion"/>
  </si>
  <si>
    <t>O item comprado na Loja foi enviado para o correio. Obrigado.</t>
    <phoneticPr fontId="1" type="noConversion"/>
  </si>
  <si>
    <t>恭喜！\r\n\r\n您在沙巴克争霸【{1}】地区成功刻印了占领石，因此被选为MVP。\r\n为您的出色表现奉上赞赏，并发放一些奖励。</t>
    <phoneticPr fontId="1" type="noConversion"/>
  </si>
  <si>
    <t>Take heed, {1}.\r\nFrom now on, a penalty may apply each time you die.\r\n\r\n[EXP]: EXP lost at death can be recovered by using Common/Uncommon Restore.\r\n[Lost Items]: Some consumables and currencies are dropped upon death and lost permanently if not reclaimed.\r\n[Internal Injury]: When stacked, Hunting EXP and stats drop. Can be healed quickly by using Speed-ups or members' help.\r\n[Cooldown]: Repeated deaths gradually increase the resurrection wait time.</t>
    <phoneticPr fontId="1" type="noConversion"/>
  </si>
  <si>
    <t>{1}龍士様\r\nこれから死亡すると、ペナルティが適用される可能性があります。\r\n\r\n[経験値]：死亡時に失った経験値は一般/高級復旧で復旧できます。\r\n[遺失物]：一部の消費アイテムと財貨をドロップし、回収しなければ永久に失います。\r\n[内傷]：重複すると狩り経験値と能力が低下します。加速ポイントや門派員の支援で速やかに治療できます。\r\n[待機時間]：連続で死亡すると復活待機時間が徐々に増加します。</t>
    <phoneticPr fontId="1" type="noConversion"/>
  </si>
  <si>
    <t>Draconiano {1}.\r\nA partir de agora, pode ser aplicada uma penalidade a cada morte.\r\n\r\n[EXP]: A EXP perdida na morte pode ser recuperada usando a Reposição Normal/Incomum.\r\n[Itens perdidos]: Alguns consumíveis e moedas são largados após a morte e perdidos permanentemente se não forem recuperados.\r\n[Lesões internas]: Ao acumular, a EXP de caça e as estatísticas diminuem. Podem ser rapidamente curadas usando Pontos de aceleramento ou a ajuda dos membros do clã.\r\n[Tempo de espera ]: Morrer muitas vezes seguidas aumenta o tempo de espera de ressuscitação.</t>
    <phoneticPr fontId="1" type="noConversion"/>
  </si>
  <si>
    <t>玩家{1}赠送了{2}个礼物。\r\n\r\n可在商店的保管盒领取礼物。\r\n\r\n谢谢。</t>
    <phoneticPr fontId="1" type="noConversion"/>
  </si>
  <si>
    <t>Altar of Black Dragon</t>
    <phoneticPr fontId="1" type="noConversion"/>
  </si>
  <si>
    <t>黑龍祭壇</t>
    <phoneticPr fontId="1" type="noConversion"/>
  </si>
  <si>
    <t>黑龙祭坛</t>
    <phoneticPr fontId="1" type="noConversion"/>
  </si>
  <si>
    <t>黒龍の祭壇</t>
    <phoneticPr fontId="1" type="noConversion"/>
  </si>
  <si>
    <t>แท่นบูชาของมังกรดำ</t>
    <phoneticPr fontId="1" type="noConversion"/>
  </si>
  <si>
    <t>Altar del Dragón negro</t>
    <phoneticPr fontId="1" type="noConversion"/>
  </si>
  <si>
    <t>Altar do Dragão Negro</t>
    <phoneticPr fontId="1" type="noConversion"/>
  </si>
  <si>
    <t>A Altar of Black Dragon has been built.</t>
    <phoneticPr fontId="1" type="noConversion"/>
  </si>
  <si>
    <t>已部署黑龍祭壇。</t>
    <phoneticPr fontId="1" type="noConversion"/>
  </si>
  <si>
    <t>已部署黑龙祭坛。</t>
    <phoneticPr fontId="1" type="noConversion"/>
  </si>
  <si>
    <t>黒龍の祭壇が設置されました。</t>
    <phoneticPr fontId="1" type="noConversion"/>
  </si>
  <si>
    <t>แท่นบูชาของมังกรดำได้สร้างขึ้นแล้ว</t>
    <phoneticPr fontId="1" type="noConversion"/>
  </si>
  <si>
    <t>El Altar del Dragón negro ha sido instalado.</t>
    <phoneticPr fontId="1" type="noConversion"/>
  </si>
  <si>
    <t>O Altar do Dragão Negro foi instalado.</t>
    <phoneticPr fontId="1" type="noConversion"/>
  </si>
  <si>
    <t>A Altar of Black Dragon has been destroyed.</t>
    <phoneticPr fontId="1" type="noConversion"/>
  </si>
  <si>
    <t>黑龍祭壇已被摧毀。</t>
    <phoneticPr fontId="1" type="noConversion"/>
  </si>
  <si>
    <t>黑龙祭坛已被破坏。</t>
    <phoneticPr fontId="1" type="noConversion"/>
  </si>
  <si>
    <t>黒龍の祭壇が破壊されました。</t>
    <phoneticPr fontId="1" type="noConversion"/>
  </si>
  <si>
    <t>แท่นบูชาของมังกรดำถูกทำลายแล้ว</t>
    <phoneticPr fontId="1" type="noConversion"/>
  </si>
  <si>
    <t>El Altar del Dragón negro ha sido destruido.</t>
    <phoneticPr fontId="1" type="noConversion"/>
  </si>
  <si>
    <t>O Altar do Dragão Negro foi destruído.</t>
    <phoneticPr fontId="1" type="noConversion"/>
  </si>
  <si>
    <t>The {1} Altar of Black Dragon is under attack.</t>
    <phoneticPr fontId="1" type="noConversion"/>
  </si>
  <si>
    <t>{1}地區的黑龍祭壇正在遭受攻擊。</t>
    <phoneticPr fontId="1" type="noConversion"/>
  </si>
  <si>
    <t>{1}地区的黑龙祭坛正在遭受攻击。</t>
    <phoneticPr fontId="1" type="noConversion"/>
  </si>
  <si>
    <t>{1}地域の黒龍の祭壇が攻撃を受けています。</t>
    <phoneticPr fontId="1" type="noConversion"/>
  </si>
  <si>
    <t>แท่นบูชาของมังกรดำ {1} กำลังถูกโจมตี</t>
    <phoneticPr fontId="1" type="noConversion"/>
  </si>
  <si>
    <t>El Altar del Dragón negro de {1} está siendo atacado.</t>
    <phoneticPr fontId="1" type="noConversion"/>
  </si>
  <si>
    <t>O Altar do Dragão Negro de {1} está sendo atacado.</t>
    <phoneticPr fontId="1" type="noConversion"/>
  </si>
  <si>
    <t>[{1}] has installed a Altar of Black Dragon at the [{2}] area.\r\nYou can get the following reward buffs by defending the altar for 10 minutes.\r\n\r\nApplied: {3}\r\nApplied: {4}\r\n\r\nIf you already have buffs with a higher priority, the altar buffs will not be applied.</t>
    <phoneticPr fontId="1" type="noConversion"/>
  </si>
  <si>
    <t>［{1}］玩家已在［{2}］地區部署黑龍祭壇。\r\n10分鐘內防禦祭壇，可獲得下列獎勵加成。\r\n\r\n套用：{3}\r\n套用：{4}\r\n\r\n。不過，如正在接受優先排名高的效果時，則不會套用。</t>
    <phoneticPr fontId="1" type="noConversion"/>
  </si>
  <si>
    <t>玩家【{1}】在【{2}】地区部署了黑龙祭坛。\r\n成功防御祭坛10分钟即可获得以下奖励加成。\r\n\r\n适用：{3}\r\n适用：{4}\r\n\r\n但，已适用优先顺序更高的效果时不会适用。</t>
    <phoneticPr fontId="1" type="noConversion"/>
  </si>
  <si>
    <t>[{1}]さんが[{2}]地域に黒龍の祭壇を設置しました。\r\n10分間祭壇を防御すると、以下の報酬バフを受けることができます。\r\n\r\n適用：{3}\r\n適用：{4}\r\n\r\nただし、優先順位が高い効果を受けている場合は適用されません。</t>
    <phoneticPr fontId="1" type="noConversion"/>
  </si>
  <si>
    <t>คุณ [{1}] ได้สร้างแท่นบูชาของมังกรดำที่ {2}\r\nหากป้องกับแท่นบูชาเป็นเวลา 10 นาทีจะได้รับบัฟรางวัลต่อไปนี้\r\n\r\nใช้งาน : {3}\r\nใช้งาน : {4}\r\n\r\nแต่หากมีเอฟเฟกต์ที่สูงกว่าอยู่จะไม่ใช้งาน</t>
    <phoneticPr fontId="1" type="noConversion"/>
  </si>
  <si>
    <t>{1} instaló el Altar del Dragón negro en {2}.\r\nSi proteges el altar por 10 minutos, puedes recibir las siguientes ventajas de recompensa.\r\n\r\nAplicado: {3}\r\nAplicado: {4}\r\n\r\n. No aplica en caso de hayas recibido los efectos de alta prioridad.</t>
    <phoneticPr fontId="1" type="noConversion"/>
  </si>
  <si>
    <t>[{1}] instalou o Altar do Dragão Negro em [{2}].\r\nDefenda o altar por 10 minutos e receba os seguintes buffs.\r\n\r\nAplicado: {3}\r\nAplicado: {4}\r\n\r\nExceção: não será aplicado se estiver com um efeito de classificação superior.</t>
    <phoneticPr fontId="1" type="noConversion"/>
  </si>
  <si>
    <t>The Altar of Black Dragon in the [{2}] area has been destroyed by the [{1}] Clan.\r\nYou will lose the following buffs when the altar is destroyed.\r\n\r\nApplied: {3}\r\nApplied: {4}\r\nYou will be applied with the buff effects if you are occupying the next-highest ranking altar.</t>
    <phoneticPr fontId="1" type="noConversion"/>
  </si>
  <si>
    <t>［{2}］地區的黑龍祭壇因為［{1}］門派的攻擊而被摧毀。\r\n因祭壇被摧毀，下列的獎勵加成將消失。\r\n\r\n套用：{3}\r\n套用：{4}\r\n。不過，如正在占領著下一排名時，將會套用該效果。</t>
    <phoneticPr fontId="1" type="noConversion"/>
  </si>
  <si>
    <t>【{2}】地区的黑龙祭坛因受到门派【{1}】的攻击而遭到破坏。\r\n因祭坛被破坏，以下奖励加成将消失。\r\n\r\n适用：{3}\r\n适用：{4}\r\n但，占领次等顺序祭坛时将适用该效果。</t>
    <phoneticPr fontId="1" type="noConversion"/>
  </si>
  <si>
    <t>[{2}]地域の黒龍の祭壇が[{1}]門派の攻撃により破壊されました。\r\n祭壇が破壊されたため、以下の報酬バフが解除されます。\r\n\r\n適用：{3}\r\n適用：{4}\r\nただし、次の順位の祭壇を占領している場合、その効果が適用されます。</t>
    <phoneticPr fontId="1" type="noConversion"/>
  </si>
  <si>
    <t>แท่นบูชาของมังกรดำที่ {2} ถูกทำลายจากการโจมตีของแคลน [{1}] แล้ว\r\nบัฟรางวัลต่อไปนี้จะหายไปเนื่องจากแท่นบูชาถูกทำลาย\r\n\r\nใช้งาน : {3}\r\nใช้งาน : {4}\r\nแต่หากครองแท่นบูชาอันดับถัดมาอยู่จะยังได้รับเอฟเฟกต์ดังกล่าว</t>
    <phoneticPr fontId="1" type="noConversion"/>
  </si>
  <si>
    <t>El Altar del Dragón negro de {2} fue destruido en un ataque del clan {1}.\r\nDesaparecerán las siguientes ventajas de recompensa por la destrucción del altar.\r\n\r\nAplicado: {3} \r\nAplicado: {4}\r\n. Se aplicarán estos efectos en caso de que se haya capturado el siguiente altar.</t>
    <phoneticPr fontId="1" type="noConversion"/>
  </si>
  <si>
    <t>O Altar do Dragão Negro localizado em [{2}] foi destruído pelos ataques do clã [{1}].\r\nDesaparecimento dos buffs devido à destruição do altar.\r\n\r\nAplicado: {3}\r\nAplicado: {4}\r\nExceção: o próximo efeito é aplicado se estiver capturando um altar diferente.</t>
    <phoneticPr fontId="1" type="noConversion"/>
  </si>
  <si>
    <t>The Altar of Black Dragon in the [{1}] area had its duration expired and retrieved.\r\nYou will lose the following buffs when the altar is destroyed.\r\n\r\nApplied: {2}\r\nApplied: {3}\r\n\r\nYou will be applied with the buff effects if you are occupying the next-highest ranking altar.</t>
    <phoneticPr fontId="1" type="noConversion"/>
  </si>
  <si>
    <t>［{1}］地區的黑龍祭壇持續時間到期，已被回收。\r\n因祭壇被破壞，下列的獎勵加成將消失。\r\n\r\n套用：{2}\r\n套用：{3}\r\n\r\n。不過，如正在占領著下一排名時，將會套用該效果。</t>
    <phoneticPr fontId="1" type="noConversion"/>
  </si>
  <si>
    <t>因【{1}】地区的黑龙祭坛持续时间到期，已被回收。\r\n因祭坛被破坏，以下奖励加成将消失。\r\n\r\n适用：{2}\r\n适用：{3}\r\n\r\n但，占领次等顺序祭坛时将适用该效果。</t>
    <phoneticPr fontId="1" type="noConversion"/>
  </si>
  <si>
    <t>[{1}]地域の黒龍の祭壇維持時間が満了し回収されました。\r\n祭壇が破壊されたため、以下の報酬バフが解除されます。\r\n\r\n適用：{2}\r\n適用：{3}\r\n\r\nただし、次の順位の祭壇を占領している場合、その効果が適用されます。</t>
    <phoneticPr fontId="1" type="noConversion"/>
  </si>
  <si>
    <t>แท่นบูชาของมังกรดำที่ {1} หมดอายุและถูกเรียกเก็บแล้ว\r\nบัฟรางวัลต่อไปนี้จะหายไปเนื่องจากแท่นบูชาถูกทำลาย\r\n\r\nใช้งาน : {2}\r\nใช้งาน : {3}\r\n\r\nแต่หากครองแท่นบูชาอันดับถัดมาอยู่จะยังได้รับเอฟเฟกต์ดังกล่าว</t>
    <phoneticPr fontId="1" type="noConversion"/>
  </si>
  <si>
    <t>El Altar del Dragón negro de {1} ha expirado y ha sido retirado.\r\nDesaparán las siguientes ventajas de recompensa por la destrucción del altar.\r\n\r\nAplicado: {2} \r\nAplicado: {3}\r\n\r\n. Se aplicarán estos efectos en caso de que se haya capturado el siguiente altar.</t>
    <phoneticPr fontId="1" type="noConversion"/>
  </si>
  <si>
    <t>Recuperação concluída uma vez que a expiração do tempo de duração do Altar do Dragão Negro localizado em [{1}].\r\nDesaparecimento dos buffs devido à destruição do altar.\r\n\r\nAplicado: {2}\r\nAplicado: {3}\r\n\r\nExceção: o próximo efeito é aplicado se estiver capturando um altar diferente.</t>
    <phoneticPr fontId="1" type="noConversion"/>
  </si>
  <si>
    <t>A recompensa de classificação de Poder de Combate foi enviada.</t>
    <phoneticPr fontId="1" type="noConversion"/>
  </si>
  <si>
    <t>Parabéns!\r\nVocê alcançou uma classificação de Poder de Combate. Enviaremos uma recompensa.\r\nRecompensa de Classificação: 1.º lugar\r\n\r\nSaudamos a sua grande glória. Receba a recompensa.\r\n\r\nObrigado.</t>
    <phoneticPr fontId="1" type="noConversion"/>
  </si>
  <si>
    <t>Parabéns!\r\nVocê alcançou uma classificação de Poder de Combate. Enviaremos uma recompensa.\r\nRecompensa de Classificação: 2.º lugar\r\n\r\nSaudamos a sua grande glória. Receba a recompensa.\r\n\r\nObrigado.</t>
    <phoneticPr fontId="1" type="noConversion"/>
  </si>
  <si>
    <t>Parabéns!\r\nVocê alcançou uma classificação de Poder de Combate. Enviaremos uma recompensa.\r\nRecompensa de Classificação: do 3.º a 5.º lugar\r\n\r\nSaudamos a sua grande glória. Receba a recompensa.\r\n\r\nObrigado.</t>
    <phoneticPr fontId="1" type="noConversion"/>
  </si>
  <si>
    <t>Parabéns!\r\nVocê alcançou uma classificação de Poder de Combate. Enviaremos uma recompensa.\r\nRecompensa de Classificação: do 6.º a 10.º lugar\r\n\r\nSaudamos a sua grande glória. Receba a recompensa.\r\n\r\nObrigado.</t>
    <phoneticPr fontId="1" type="noConversion"/>
  </si>
  <si>
    <t>Parabéns!\r\nVocê alcançou uma classificação de Poder de Combate. Enviaremos uma recompensa.\r\nRecompensa de Classificação: do 11.º a 50.º lugar\r\n\r\nSaudamos a sua grande glória. Receba a recompensa.\r\n\r\nObrigado.</t>
    <phoneticPr fontId="1" type="noConversion"/>
  </si>
  <si>
    <t>Parabéns!\r\nVocê alcançou uma classificação de Poder de Combate. Enviaremos uma recompensa.\r\nRecompensa de Classificação: do 51.º a 100.º lugar\r\n\r\nSaudamos a sua grande glória. Receba a recompensa.\r\n\r\nObrigado.</t>
    <phoneticPr fontId="1" type="noConversion"/>
  </si>
  <si>
    <t>Parabéns!\r\nVocê alcançou uma classificação de Poder de Combate. Enviaremos uma recompensa.\r\nRecompensa de Classificação: do 101.º a 500.º lugar\r\n\r\nSaudamos a sua grande glória. Receba a recompensa.\r\n\r\nObrigado.</t>
    <phoneticPr fontId="1" type="noConversion"/>
  </si>
  <si>
    <t>Parabéns!\r\nVocê alcançou uma classificação de Poder de Combate. Enviaremos uma recompensa.\r\nRecompensa de Classificação: do 501.º a 1.000.º lugar\r\n\r\nSaudamos a sua grande glória. Receba a recompensa.\r\n\r\nObrigado.</t>
    <phoneticPr fontId="1" type="noConversion"/>
  </si>
  <si>
    <t>Parabéns!\r\nVocê alcançou uma classificação de Poder de Combate. Enviaremos uma recompensa.\r\nRecompensa de Classificação: do 1.001.º a 5.000.º lugar\r\n\r\nSaudamos a sua grande glória. Receba a recompensa.\r\n\r\nObrigado.</t>
    <phoneticPr fontId="1" type="noConversion"/>
  </si>
  <si>
    <t>Parabéns!\r\nVocê alcançou uma classificação de Poder de Combate. Enviaremos uma recompensa.\r\nRecompensa de Classificação: do 5.001.º a 10.000.º lugar\r\n\r\nSaudamos a sua grande glória. Receba a recompensa.\r\n\r\nObrigado.</t>
    <phoneticPr fontId="1" type="noConversion"/>
  </si>
  <si>
    <t>Congratulations!\r\nHere is your reward for achieving the Power Score ranking.\r\nRanking Reward: #{1}\r\n\r\nWe commend you for your outstanding honor and give you the reward.\r\n\r\nThank you.</t>
    <phoneticPr fontId="1" type="noConversion"/>
  </si>
  <si>
    <t>恭喜您！\r\n戰鬥力排位達成，特此送上獎勵。\r\n排位獎勵區間：第{1}名\r\n\r\n為您獻上卓越榮譽的讚揚，並發送獎勵。\r\n\r\n謝謝。</t>
    <phoneticPr fontId="1" type="noConversion"/>
  </si>
  <si>
    <t>恭喜！\r\n已入围战斗力排位，发放奖励。\r\n排位奖励范围：第{1}名\r\n\r\n恭贺您的崇高荣耀，并发放奖励。\r\n\r\n谢谢。</t>
    <phoneticPr fontId="1" type="noConversion"/>
  </si>
  <si>
    <t>おめでとうございます！\r\n戦闘力ランキングを達成したので、報酬をお送りします。\r\nランキング報酬区間：{1}位\r\n\r\n素晴らしい栄誉に賛辞を送り、報酬を支給します。\r\n\r\nありがとうございます。</t>
    <phoneticPr fontId="1" type="noConversion"/>
  </si>
  <si>
    <t>ขอแสดงความยินดี!\r\nคุณได้รับรางวัลสำหรับการบรรลุอันดับแต้มพลัง\r\nช่วงรางวัลอันดับ: อันดับ {1}\r\n\r\nขอชื่นชมในเกียรติยศอันยอดเยี่ยมของคุณ และมอบรางวัลให้คุณ\r\n\r\nขอบคุณ</t>
    <phoneticPr fontId="1" type="noConversion"/>
  </si>
  <si>
    <t>¡Felicidades!\r\nTe enviamos una recompensa por haber alcanzado una clasificación de poder de combate.\r\nRango de recompensa de clasificación: {1}.° lugar\r\n\r\nTe felicitamos por este gran honor y te otorgamos la recompensa.\r\n\r\nGracias.</t>
    <phoneticPr fontId="1" type="noConversion"/>
  </si>
  <si>
    <t>Parabéns!\r\nVocê alcançou uma classificação de Poder de Combate. Enviaremos uma recompensa.\r\nRecompensa de Classificação: {1}.º lugar\r\n\r\nSaudamos a sua grande glória. Receba a recompensa.\r\n\r\nObrigado.</t>
    <phoneticPr fontId="1" type="noConversion"/>
  </si>
  <si>
    <t>2025.06.10</t>
    <phoneticPr fontId="1" type="noConversion"/>
  </si>
  <si>
    <t>EXDRA2 제작 성공</t>
    <phoneticPr fontId="1" type="noConversion"/>
  </si>
  <si>
    <t>EXDRA2 Crafting Success</t>
    <phoneticPr fontId="1" type="noConversion"/>
  </si>
  <si>
    <t>EXDRA2製造成功</t>
    <phoneticPr fontId="1" type="noConversion"/>
  </si>
  <si>
    <t>EXDRA2制造成功</t>
    <phoneticPr fontId="1" type="noConversion"/>
  </si>
  <si>
    <t>EXDRA2製作成功</t>
    <phoneticPr fontId="1" type="noConversion"/>
  </si>
  <si>
    <t>สร้าง EXDRA2 สำเร็จ</t>
    <phoneticPr fontId="1" type="noConversion"/>
  </si>
  <si>
    <t>Éxito en la fabricación de EXDRA2</t>
    <phoneticPr fontId="1" type="noConversion"/>
  </si>
  <si>
    <t>Sucesso na Criação de EXDRA2</t>
    <phoneticPr fontId="1" type="noConversion"/>
  </si>
  <si>
    <t>EXDRA2 제작 실패</t>
    <phoneticPr fontId="1" type="noConversion"/>
  </si>
  <si>
    <t>EXDRA2 Crafting Failure</t>
    <phoneticPr fontId="1" type="noConversion"/>
  </si>
  <si>
    <t>EXDRA2製造失敗</t>
    <phoneticPr fontId="1" type="noConversion"/>
  </si>
  <si>
    <t>EXDRA2制造失败</t>
    <phoneticPr fontId="1" type="noConversion"/>
  </si>
  <si>
    <t>EXDRA2製作失敗</t>
    <phoneticPr fontId="1" type="noConversion"/>
  </si>
  <si>
    <t>สร้าง EXDRA2 ล้มเหลว</t>
    <phoneticPr fontId="1" type="noConversion"/>
  </si>
  <si>
    <t>Fallo en la fabricación de EXDRA2</t>
    <phoneticPr fontId="1" type="noConversion"/>
  </si>
  <si>
    <t>Fracasso de Criação de EXDRA2</t>
    <phoneticPr fontId="1" type="noConversion"/>
  </si>
  <si>
    <t>EXDRA2 제작에 성공하였습니다.</t>
    <phoneticPr fontId="1" type="noConversion"/>
  </si>
  <si>
    <t>EXDRA2 crafting was successful.</t>
    <phoneticPr fontId="1" type="noConversion"/>
  </si>
  <si>
    <t>EXDRA2製造已成功。</t>
    <phoneticPr fontId="1" type="noConversion"/>
  </si>
  <si>
    <t>EXDRA2制造成功。</t>
    <phoneticPr fontId="1" type="noConversion"/>
  </si>
  <si>
    <t>EXDRA2製作に成功しました。</t>
    <phoneticPr fontId="1" type="noConversion"/>
  </si>
  <si>
    <t>ได้สร้าง EXDRA2 สำเร็จ</t>
    <phoneticPr fontId="1" type="noConversion"/>
  </si>
  <si>
    <t>La fabricación de EXDRA2 ha sido exitosa.</t>
    <phoneticPr fontId="1" type="noConversion"/>
  </si>
  <si>
    <t>Criação de EXDRA2 bem-sucedida.</t>
    <phoneticPr fontId="1" type="noConversion"/>
  </si>
  <si>
    <t>EXDRA2 제작에 실패하였습니다.</t>
    <phoneticPr fontId="1" type="noConversion"/>
  </si>
  <si>
    <t>EXDRA2 crafting was unsuccessful.</t>
    <phoneticPr fontId="1" type="noConversion"/>
  </si>
  <si>
    <t>EXDRA2製造已失敗。</t>
    <phoneticPr fontId="1" type="noConversion"/>
  </si>
  <si>
    <t>EXDRA2制造失败。</t>
    <phoneticPr fontId="1" type="noConversion"/>
  </si>
  <si>
    <t>EXDRA2製作に失敗しました。</t>
    <phoneticPr fontId="1" type="noConversion"/>
  </si>
  <si>
    <t>ได้สร้าง EXDRA2 ล้มเหลว</t>
    <phoneticPr fontId="1" type="noConversion"/>
  </si>
  <si>
    <t>La fabricación de EXDRA2 ha fallado.</t>
    <phoneticPr fontId="1" type="noConversion"/>
  </si>
  <si>
    <t>Criação de EXDRA2 fracassada.</t>
    <phoneticPr fontId="1" type="noConversion"/>
  </si>
  <si>
    <t>요청하신 EXDRA2 제작에 성공하였습니다.\r\n\r\n제작 요청 수량 : {1} 개\r\n제작 비용 : 운철 {2} 개, 푸른 귀갑석 {3} 개\r\n\r\n제작한 EXDRA2은 WEMIX PLAY에서 확인하실 수 있습니다.\r\n\r\n감사합니다.</t>
    <phoneticPr fontId="1" type="noConversion"/>
  </si>
  <si>
    <t>The requested EXDRA2 crafting was successful.\r\n\r\nRequested Crafting Amount: {1}\r\nCrafting Cost: {2} Dragonsteel, {3} Blue Septaria\r\n\r\nYou can check the crafted EXDRA2 in WEMIX PLAY.\r\n\r\nThank you.</t>
    <phoneticPr fontId="1" type="noConversion"/>
  </si>
  <si>
    <t>您所請求的EXDRA2製造已成功。\r\n\r\n製造請求數量：{1}個\r\n製造費用：{2}個龍鐵、{3}個藍色龜甲石\r\n\r\n製造的EXDRA2可於WEMIX PLAY中確認。\r\n\r\n謝謝。</t>
    <phoneticPr fontId="1" type="noConversion"/>
  </si>
  <si>
    <t>请求的EXDRA2制造成功。\r\n\r\n制造请求数量：{1}个\r\n制造费用：{2}个龙铁、{3}个蓝色龟甲石\r\n\r\n制造的EXDRA2可以在WEMIX PLAY进行确认。\r\n\r\n谢谢。</t>
    <phoneticPr fontId="1" type="noConversion"/>
  </si>
  <si>
    <t>EXDRA2製作に成功しました。\r\n\r\n製作要請数量：{1}個\r\n製作費用：龍鉄{2}個、青いSeptaria{3}個\r\n\r\n製作したEXDRA2はWEMIX PLAYでご確認いただけます。\r\n\r\nご利用ありがとうございます。</t>
    <phoneticPr fontId="1" type="noConversion"/>
  </si>
  <si>
    <t>คุณได้สร้าง EXDRA2 ตามที่ร้องขอสำเร็จแล้ว\r\n\r\nจำนวนที่ร้องขอในการสร้าง: {1} ชิ้น\r\nค่าใช้จ่ายในการสร้าง: เหล็กมังกร {2} ชิ้น, Septaria น้ำเงิน {3} ชิ้น\r\n\r\nคุณสามารถตรวจสอบ EXDRA2 ที่สร้างได้ใน WEMIX PLAY\r\n\r\nขอบคุณ</t>
    <phoneticPr fontId="1" type="noConversion"/>
  </si>
  <si>
    <t>La fabricación de EXDRA2 que solicitaste ha sido exitosa.\r\n\r\nCantidad solicitada para fabricación: {1}\r\nCosto de fabricación: Acero dragón x{2}, Septaria azul x{3}\r\n\r\nEl EXDRA2 fabricado se puede verificar en WEMIX PLAY.\r\n\r\nGracias.</t>
    <phoneticPr fontId="1" type="noConversion"/>
  </si>
  <si>
    <t>A criação de EXDRA2 solicitada fracassou.\r\n\r\nQuantidade de Criação Solicitada: {1}\r\nCusto de Criação: Aço de Dragão x{2}e Septaria Azul x{3}\r\n\r\nO EXDRA2 criado pode ser verificado no WEMIX PLAY.\r\n\r\nObrigado.</t>
    <phoneticPr fontId="1" type="noConversion"/>
  </si>
  <si>
    <t>요청하신 EXDRA2 제작에 실패하였습니다.\r\n\r\n제작 요청 수량 : {1} 개\r\n제작 비용 : 운철 {2} 개, 푸른 귀갑석 {3} 개\r\n\r\n제작에 실패한 재료는 다시 반환하여 드립니다.\r\n\r\n감사합니다.</t>
    <phoneticPr fontId="1" type="noConversion"/>
  </si>
  <si>
    <t>The requested EXDRA2 crafting was unsuccessful.\r\n\r\nRequested Crafting Amount: {1}\r\nCrafting Cost: {2} Dragonsteel, {3} Blue Septaria\r\n\r\nThe materials for failed crafting will be returned.\r\n\r\nThank you.</t>
    <phoneticPr fontId="1" type="noConversion"/>
  </si>
  <si>
    <t>您所請求的EXDRA2製造已失敗。\r\n\r\n製造請求數量：{1}個\r\n製造費用：{2}個龍鐵、{3}個藍色龜甲石\r\n\r\n將歸還製造失敗的材料。\r\n\r\n謝謝。</t>
    <phoneticPr fontId="1" type="noConversion"/>
  </si>
  <si>
    <t>请求的EXDRA2制造失败。\r\n\r\n制造请求数量：{1}个\r\n制造费用：{2}个龙铁、{3}个蓝色龟甲石\r\n\r\n制造失败的材料将会重新返还。\r\n\r\n谢谢。</t>
    <phoneticPr fontId="1" type="noConversion"/>
  </si>
  <si>
    <t>EXDRA2製作に失敗しました。\r\n\r\n製作要請数量：{1}個\r\n製作費用：龍鉄{2}個、青いSeptaria{3}個\r\n\r\n製作に失敗した素材は返却させていただきます。\r\n\r\nご利用ありがとうございます。</t>
    <phoneticPr fontId="1" type="noConversion"/>
  </si>
  <si>
    <t>การสร้าง EXDRA2 ที่คุณร้องขอล้มเหลว\r\n\r\nจำนวนที่ร้องขอสร้าง: {1} ชิ้น\r\nค่าใช้จ่ายในการสร้าง: เหล็กมังกร {2} ชิ้น, Septaria น้ำเงิน {3} ชิ้น\r\n\r\nวัตถุดิบที่ล้มเหลวในการสร้างจะถูกส่งคืน\r\n\r\nขอบคุณ</t>
    <phoneticPr fontId="1" type="noConversion"/>
  </si>
  <si>
    <t>La fabricación de EXDRA2 que solicitaste ha fallado.\r\n\r\nCantidad solicitada para fabricación: {1}\r\nCosto de fabricación: Acero dragón x{2}, Septaria azul x{3}\r\n\r\nLos materiales utilizados en la fabricación fallida serán devueltos.\r\n\r\nGracias.</t>
    <phoneticPr fontId="1" type="noConversion"/>
  </si>
  <si>
    <t>A criação de EXDRA2 solicitada fracassou.\r\n\r\nQuantidade de Criação Solicitada: {1}\r\nCusto de Criação: Aço de Dragão x{2} e Septaria Azul x{3}\r\n\r\nOs materiais que fracassaram na criação serão devolvidos.\r\n\r\nObrigado.</t>
    <phoneticPr fontId="1" type="noConversion"/>
  </si>
  <si>
    <t>แลกเปลี่ยน {1} สำเร็จแล้ว</t>
    <phoneticPr fontId="1" type="noConversion"/>
  </si>
  <si>
    <t>요청하신 {1} 교환에 성공 하였습니다.\r\n\r\n교환 요청 수량 : {2} 개\r\n교환 비용 : EXDRA2 : {3}개\r\n\r\n감사합니다.</t>
    <phoneticPr fontId="1" type="noConversion"/>
  </si>
  <si>
    <t>The requested {1} exchange was successful.\r\n\r\nRequested Exchange Amount: {2}\r\nExchange Cost: EXDRA2: {3}\r\n\r\nThank you.</t>
    <phoneticPr fontId="1" type="noConversion"/>
  </si>
  <si>
    <t>請求的{1}兌換已成功。\r\n\r\n請求兌換數量：{2}個\r\n兌換費用：EXDRA2：{3}個\r\n\r\n謝謝。</t>
    <phoneticPr fontId="1" type="noConversion"/>
  </si>
  <si>
    <t>请求的{1}交换成功。\r\n\r\n交换请求数量：{2}个\r\n交换费用：EXDRA2：{3}个\r\n\r\n谢谢。</t>
    <phoneticPr fontId="1" type="noConversion"/>
  </si>
  <si>
    <t>{1}交換に成功しました。\r\n\r\n交換要請数量：{2}個\r\n交換費用：EXDRA2：{3}個\r\n\r\nご利用ありがとうございます。</t>
    <phoneticPr fontId="1" type="noConversion"/>
  </si>
  <si>
    <t>การแลกเปลี่ยน {1} ที่ร้องขอสำเร็จแล้ว\r\n\r\nจำนวนที่ร้องขอแลกเปลี่ยน: {2} ชิ้น\r\nค่าใช้จ่ายในการแลกเปลี่ยน: EXDRA2: {3} ชิ้น\r\n\r\nขอบคุณ</t>
    <phoneticPr fontId="1" type="noConversion"/>
  </si>
  <si>
    <t>El intercambio de {1} que solicitaste ha sido exitoso.\r\n\r\nCantidad solicitada: {2}\r\nCosto: EXDRA2: {3}\r\n\r\nGracias.</t>
    <phoneticPr fontId="1" type="noConversion"/>
  </si>
  <si>
    <t>A troca de {1} solicitada foi bem-sucedida.\r\n\r\nQuantidade de Troca Solicitada: {2}\r\nCusto da Troca: {3} EXDRA2\r\n\r\nObrigado.</t>
    <phoneticPr fontId="1" type="noConversion"/>
  </si>
  <si>
    <t>2025.05.22</t>
    <phoneticPr fontId="1" type="noConversion"/>
  </si>
  <si>
    <t>2025.07.08</t>
    <phoneticPr fontId="1" type="noConversion"/>
  </si>
  <si>
    <t>특수 관문 클리어</t>
    <phoneticPr fontId="1" type="noConversion"/>
  </si>
  <si>
    <t>특수 관문 클리어 보상 지급</t>
    <phoneticPr fontId="1" type="noConversion"/>
  </si>
  <si>
    <t>{1} 도전을 성공적으로 완료하였습니다. \r\n\r\n특수 관문 정복을 축하드리며, 다음의 보상을 보내드립니다.\r\n\r\n감사합니다.</t>
    <phoneticPr fontId="1" type="noConversion"/>
  </si>
  <si>
    <t>무극도 성공</t>
    <phoneticPr fontId="1" type="noConversion"/>
  </si>
  <si>
    <t>Path of Fiery Battle Success</t>
  </si>
  <si>
    <t>無極道成功</t>
  </si>
  <si>
    <t>无极道成功</t>
  </si>
  <si>
    <t>สำเร็จเส้นทางแห่งยุทธดุเดือด</t>
  </si>
  <si>
    <t>Camino de entrenamiento intenso completado</t>
  </si>
  <si>
    <t>Sucesso no Caminho do Treino Intenso</t>
  </si>
  <si>
    <t>관문 도전에 성공하였습니다.</t>
    <phoneticPr fontId="1" type="noConversion"/>
  </si>
  <si>
    <t>The Gateway challenge was successful.</t>
  </si>
  <si>
    <t>關口挑戰成功。</t>
  </si>
  <si>
    <t>关口挑战成功。</t>
  </si>
  <si>
    <t>関門挑戦に成功しました。</t>
  </si>
  <si>
    <t>สำเร็จการท้าทายจุดตรวจ</t>
  </si>
  <si>
    <t>Has completado el desafío de puerta.</t>
  </si>
  <si>
    <t>O desafio de entrada foi bem-sucedido.</t>
  </si>
  <si>
    <t>{1} 관문 도전에 성공하였습니다.\r\n도전 성공을 축하합니다.</t>
    <phoneticPr fontId="1" type="noConversion"/>
  </si>
  <si>
    <t>You have succeeded in the {1} Gateway challenge.\r\nCongratulations on your successful challenge.</t>
  </si>
  <si>
    <t>{1}關口挑戰成功。\r\n恭喜挑戰成功。</t>
  </si>
  <si>
    <t>{1}关口挑战成功。\r\n恭喜挑战成功。</t>
  </si>
  <si>
    <t>{1}関門挑戦に成功しました。\r\n挑戦成功、おめでとうございます。</t>
  </si>
  <si>
    <t>สำเร็จการท้าทายจุดตรวจ {1}\r\nขอแสดงความยินดีที่ทำสำเร็จ</t>
  </si>
  <si>
    <t>Has completado el desafío de la puerta {1}.\r\nEnhorabuena por el éxito en el desafío.</t>
  </si>
  <si>
    <t>O desafio de entrada de {1} foi bem-sucedido.\r\nParabéns pela sua vitória.</t>
  </si>
  <si>
    <t>무극도 보상 발송</t>
    <phoneticPr fontId="1" type="noConversion"/>
  </si>
  <si>
    <t>Path of Fiery Battle Reward Delivery</t>
  </si>
  <si>
    <t>無極道獎勵傳送</t>
  </si>
  <si>
    <t>无极道奖励发送</t>
  </si>
  <si>
    <t>無極道報酬発送</t>
  </si>
  <si>
    <t>จัดส่งรางวัลเส้นทางแห่งยุทธดุเดือด</t>
  </si>
  <si>
    <t>Entrega de recompensa por Camino de entrenamiento intenso</t>
  </si>
  <si>
    <t>Entrega de recompensa do Caminho do Treino Intenso</t>
  </si>
  <si>
    <t>가방 공간 부족으로 발송합니다.</t>
    <phoneticPr fontId="1" type="noConversion"/>
  </si>
  <si>
    <t>Sent to your mail due to insufficient bag space.</t>
  </si>
  <si>
    <t>背包空間不足，特以信件傳送。</t>
  </si>
  <si>
    <t>背包空间不足，特以信件发送。</t>
  </si>
  <si>
    <t>カバンの空きスロット不足による発送です。</t>
  </si>
  <si>
    <t>ส่งเนื่องจากที่ว่างในกระเป๋าไม่เพียงพอ</t>
  </si>
  <si>
    <t>Enviado al correo por falta de espacio en la bolsa.</t>
  </si>
  <si>
    <t>Enviada para o correio devido a espaço insuficiente na bolsa.</t>
  </si>
  <si>
    <t>무극도를 통해 획득한 물품에 대하여\r\n\r\n가방 공간 부족으로 인해 우편으로 발송됩니다.\r\n\r\n물품을 수령하시면 우편은 자동으로 삭제 됩니다.</t>
    <phoneticPr fontId="1" type="noConversion"/>
  </si>
  <si>
    <t>Your Path of Fiery Battle reward\r\n\r\nhas been sent to your mail due to insufficient bag space.\r\n\r\nCollecting the item deletes the mail automatically.</t>
  </si>
  <si>
    <t>透過無極道獲得的物品\r\n\r\n因背包空間不足，將傳送至信件。\r\n\r\n領取物品後，信件將自動刪除。</t>
  </si>
  <si>
    <t>因背包空间不足，\r\n\r\n通过无极道获得的物品将通过信件发送。\r\n\r\n领取物品后，信件将自动删除。</t>
  </si>
  <si>
    <t>無極道で獲得したアイテムを\r\n\r\nカバンの空きスロット不足のため、メールで発送します。\r\n\r\nアイテムを受領すると、メールは自動削除されます。</t>
  </si>
  <si>
    <t>ไอเทมที่ได้รับจากเส้นทางแห่งยุทธดุเดือด\r\n\r\nถูกส่งให้ทางจดหมายเนื่องจากที่ว่างในกระเป๋าไม่เพียงพอ\r\n\r\nการรับไอเทมจะลบจดหมายโดยอัตโนมัติ</t>
  </si>
  <si>
    <t>Tu recompensa por Camino de entrenamiento intenso\r\n\r\nse ha enviado al correo por falta de espacio en la bolsa.\r\n\r\nAl recogerla, el correo se borra automáticamente.</t>
  </si>
  <si>
    <t>Sua recompensa do Caminho do Treino Intenso\r\n\r\nfoi enviada para o correio por falta de espaço suficiente na bolsa.\r\n\r\nA mensagem será apagada automaticamente quando o produto for recebido.</t>
  </si>
  <si>
    <t>관문 첫 클리어</t>
    <phoneticPr fontId="1" type="noConversion"/>
  </si>
  <si>
    <t>Gateway First Clear</t>
  </si>
  <si>
    <t>關口首次通關</t>
  </si>
  <si>
    <t>首次通关关口</t>
  </si>
  <si>
    <t>関門初回クリア</t>
  </si>
  <si>
    <t>เคลียร์จุดตรวจครั้งแรก</t>
  </si>
  <si>
    <t>Primera puerta superada</t>
  </si>
  <si>
    <t>Primeira Conclusão de Entrada</t>
  </si>
  <si>
    <t>첫 클리어 보상 지급</t>
    <phoneticPr fontId="1" type="noConversion"/>
  </si>
  <si>
    <t>{1}의 도전에 성공하였습니다.\r\n\r\n첫 성공을 축하드리며, 다음의 보상을 보내드립니다.\r\n\r\n감사합니다.</t>
    <phoneticPr fontId="1" type="noConversion"/>
  </si>
  <si>
    <t>Successfully cleared the {1}.\r\n\r\nCongratulations on your first success. Here is your reward.\r\n\r\nThank you.</t>
  </si>
  <si>
    <t>成功完成{1}的挑戰。\r\n\r\n為表祝賀首次成功，特此發放下列獎勵。\r\n\r\n謝謝。</t>
  </si>
  <si>
    <t>成功完成{1}的挑战。\r\n\r\n为表祝贺首次成功，特此发放以下奖励。\r\n\r\n谢谢。</t>
  </si>
  <si>
    <t>{1}挑戦に成功しました。\r\n\r\n初成功のお祝いとして、次の報酬をお送りします。</t>
  </si>
  <si>
    <t>คุณทำการท้าทาย {1} สำเร็จ\r\n\r\nยินดีด้วยกับความสำเร็จครั้งแรก และจะส่งรางวัลต่อไปนี้ให้\r\n\r\nขอขอบคุณ</t>
  </si>
  <si>
    <t>Enhorabuena por superar {1}.\r\n\r\nEnhorabuena por tu primer éxito, aquí tienes tu recompensa.\r\n\r\nGracias.</t>
  </si>
  <si>
    <t>O desafio de {1} foi bem-sucedido.\r\n\r\nParabéns pelo seu primeiro sucesso, e aqui está a sua recompensa.\r\n\r\nObrigado.</t>
  </si>
  <si>
    <t>Special Gateway Clear</t>
    <phoneticPr fontId="1" type="noConversion"/>
  </si>
  <si>
    <t>通過特殊關口</t>
    <phoneticPr fontId="1" type="noConversion"/>
  </si>
  <si>
    <t>通关特殊关口</t>
    <phoneticPr fontId="1" type="noConversion"/>
  </si>
  <si>
    <t>特殊関門クリア</t>
    <phoneticPr fontId="1" type="noConversion"/>
  </si>
  <si>
    <t>เคลียร์จุดตรวจพิเศษ</t>
    <phoneticPr fontId="1" type="noConversion"/>
  </si>
  <si>
    <t>Puerta especial superada</t>
    <phoneticPr fontId="1" type="noConversion"/>
  </si>
  <si>
    <t>Concluir Entrada Especial</t>
    <phoneticPr fontId="1" type="noConversion"/>
  </si>
  <si>
    <t>Special Gateway Clear reward delivered</t>
    <phoneticPr fontId="1" type="noConversion"/>
  </si>
  <si>
    <t>通過特殊關口獎勵發放</t>
    <phoneticPr fontId="1" type="noConversion"/>
  </si>
  <si>
    <t>特殊关口通关奖励发放</t>
    <phoneticPr fontId="1" type="noConversion"/>
  </si>
  <si>
    <t>特殊関門クリア報酬の支給</t>
    <phoneticPr fontId="1" type="noConversion"/>
  </si>
  <si>
    <t>จัดส่งรางวัลเคลียร์จุดตรวจพิเศษ</t>
    <phoneticPr fontId="1" type="noConversion"/>
  </si>
  <si>
    <t>Recompensa por superar puerta especial</t>
    <phoneticPr fontId="1" type="noConversion"/>
  </si>
  <si>
    <t>Recompensa de Conclusão da Entrada Especial</t>
    <phoneticPr fontId="1" type="noConversion"/>
  </si>
  <si>
    <t>Successfully completed the {1} challenge.\r\n\r\nCongratulations on conquering the Special Gateway. Here is your reward.\r\n\r\nThank you.</t>
    <phoneticPr fontId="1" type="noConversion"/>
  </si>
  <si>
    <t>成功完成{1}挑戰。\r\n\r\n為表祝賀您征服特殊關口，特此發放下列獎勵。\r\n\r\n謝謝。</t>
    <phoneticPr fontId="1" type="noConversion"/>
  </si>
  <si>
    <t>成功完成{1}挑战。\r\n\r\n为表祝贺征服特殊关口，特此发放以下奖励。\r\n\r\n谢谢。</t>
    <phoneticPr fontId="1" type="noConversion"/>
  </si>
  <si>
    <t>{1}の挑戦成功、おめでとうございます。\r\n\r\n特殊関門征服のお祝いとして、次の報酬をお送りします。</t>
    <phoneticPr fontId="1" type="noConversion"/>
  </si>
  <si>
    <t>คุณได้ทำการท้าทาย {1} เสร็จสมบูรณ์ \r\n\r\nขอแสดงความยินดีกับการปราบปรามจุดตรวจพิเศษ และจะส่งรางวัลต่อไปนี้ให้\r\n\r\nขอขอบคุณ</t>
    <phoneticPr fontId="1" type="noConversion"/>
  </si>
  <si>
    <t>Has completado el desafío de {1}.\r\n\r\nEnhorabuena por el dominio de la puerta especial, aquí tienes tu recompensa.\r\n\r\nGracias.</t>
    <phoneticPr fontId="1" type="noConversion"/>
  </si>
  <si>
    <t>Você concluiu o desafio {1} com sucesso.\r\n\r\nParabéns pela conquista da Entrada Especial, e aqui está a sua recompensa.\r\n\r\nObrigado.</t>
    <phoneticPr fontId="1" type="noConversion"/>
  </si>
  <si>
    <t>귀하의 노고에 감사하여, {1}을 지급 받았습니다.\r\n\r\n포상상자를 획득하여 열면 다양한 보상을 획득할 수 있습니다.\r\n\r\n더욱 정진하여 더 좋은 포상을 획득해 보세요.</t>
    <phoneticPr fontId="1" type="noConversion"/>
  </si>
  <si>
    <t>2025.12.23</t>
    <phoneticPr fontId="1" type="noConversion"/>
  </si>
  <si>
    <t>요청하신 EXDRA3 제작에 성공하였습니다.\r\n\r\n제작 요청 수량 : {1} 개\r\n제작 비용 : 동전 {2} 개, 금빛 귀갑석 {3} 개\r\n\r\n제작한 EXDRA3은 WEMIX PLAY에서 확인하실 수 있습니다.\r\n\r\n감사합니다.</t>
    <phoneticPr fontId="1" type="noConversion"/>
  </si>
  <si>
    <t>요청하신 EXDRA3 제작에 실패하였습니다.\r\n\r\n제작 요청 수량 : {1} 개\r\n제작 비용 : 동전 {2} 개, 금빛 귀갑석 {3} 개\r\n\r\n제작에 실패한 재료는 다시 반환하여 드립니다.\r\n\r\n감사합니다.</t>
    <phoneticPr fontId="1" type="noConversion"/>
  </si>
  <si>
    <t>EXDRA3 제작 성공</t>
    <phoneticPr fontId="1" type="noConversion"/>
  </si>
  <si>
    <t>EXDRA3 Crafting Success</t>
    <phoneticPr fontId="1" type="noConversion"/>
  </si>
  <si>
    <t>EXDRA3製造成功</t>
    <phoneticPr fontId="1" type="noConversion"/>
  </si>
  <si>
    <t>EXDRA3制造成功</t>
    <phoneticPr fontId="1" type="noConversion"/>
  </si>
  <si>
    <t>EXDRA3製作成功</t>
    <phoneticPr fontId="1" type="noConversion"/>
  </si>
  <si>
    <t>สร้าง EXDRA3 สำเร็จ</t>
    <phoneticPr fontId="1" type="noConversion"/>
  </si>
  <si>
    <t>Éxito en la fabricación de EXDRA3</t>
    <phoneticPr fontId="1" type="noConversion"/>
  </si>
  <si>
    <t>Sucesso na Criação de EXDRA3</t>
    <phoneticPr fontId="1" type="noConversion"/>
  </si>
  <si>
    <t>EXDRA3 제작 실패</t>
    <phoneticPr fontId="1" type="noConversion"/>
  </si>
  <si>
    <t>EXDRA3 Crafting Failure</t>
    <phoneticPr fontId="1" type="noConversion"/>
  </si>
  <si>
    <t>EXDRA3製造失敗</t>
    <phoneticPr fontId="1" type="noConversion"/>
  </si>
  <si>
    <t>EXDRA3制造失败</t>
    <phoneticPr fontId="1" type="noConversion"/>
  </si>
  <si>
    <t>EXDRA3製作失敗</t>
    <phoneticPr fontId="1" type="noConversion"/>
  </si>
  <si>
    <t>สร้าง EXDRA3 ล้มเหลว</t>
    <phoneticPr fontId="1" type="noConversion"/>
  </si>
  <si>
    <t>Fallo en la fabricación de EXDRA3</t>
    <phoneticPr fontId="1" type="noConversion"/>
  </si>
  <si>
    <t>Fracasso na Criação de EXDRA3</t>
    <phoneticPr fontId="1" type="noConversion"/>
  </si>
  <si>
    <t>EXDRA3 제작에 성공하였습니다.</t>
    <phoneticPr fontId="1" type="noConversion"/>
  </si>
  <si>
    <t>EXDRA3 crafting was successful.</t>
    <phoneticPr fontId="1" type="noConversion"/>
  </si>
  <si>
    <t>EXDRA3製造已成功。</t>
    <phoneticPr fontId="1" type="noConversion"/>
  </si>
  <si>
    <t>EXDRA3制造成功。</t>
    <phoneticPr fontId="1" type="noConversion"/>
  </si>
  <si>
    <t>EXDRA3製作に成功しました。</t>
    <phoneticPr fontId="1" type="noConversion"/>
  </si>
  <si>
    <t>ได้สร้าง EXDRA3 สำเร็จ</t>
    <phoneticPr fontId="1" type="noConversion"/>
  </si>
  <si>
    <t>La fabricación de EXDRA3 ha sido exitosa.</t>
    <phoneticPr fontId="1" type="noConversion"/>
  </si>
  <si>
    <t>Criação de EXDRA3 bem-sucedida.</t>
    <phoneticPr fontId="1" type="noConversion"/>
  </si>
  <si>
    <t>EXDRA3 제작에 실패하였습니다.</t>
    <phoneticPr fontId="1" type="noConversion"/>
  </si>
  <si>
    <t>EXDRA3 crafting was unsuccessful.</t>
    <phoneticPr fontId="1" type="noConversion"/>
  </si>
  <si>
    <t>EXDRA3製造已失敗。</t>
    <phoneticPr fontId="1" type="noConversion"/>
  </si>
  <si>
    <t>EXDRA3制造失败。</t>
    <phoneticPr fontId="1" type="noConversion"/>
  </si>
  <si>
    <t>EXDRA3製作に失敗しました。</t>
    <phoneticPr fontId="1" type="noConversion"/>
  </si>
  <si>
    <t>การสร้าง EXDRA3 ล้มเหลว</t>
    <phoneticPr fontId="1" type="noConversion"/>
  </si>
  <si>
    <t>La fabricación de EXDRA3 ha fallado.</t>
    <phoneticPr fontId="1" type="noConversion"/>
  </si>
  <si>
    <t>Criação de EXDRA3 fracassada.</t>
    <phoneticPr fontId="1" type="noConversion"/>
  </si>
  <si>
    <t>The requested EXDRA3 crafting was successful.\r\n\r\nRequested Crafting Amount: {1}\r\nCrafting Cost: {2} Copper, {3} Gold Septaria\r\n\r\nYou can check the crafted EXDRA3 in WEMIX PLAY.\r\n\r\nThank you.</t>
    <phoneticPr fontId="1" type="noConversion"/>
  </si>
  <si>
    <t>您所請求的EXDRA3製造已成功。\r\n\r\n製造請求數量：{1}個\r\n製造費用：{2}個銅錢、{3}個金色龜甲石\r\n\r\n製造的EXDRA3可於WEMIX PLAY中確認。\r\n\r\n謝謝。</t>
    <phoneticPr fontId="1" type="noConversion"/>
  </si>
  <si>
    <t>请求的EXDRA3制造成功。\r\n\r\n制造请求数量：{1}个\r\n制造费用：{2}铜钱、{3}个金色龟甲石\r\n\r\n制造的EXDRA3可以在WEMIX PLAY进行确认。\r\n\r\n谢谢。</t>
    <phoneticPr fontId="1" type="noConversion"/>
  </si>
  <si>
    <t>EXDRA3製作に成功しました。\r\n\r\n製作要請数量：{1}個\r\n製作費用：銅貨{2}個、金のSeptaria{3}個\r\n\r\n製作したEXDRA3はWEMIX PLAYでご確認いただけます。\r\n\r\nご利用ありがとうございます。</t>
    <phoneticPr fontId="1" type="noConversion"/>
  </si>
  <si>
    <t>คุณได้สร้าง EXDRA3 ตามที่ร้องขอสำเร็จแล้ว\r\n\r\nจำนวนที่ร้องขอในการสร้าง: {1} ชิ้น\r\nค่าใช้จ่ายในการสร้าง: ทองแดง {2} ชิ้น, Septaria สีทอง {3} ชิ้น\r\n\r\nคุณสามารถตรวจสอบ EXDRA3 ที่สร้างได้ใน WEMIX PLAY\r\n\r\nขอบคุณ</t>
    <phoneticPr fontId="1" type="noConversion"/>
  </si>
  <si>
    <t>La fabricación de EXDRA3 que solicitaste ha sido exitosa.\r\n\r\nCantidad solicitada para fabricación: {1}\r\nCosto de fabricación: Cobre x{2}, Septaria dorada x{3}\r\n\r\nEl EXDRA3 fabricado se puede verificar en WEMIX PLAY.\r\n\r\nGracias.</t>
    <phoneticPr fontId="1" type="noConversion"/>
  </si>
  <si>
    <t>A criação de EXDRA3 solicitada foi bem-sucedida.\r\n\r\nQuantidade de Criação Solicitada: {1}\r\nCusto de Criação: Cobre x{2} e Septaria Dourada x{3}\r\n\r\nA EXDRA3 criada pode ser verificada no WEMIX PLAY.\r\n\r\nObrigado.</t>
    <phoneticPr fontId="1" type="noConversion"/>
  </si>
  <si>
    <t>The requested EXDRA3 crafting was unsuccessful.\r\n\r\nRequested Crafting Amount: {1}\r\nCrafting Cost: {2} Copper, {3} Gold Septaria\r\n\r\nThe materials for failed crafting will be returned.\r\n\r\nThank you.</t>
    <phoneticPr fontId="1" type="noConversion"/>
  </si>
  <si>
    <t>您所請求的EXDRA3製造已失敗。\r\n\r\n製造請求數量：{1}個\r\n製造費用：{2}個銅錢、{3}個金色龜甲石\r\n\r\n將歸還製造失敗的材料。\r\n\r\n謝謝。</t>
    <phoneticPr fontId="1" type="noConversion"/>
  </si>
  <si>
    <t>请求的EXDRA3制造失败。\r\n\r\n制造请求数量：{1}个\r\n制造费用：{2}铜钱、{3}个金色龟甲石\r\n\r\n制造失败的材料将会重新返还。\r\n\r\n谢谢。</t>
    <phoneticPr fontId="1" type="noConversion"/>
  </si>
  <si>
    <t>EXDRA3製作に失敗しました。\r\n\r\n製作要請数量：{1}個\r\n製作費用：銅貨{2}個、金のSeptaria{3}個\r\n\r\n製作に失敗した素材は返却させていただきます。\r\n\r\nご利用ありがとうございます。</t>
    <phoneticPr fontId="1" type="noConversion"/>
  </si>
  <si>
    <t>การสร้าง EXDRA3 ที่คุณร้องขอล้มเหลว\r\n\r\nจำนวนที่ร้องขอสร้าง: {1} ชิ้น\r\nค่าใช้จ่ายในการสร้าง: ทองแดง {2} ชิ้น, Septaria สีทอง {3} ชิ้น\r\n\r\nวัตถุดิบที่ล้มเหลวในการสร้างจะถูกส่งคืน\r\n\r\nขอบคุณ</t>
    <phoneticPr fontId="1" type="noConversion"/>
  </si>
  <si>
    <t>La fabricación de EXDRA3 que solicitaste ha fallado.\r\n\r\nCantidad solicitada para fabricación: {1}\r\nCosto de fabricación: Cobre x{2}, Septaria dorada x{3}\r\n\r\nLos materiales utilizados en la fabricación fallida serán devueltos.\r\n\r\nGracias.</t>
    <phoneticPr fontId="1" type="noConversion"/>
  </si>
  <si>
    <t>A criação de EXDRA3 solicitada fracassou.\r\n\r\nQuantidade de Criação Solicitada: {1}\r\nCusto de Criação: Cobre x{2} e Septaria Dourada x{3}\r\n\r\nOs materiais que fracassaram na criação serão devolvidos.\r\n\r\nObrigado.</t>
    <phoneticPr fontId="1" type="noConversion"/>
  </si>
  <si>
    <t>요청하신 {1} 교환에 성공 하였습니다.\r\n\r\n교환 요청 수량 : {2} 개\r\n교환 비용 : EXDRA3 : {3}개\r\n\r\n감사합니다.</t>
    <phoneticPr fontId="1" type="noConversion"/>
  </si>
  <si>
    <t>The requested {1} exchange was successful.\r\n\r\nRequested Exchange Amount: {2}\r\nExchange Cost: EXDRA3: {3}\r\n\r\nThank you.</t>
    <phoneticPr fontId="1" type="noConversion"/>
  </si>
  <si>
    <t>請求的{1}交換已成功。\r\n\r\n請求交換數量：{2}個\r\n兌換費用：EXDRA3：{3}個\r\n\r\n謝謝。</t>
    <phoneticPr fontId="1" type="noConversion"/>
  </si>
  <si>
    <t>请求的{1}交换成功。\r\n\r\n交换请求数量：{2}个\r\n交换费用：EXDRA3：{3}个\r\n\r\n谢谢。</t>
    <phoneticPr fontId="1" type="noConversion"/>
  </si>
  <si>
    <t>{1}交換に成功しました。\r\n\r\n交換要請数量：{2}個\r\n交換費用：EXDRA3：{3}個\r\n\r\nご利用ありがとうございます。</t>
    <phoneticPr fontId="1" type="noConversion"/>
  </si>
  <si>
    <t>การแลกเปลี่ยน {1} ที่ร้องขอสำเร็จแล้ว\r\n\r\nจำนวนที่ร้องขอแลกเปลี่ยน: {2} ชิ้น\r\nค่าใช้จ่ายในการแลกเปลี่ยน: EXDRA3: {3} ชิ้น\r\n\r\nขอบคุณ</t>
    <phoneticPr fontId="1" type="noConversion"/>
  </si>
  <si>
    <t>El intercambio de {1} que solicitaste ha sido exitoso.\r\n\r\nCantidad solicitada: {2}\r\nCosto: EXDRA3: {3}\r\n\r\nGracias.</t>
    <phoneticPr fontId="1" type="noConversion"/>
  </si>
  <si>
    <t>A troca de {1} solicitada foi bem-sucedida.\r\n\r\nQuantidade de Troca Solicitada: x{2}\r\nCusto da Troca: {3} EXDRA3\r\n\r\nObrigado.</t>
    <phoneticPr fontId="1" type="noConversion"/>
  </si>
  <si>
    <t>Recompensa de compensación diaria de clasificación en la arena</t>
  </si>
  <si>
    <t>Recompensa da Classificação Diária da Arena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</si>
</sst>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1">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1"/>
      <name val="맑은 고딕"/>
      <family val="3"/>
      <charset val="129"/>
      <scheme val="minor"/>
    </font>
    <font>
      <b/>
      <sz val="10"/>
      <color rgb="FFFF0000"/>
      <name val="맑은 고딕"/>
      <family val="3"/>
      <charset val="129"/>
      <scheme val="minor"/>
    </font>
    <font>
      <sz val="10"/>
      <color theme="1"/>
      <name val="맑은 고딕"/>
      <family val="2"/>
      <charset val="129"/>
      <scheme val="minor"/>
    </font>
    <font>
      <sz val="11"/>
      <color theme="1"/>
      <name val="맑은 고딕"/>
      <family val="3"/>
      <charset val="134"/>
      <scheme val="minor"/>
    </font>
    <font>
      <sz val="9"/>
      <color theme="1"/>
      <name val="맑은 고딕"/>
      <family val="3"/>
      <charset val="129"/>
      <scheme val="minor"/>
    </font>
    <font>
      <sz val="9"/>
      <color theme="1"/>
      <name val="맑은 고딕"/>
      <family val="2"/>
      <charset val="129"/>
      <scheme val="minor"/>
    </font>
    <font>
      <sz val="10"/>
      <color theme="1"/>
      <name val="맑은 고딕"/>
      <family val="3"/>
      <charset val="129"/>
      <scheme val="minor"/>
    </font>
    <font>
      <sz val="11"/>
      <color rgb="FF000000"/>
      <name val="Calibri"/>
      <family val="2"/>
    </font>
    <font>
      <sz val="11"/>
      <color rgb="FF000000"/>
      <name val="&quot;Arial Unicode MS&quot;"/>
    </font>
    <font>
      <sz val="11"/>
      <color rgb="FF000000"/>
      <name val="Yu Gothic"/>
      <family val="3"/>
      <charset val="128"/>
    </font>
    <font>
      <sz val="11"/>
      <color rgb="FF000000"/>
      <name val="Calibri"/>
      <family val="3"/>
      <charset val="128"/>
    </font>
    <font>
      <sz val="11"/>
      <color theme="1"/>
      <name val="맑은 고딕"/>
      <family val="1"/>
      <charset val="222"/>
      <scheme val="minor"/>
    </font>
    <font>
      <sz val="11"/>
      <color theme="1"/>
      <name val="맑은 고딕"/>
      <family val="3"/>
      <charset val="128"/>
      <scheme val="minor"/>
    </font>
    <font>
      <sz val="11"/>
      <color theme="1"/>
      <name val="맑은 고딕"/>
      <family val="2"/>
      <charset val="222"/>
      <scheme val="minor"/>
    </font>
    <font>
      <sz val="11"/>
      <color theme="1"/>
      <name val="Tahoma"/>
      <family val="2"/>
      <charset val="222"/>
    </font>
    <font>
      <sz val="11"/>
      <color rgb="FF000000"/>
      <name val="Arial"/>
      <family val="2"/>
    </font>
    <font>
      <sz val="11"/>
      <color rgb="FFFF0000"/>
      <name val="Calibri"/>
      <family val="2"/>
    </font>
    <font>
      <sz val="11"/>
      <name val="Arial"/>
      <family val="2"/>
    </font>
    <font>
      <sz val="11"/>
      <color theme="1"/>
      <name val="맑은 고딕"/>
      <family val="2"/>
      <charset val="222"/>
    </font>
    <font>
      <sz val="11"/>
      <color rgb="FF333333"/>
      <name val="Verdana"/>
      <family val="2"/>
    </font>
    <font>
      <sz val="11"/>
      <name val="Calibri"/>
      <family val="2"/>
    </font>
    <font>
      <sz val="11"/>
      <name val="맑은 고딕"/>
      <family val="3"/>
      <charset val="134"/>
      <scheme val="minor"/>
    </font>
    <font>
      <sz val="11"/>
      <color theme="1"/>
      <name val="맑은 고딕"/>
      <family val="2"/>
      <scheme val="minor"/>
    </font>
    <font>
      <sz val="10"/>
      <color rgb="FF000000"/>
      <name val="맑은 고딕"/>
      <family val="3"/>
      <charset val="129"/>
      <scheme val="minor"/>
    </font>
    <font>
      <sz val="11"/>
      <color theme="1"/>
      <name val="Arial"/>
      <family val="2"/>
    </font>
    <font>
      <sz val="9"/>
      <color theme="1"/>
      <name val="맑은 고딕"/>
      <family val="3"/>
      <charset val="134"/>
      <scheme val="minor"/>
    </font>
    <font>
      <sz val="11"/>
      <color theme="1"/>
      <name val="맑은 고딕"/>
      <family val="1"/>
      <charset val="129"/>
      <scheme val="minor"/>
    </font>
    <font>
      <sz val="11"/>
      <color rgb="FFFF0000"/>
      <name val="맑은 고딕"/>
      <family val="3"/>
      <charset val="129"/>
      <scheme val="minor"/>
    </font>
  </fonts>
  <fills count="1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rgb="FFFFFFCC"/>
        <bgColor indexed="64"/>
      </patternFill>
    </fill>
    <fill>
      <patternFill patternType="solid">
        <fgColor indexed="26"/>
        <bgColor indexed="64"/>
      </patternFill>
    </fill>
    <fill>
      <patternFill patternType="solid">
        <fgColor indexed="47"/>
        <bgColor indexed="64"/>
      </patternFill>
    </fill>
    <fill>
      <patternFill patternType="solid">
        <fgColor indexed="42"/>
        <bgColor indexed="64"/>
      </patternFill>
    </fill>
    <fill>
      <patternFill patternType="solid">
        <fgColor theme="7" tint="0.79998168889431442"/>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00B0F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ck">
        <color indexed="64"/>
      </bottom>
      <diagonal/>
    </border>
    <border>
      <left/>
      <right/>
      <top/>
      <bottom style="thick">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2">
    <xf numFmtId="0" fontId="0" fillId="0" borderId="0">
      <alignment vertical="center"/>
    </xf>
    <xf numFmtId="0" fontId="27" fillId="0" borderId="0"/>
  </cellStyleXfs>
  <cellXfs count="137">
    <xf numFmtId="0" fontId="0" fillId="0" borderId="0" xfId="0">
      <alignment vertical="center"/>
    </xf>
    <xf numFmtId="0" fontId="0" fillId="0" borderId="0" xfId="0" applyAlignment="1">
      <alignment vertical="center" wrapText="1"/>
    </xf>
    <xf numFmtId="0" fontId="2" fillId="2" borderId="1" xfId="0" applyFont="1" applyFill="1" applyBorder="1" applyAlignment="1">
      <alignment vertical="center" wrapText="1"/>
    </xf>
    <xf numFmtId="0" fontId="0" fillId="4" borderId="1" xfId="0" applyFill="1" applyBorder="1" applyAlignment="1">
      <alignment vertical="center" wrapText="1"/>
    </xf>
    <xf numFmtId="0" fontId="0" fillId="0" borderId="1" xfId="0" applyBorder="1" applyAlignment="1">
      <alignment vertical="center" wrapText="1"/>
    </xf>
    <xf numFmtId="0" fontId="0" fillId="5" borderId="1" xfId="0" applyFill="1" applyBorder="1" applyAlignment="1">
      <alignment vertical="center" wrapText="1"/>
    </xf>
    <xf numFmtId="0" fontId="4" fillId="0" borderId="0" xfId="0" applyFont="1" applyAlignment="1">
      <alignment horizontal="center" vertical="center" wrapText="1"/>
    </xf>
    <xf numFmtId="0" fontId="5" fillId="0" borderId="1" xfId="0" applyFont="1" applyBorder="1" applyAlignment="1">
      <alignment horizontal="center" vertical="center"/>
    </xf>
    <xf numFmtId="0" fontId="5" fillId="2" borderId="1" xfId="0" applyFont="1" applyFill="1" applyBorder="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2" fillId="7" borderId="1" xfId="0" applyFont="1" applyFill="1" applyBorder="1" applyAlignment="1">
      <alignment horizontal="center" vertical="center"/>
    </xf>
    <xf numFmtId="0" fontId="2" fillId="8" borderId="1" xfId="0" applyFont="1" applyFill="1" applyBorder="1" applyAlignment="1">
      <alignment horizontal="center" vertical="center"/>
    </xf>
    <xf numFmtId="0" fontId="2" fillId="9" borderId="1" xfId="0" applyFont="1" applyFill="1" applyBorder="1" applyAlignment="1">
      <alignment horizontal="center" vertical="center"/>
    </xf>
    <xf numFmtId="0" fontId="0" fillId="0" borderId="1" xfId="0" applyBorder="1" applyAlignment="1">
      <alignment horizontal="center" vertical="center"/>
    </xf>
    <xf numFmtId="0" fontId="5" fillId="0" borderId="6" xfId="0" applyFont="1" applyBorder="1" applyAlignment="1">
      <alignment horizontal="left" vertical="center"/>
    </xf>
    <xf numFmtId="0" fontId="0" fillId="0" borderId="1" xfId="0" applyBorder="1" applyAlignment="1">
      <alignment horizontal="left" vertical="center"/>
    </xf>
    <xf numFmtId="0" fontId="7" fillId="9" borderId="1" xfId="0" applyFont="1" applyFill="1" applyBorder="1" applyAlignment="1">
      <alignment horizontal="center" vertical="center"/>
    </xf>
    <xf numFmtId="0" fontId="7" fillId="8" borderId="1" xfId="0" applyFont="1" applyFill="1" applyBorder="1" applyAlignment="1">
      <alignment horizontal="center" vertical="center"/>
    </xf>
    <xf numFmtId="0" fontId="8" fillId="7" borderId="1" xfId="0" applyFont="1" applyFill="1" applyBorder="1" applyAlignment="1">
      <alignment horizontal="center" vertical="center"/>
    </xf>
    <xf numFmtId="0" fontId="0" fillId="11" borderId="1" xfId="0" applyFill="1" applyBorder="1" applyAlignment="1">
      <alignment horizontal="center" vertical="center"/>
    </xf>
    <xf numFmtId="0" fontId="0" fillId="12" borderId="1" xfId="0" applyFill="1" applyBorder="1" applyAlignment="1">
      <alignment horizontal="center" vertical="center"/>
    </xf>
    <xf numFmtId="0" fontId="3" fillId="2" borderId="1" xfId="0" applyFont="1" applyFill="1" applyBorder="1" applyAlignment="1">
      <alignment vertical="center" wrapText="1"/>
    </xf>
    <xf numFmtId="0" fontId="0" fillId="4" borderId="1" xfId="0" applyFill="1" applyBorder="1" applyAlignment="1">
      <alignment horizontal="center" vertical="center"/>
    </xf>
    <xf numFmtId="0" fontId="0" fillId="4" borderId="0" xfId="0" applyFill="1" applyAlignment="1">
      <alignment horizontal="left" vertical="center"/>
    </xf>
    <xf numFmtId="0" fontId="9" fillId="0" borderId="1" xfId="0" applyFont="1" applyBorder="1" applyAlignment="1">
      <alignment vertical="center" wrapText="1"/>
    </xf>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10" fillId="0" borderId="7" xfId="0" applyFont="1" applyBorder="1" applyAlignment="1">
      <alignment horizontal="left" vertical="center"/>
    </xf>
    <xf numFmtId="0" fontId="11" fillId="0" borderId="7" xfId="0" applyFont="1" applyBorder="1" applyAlignment="1">
      <alignment horizontal="left" vertical="center"/>
    </xf>
    <xf numFmtId="0" fontId="0" fillId="0" borderId="0" xfId="0" applyAlignment="1">
      <alignment horizontal="center" vertical="center"/>
    </xf>
    <xf numFmtId="0" fontId="0" fillId="0" borderId="0" xfId="0" applyAlignment="1">
      <alignment horizontal="left" vertical="center"/>
    </xf>
    <xf numFmtId="0" fontId="6" fillId="0" borderId="1" xfId="0" applyFont="1" applyBorder="1" applyAlignment="1">
      <alignment horizontal="center" vertical="center"/>
    </xf>
    <xf numFmtId="0" fontId="0" fillId="3" borderId="1" xfId="0" applyFill="1" applyBorder="1" applyAlignment="1">
      <alignment horizontal="center" vertical="center"/>
    </xf>
    <xf numFmtId="0" fontId="0" fillId="3" borderId="1" xfId="0" applyFill="1" applyBorder="1" applyAlignment="1">
      <alignment horizontal="left" vertical="center"/>
    </xf>
    <xf numFmtId="0" fontId="0" fillId="12" borderId="1" xfId="0" applyFill="1" applyBorder="1" applyAlignment="1">
      <alignment horizontal="left" vertical="center"/>
    </xf>
    <xf numFmtId="0" fontId="0" fillId="11" borderId="1" xfId="0" applyFill="1" applyBorder="1" applyAlignment="1">
      <alignment horizontal="left" vertical="center"/>
    </xf>
    <xf numFmtId="0" fontId="6" fillId="11" borderId="1" xfId="0" applyFont="1" applyFill="1" applyBorder="1" applyAlignment="1">
      <alignment horizontal="center" vertical="center"/>
    </xf>
    <xf numFmtId="0" fontId="0" fillId="13" borderId="1" xfId="0" applyFill="1" applyBorder="1" applyAlignment="1">
      <alignment horizontal="center" vertical="center"/>
    </xf>
    <xf numFmtId="0" fontId="0" fillId="5" borderId="1" xfId="0" applyFill="1" applyBorder="1" applyAlignment="1">
      <alignment horizontal="center" vertical="center"/>
    </xf>
    <xf numFmtId="1" fontId="0" fillId="0" borderId="1" xfId="0" applyNumberFormat="1" applyBorder="1" applyAlignment="1">
      <alignment horizontal="center" vertical="center"/>
    </xf>
    <xf numFmtId="0" fontId="0" fillId="10" borderId="1" xfId="0" applyFill="1" applyBorder="1" applyAlignment="1">
      <alignment horizontal="center" vertical="center"/>
    </xf>
    <xf numFmtId="0" fontId="2" fillId="10" borderId="1" xfId="0" applyFont="1" applyFill="1" applyBorder="1" applyAlignment="1">
      <alignment horizontal="left" vertical="center"/>
    </xf>
    <xf numFmtId="0" fontId="6" fillId="10" borderId="1" xfId="0" applyFont="1" applyFill="1" applyBorder="1" applyAlignment="1">
      <alignment horizontal="center" vertical="center"/>
    </xf>
    <xf numFmtId="0" fontId="9" fillId="0" borderId="0" xfId="0" applyFont="1">
      <alignment vertical="center"/>
    </xf>
    <xf numFmtId="0" fontId="12" fillId="0" borderId="7" xfId="0" applyFont="1" applyBorder="1" applyAlignment="1">
      <alignment horizontal="left" vertical="center"/>
    </xf>
    <xf numFmtId="0" fontId="13" fillId="0" borderId="7" xfId="0" applyFont="1" applyBorder="1" applyAlignment="1">
      <alignment horizontal="left" vertical="center"/>
    </xf>
    <xf numFmtId="0" fontId="14" fillId="10" borderId="1" xfId="0" applyFont="1" applyFill="1" applyBorder="1"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pplyAlignment="1">
      <alignment horizontal="center" vertical="center"/>
    </xf>
    <xf numFmtId="0" fontId="17" fillId="0" borderId="1" xfId="0" applyFont="1"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horizontal="left" vertical="center" wrapText="1"/>
    </xf>
    <xf numFmtId="0" fontId="6" fillId="0" borderId="1" xfId="0" applyFont="1" applyBorder="1" applyAlignment="1">
      <alignment horizontal="center" vertical="center" wrapText="1"/>
    </xf>
    <xf numFmtId="0" fontId="18" fillId="0" borderId="7" xfId="0" applyFont="1" applyBorder="1" applyAlignment="1">
      <alignment horizontal="left" vertical="center"/>
    </xf>
    <xf numFmtId="0" fontId="10" fillId="0" borderId="8" xfId="0" applyFont="1" applyBorder="1" applyAlignment="1">
      <alignment horizontal="left" vertical="center"/>
    </xf>
    <xf numFmtId="0" fontId="19" fillId="0" borderId="8" xfId="0" applyFont="1" applyBorder="1" applyAlignment="1">
      <alignment horizontal="left" vertical="center"/>
    </xf>
    <xf numFmtId="0" fontId="20" fillId="0" borderId="9" xfId="0" applyFont="1" applyBorder="1">
      <alignment vertical="center"/>
    </xf>
    <xf numFmtId="0" fontId="0" fillId="10" borderId="1" xfId="0" applyFill="1" applyBorder="1" applyAlignment="1">
      <alignment horizontal="center" vertical="center" wrapText="1"/>
    </xf>
    <xf numFmtId="0" fontId="0" fillId="0" borderId="10" xfId="0" applyBorder="1" applyAlignment="1">
      <alignment horizontal="center" vertical="center"/>
    </xf>
    <xf numFmtId="0" fontId="0" fillId="4" borderId="10" xfId="0" applyFill="1"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left" vertical="center" wrapText="1"/>
    </xf>
    <xf numFmtId="0" fontId="0" fillId="0" borderId="11" xfId="0" applyBorder="1" applyAlignment="1">
      <alignment horizontal="center" vertical="center" wrapText="1"/>
    </xf>
    <xf numFmtId="0" fontId="0" fillId="4" borderId="1" xfId="0" applyFill="1" applyBorder="1" applyAlignment="1">
      <alignment horizontal="left" vertical="center"/>
    </xf>
    <xf numFmtId="0" fontId="6" fillId="4" borderId="1" xfId="0" applyFont="1" applyFill="1" applyBorder="1" applyAlignment="1">
      <alignment horizontal="center" vertical="center"/>
    </xf>
    <xf numFmtId="0" fontId="0" fillId="4" borderId="1" xfId="0" applyFill="1" applyBorder="1" applyAlignment="1">
      <alignment horizontal="left" vertical="center" wrapText="1"/>
    </xf>
    <xf numFmtId="0" fontId="21" fillId="4" borderId="1" xfId="0" applyFont="1" applyFill="1" applyBorder="1" applyAlignment="1">
      <alignment horizontal="center" vertical="center"/>
    </xf>
    <xf numFmtId="0" fontId="22" fillId="0" borderId="0" xfId="0" applyFont="1">
      <alignment vertical="center"/>
    </xf>
    <xf numFmtId="0" fontId="0" fillId="3" borderId="1" xfId="0" applyFill="1" applyBorder="1" applyAlignment="1">
      <alignment horizontal="center" vertical="center" wrapText="1"/>
    </xf>
    <xf numFmtId="0" fontId="0" fillId="3" borderId="1" xfId="0" applyFill="1" applyBorder="1" applyAlignment="1">
      <alignment horizontal="left" vertical="center" wrapText="1"/>
    </xf>
    <xf numFmtId="0" fontId="0" fillId="13" borderId="5" xfId="0" applyFill="1" applyBorder="1" applyAlignment="1">
      <alignment horizontal="center" vertical="center"/>
    </xf>
    <xf numFmtId="0" fontId="0" fillId="0" borderId="5" xfId="0" applyBorder="1" applyAlignment="1">
      <alignment horizontal="left" vertical="center"/>
    </xf>
    <xf numFmtId="0" fontId="0" fillId="0" borderId="5" xfId="0" applyBorder="1" applyAlignment="1">
      <alignment horizontal="center" vertical="center"/>
    </xf>
    <xf numFmtId="0" fontId="0" fillId="0" borderId="12" xfId="0" applyBorder="1" applyAlignment="1">
      <alignment horizontal="center" vertical="center"/>
    </xf>
    <xf numFmtId="0" fontId="0" fillId="10" borderId="12" xfId="0" applyFill="1" applyBorder="1" applyAlignment="1">
      <alignment horizontal="center" vertical="center" wrapText="1"/>
    </xf>
    <xf numFmtId="0" fontId="0" fillId="0" borderId="12" xfId="0" applyBorder="1" applyAlignment="1">
      <alignment horizontal="left" vertical="center"/>
    </xf>
    <xf numFmtId="0" fontId="6" fillId="0" borderId="12" xfId="0" applyFont="1" applyBorder="1" applyAlignment="1">
      <alignment horizontal="center" vertical="center"/>
    </xf>
    <xf numFmtId="0" fontId="0" fillId="3" borderId="5" xfId="0" applyFill="1" applyBorder="1" applyAlignment="1">
      <alignment horizontal="center" vertical="center"/>
    </xf>
    <xf numFmtId="0" fontId="23" fillId="0" borderId="8" xfId="0" applyFont="1" applyBorder="1" applyAlignment="1">
      <alignment horizontal="left" vertical="center"/>
    </xf>
    <xf numFmtId="0" fontId="24" fillId="0" borderId="1" xfId="0" applyFont="1" applyBorder="1" applyAlignment="1">
      <alignment horizontal="center" vertical="center"/>
    </xf>
    <xf numFmtId="0" fontId="20" fillId="0" borderId="7" xfId="0" applyFont="1" applyBorder="1" applyAlignment="1">
      <alignment horizontal="left" vertical="center"/>
    </xf>
    <xf numFmtId="0" fontId="24" fillId="0" borderId="1" xfId="0" applyFont="1" applyBorder="1" applyAlignment="1">
      <alignment horizontal="center" vertical="center" wrapText="1"/>
    </xf>
    <xf numFmtId="0" fontId="6" fillId="0" borderId="10" xfId="0" applyFont="1" applyBorder="1" applyAlignment="1">
      <alignment horizontal="center" vertical="center"/>
    </xf>
    <xf numFmtId="0" fontId="25" fillId="0" borderId="1" xfId="0" applyFont="1" applyBorder="1" applyAlignment="1">
      <alignment horizontal="center" vertical="center"/>
    </xf>
    <xf numFmtId="0" fontId="26" fillId="0" borderId="0" xfId="0" applyFont="1">
      <alignment vertical="center"/>
    </xf>
    <xf numFmtId="0" fontId="0" fillId="0" borderId="4" xfId="0" applyBorder="1" applyAlignment="1">
      <alignment horizontal="center" vertical="center"/>
    </xf>
    <xf numFmtId="0" fontId="0" fillId="0" borderId="4" xfId="0" applyBorder="1" applyAlignment="1">
      <alignment horizontal="left" vertical="center"/>
    </xf>
    <xf numFmtId="0" fontId="6" fillId="0" borderId="4" xfId="0" applyFont="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4" xfId="0" applyBorder="1" applyAlignment="1">
      <alignment horizontal="left" vertical="center"/>
    </xf>
    <xf numFmtId="0" fontId="6" fillId="0" borderId="14" xfId="0" applyFont="1"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4" borderId="21" xfId="0" applyFill="1" applyBorder="1" applyAlignment="1">
      <alignment horizontal="center" vertical="center"/>
    </xf>
    <xf numFmtId="0" fontId="0" fillId="0" borderId="21" xfId="0" applyBorder="1" applyAlignment="1">
      <alignment horizontal="center" vertical="center"/>
    </xf>
    <xf numFmtId="0" fontId="0" fillId="0" borderId="21" xfId="0" applyBorder="1" applyAlignment="1">
      <alignment horizontal="center" vertical="center" wrapText="1"/>
    </xf>
    <xf numFmtId="0" fontId="0" fillId="0" borderId="21" xfId="0" applyBorder="1" applyAlignment="1">
      <alignment horizontal="left" vertical="center" wrapText="1"/>
    </xf>
    <xf numFmtId="0" fontId="28" fillId="0" borderId="21" xfId="0" applyFont="1" applyBorder="1" applyAlignment="1">
      <alignment vertical="center" wrapText="1"/>
    </xf>
    <xf numFmtId="0" fontId="0" fillId="0" borderId="21" xfId="0" quotePrefix="1" applyBorder="1" applyAlignment="1">
      <alignment horizontal="left" vertical="center" wrapText="1"/>
    </xf>
    <xf numFmtId="0" fontId="0" fillId="4" borderId="22" xfId="0" applyFill="1" applyBorder="1" applyAlignment="1">
      <alignment horizontal="center" vertical="center"/>
    </xf>
    <xf numFmtId="0" fontId="0" fillId="0" borderId="22" xfId="0" applyBorder="1" applyAlignment="1">
      <alignment horizontal="center" vertical="center"/>
    </xf>
    <xf numFmtId="0" fontId="0" fillId="0" borderId="22" xfId="0" applyBorder="1" applyAlignment="1">
      <alignment horizontal="center" vertical="center" wrapText="1"/>
    </xf>
    <xf numFmtId="0" fontId="0" fillId="0" borderId="22" xfId="0" applyBorder="1" applyAlignment="1">
      <alignment horizontal="left" vertical="center" wrapText="1"/>
    </xf>
    <xf numFmtId="0" fontId="28" fillId="0" borderId="22" xfId="0" applyFont="1" applyBorder="1" applyAlignment="1">
      <alignment vertical="center" wrapText="1"/>
    </xf>
    <xf numFmtId="0" fontId="29" fillId="0" borderId="1" xfId="0" applyFont="1" applyBorder="1" applyAlignment="1">
      <alignment horizontal="center" vertical="center"/>
    </xf>
    <xf numFmtId="0" fontId="0" fillId="0" borderId="1" xfId="0" quotePrefix="1" applyBorder="1" applyAlignment="1">
      <alignment horizontal="left" vertical="center" wrapText="1"/>
    </xf>
    <xf numFmtId="0" fontId="0" fillId="4" borderId="4" xfId="0" applyFill="1" applyBorder="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left" vertical="center" wrapText="1"/>
    </xf>
    <xf numFmtId="0" fontId="6" fillId="0" borderId="23" xfId="0" applyFont="1"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left" vertical="center"/>
    </xf>
    <xf numFmtId="0" fontId="0" fillId="0" borderId="26" xfId="0" applyBorder="1" applyAlignment="1">
      <alignment horizontal="center" vertical="center"/>
    </xf>
    <xf numFmtId="0" fontId="0" fillId="0" borderId="27" xfId="0" applyBorder="1" applyAlignment="1">
      <alignment horizontal="left" vertical="center"/>
    </xf>
    <xf numFmtId="0" fontId="0" fillId="0" borderId="19" xfId="0" applyBorder="1" applyAlignment="1">
      <alignment horizontal="left" vertical="center"/>
    </xf>
    <xf numFmtId="0" fontId="0" fillId="0" borderId="21" xfId="0" applyBorder="1" applyAlignment="1">
      <alignment horizontal="left" vertical="center"/>
    </xf>
    <xf numFmtId="0" fontId="6" fillId="0" borderId="21" xfId="0" applyFont="1" applyBorder="1" applyAlignment="1">
      <alignment horizontal="center" vertical="center"/>
    </xf>
    <xf numFmtId="0" fontId="6" fillId="0" borderId="5" xfId="0" applyFont="1" applyBorder="1" applyAlignment="1">
      <alignment horizontal="center" vertical="center"/>
    </xf>
    <xf numFmtId="0" fontId="28" fillId="0" borderId="1" xfId="0" applyFont="1" applyBorder="1" applyAlignment="1">
      <alignment vertical="center" wrapText="1"/>
    </xf>
    <xf numFmtId="0" fontId="3" fillId="0" borderId="0" xfId="0" applyFont="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0" fillId="0" borderId="1" xfId="0" applyFont="1" applyBorder="1" applyAlignment="1">
      <alignment horizontal="left" vertical="center" wrapText="1"/>
    </xf>
    <xf numFmtId="0" fontId="3" fillId="6" borderId="3" xfId="0" applyFont="1" applyFill="1" applyBorder="1" applyAlignment="1">
      <alignment horizontal="left" vertical="center" indent="1"/>
    </xf>
    <xf numFmtId="0" fontId="3" fillId="6" borderId="2" xfId="0" applyFont="1" applyFill="1" applyBorder="1" applyAlignment="1">
      <alignment horizontal="left" vertical="center" indent="1"/>
    </xf>
    <xf numFmtId="0" fontId="3" fillId="0" borderId="3" xfId="0" applyFont="1" applyBorder="1" applyAlignment="1">
      <alignment horizontal="left" vertical="top" wrapText="1" indent="1"/>
    </xf>
    <xf numFmtId="0" fontId="3" fillId="0" borderId="2" xfId="0" applyFont="1" applyBorder="1" applyAlignment="1">
      <alignment horizontal="left" vertical="top" wrapText="1" indent="1"/>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cellXfs>
  <cellStyles count="2">
    <cellStyle name="표준" xfId="0" builtinId="0"/>
    <cellStyle name="표준 2" xfId="1" xr:uid="{F379B5D1-505F-4945-A4A7-531C6B81A20B}"/>
  </cellStyles>
  <dxfs count="291">
    <dxf>
      <fill>
        <patternFill>
          <bgColor rgb="FFC39BE1"/>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C39BE1"/>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FF0000"/>
        </patternFill>
      </fill>
    </dxf>
    <dxf>
      <fill>
        <patternFill>
          <bgColor rgb="FFFF0000"/>
        </patternFill>
      </fill>
    </dxf>
    <dxf>
      <fill>
        <patternFill>
          <bgColor rgb="FFFF0000"/>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39BE1"/>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39B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39BE1"/>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39BE1"/>
        </patternFill>
      </fill>
    </dxf>
    <dxf>
      <fill>
        <patternFill>
          <bgColor rgb="FFC39B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C39BE1"/>
        </patternFill>
      </fill>
    </dxf>
    <dxf>
      <fill>
        <patternFill>
          <bgColor rgb="FFFF0000"/>
        </patternFill>
      </fill>
    </dxf>
    <dxf>
      <fill>
        <patternFill patternType="solid">
          <fgColor rgb="FFD9E2F3"/>
          <bgColor rgb="FFD9E2F3"/>
        </patternFill>
      </fill>
    </dxf>
    <dxf>
      <fill>
        <patternFill patternType="solid">
          <fgColor rgb="FFD9E2F3"/>
          <bgColor rgb="FFD9E2F3"/>
        </patternFill>
      </fill>
    </dxf>
    <dxf>
      <fill>
        <patternFill patternType="solid">
          <fgColor theme="4"/>
          <bgColor theme="4"/>
        </patternFill>
      </fill>
    </dxf>
  </dxfs>
  <tableStyles count="1" defaultTableStyle="TableStyleMedium2" defaultPivotStyle="PivotStyleLight16">
    <tableStyle name="HISTORY-style" pivot="0" count="3" xr9:uid="{52369C65-8AE8-40BC-87C8-8AD0D871E503}">
      <tableStyleElement type="headerRow" dxfId="290"/>
      <tableStyleElement type="firstRowStripe" dxfId="289"/>
      <tableStyleElement type="secondRowStripe" dxfId="288"/>
    </tableStyle>
  </tableStyles>
  <colors>
    <mruColors>
      <color rgb="FFC39BE1"/>
      <color rgb="FFFFFFCC"/>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57150</xdr:colOff>
          <xdr:row>1</xdr:row>
          <xdr:rowOff>38100</xdr:rowOff>
        </xdr:from>
        <xdr:to>
          <xdr:col>7</xdr:col>
          <xdr:colOff>1028700</xdr:colOff>
          <xdr:row>2</xdr:row>
          <xdr:rowOff>152400</xdr:rowOff>
        </xdr:to>
        <xdr:sp macro="" textlink="">
          <xdr:nvSpPr>
            <xdr:cNvPr id="1025" name="SheetNameChangeButto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2038350</xdr:colOff>
          <xdr:row>1</xdr:row>
          <xdr:rowOff>38100</xdr:rowOff>
        </xdr:from>
        <xdr:to>
          <xdr:col>7</xdr:col>
          <xdr:colOff>2800350</xdr:colOff>
          <xdr:row>2</xdr:row>
          <xdr:rowOff>152400</xdr:rowOff>
        </xdr:to>
        <xdr:sp macro="" textlink="">
          <xdr:nvSpPr>
            <xdr:cNvPr id="1026" name="JsonMakerCre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1152525</xdr:colOff>
          <xdr:row>1</xdr:row>
          <xdr:rowOff>38100</xdr:rowOff>
        </xdr:from>
        <xdr:to>
          <xdr:col>7</xdr:col>
          <xdr:colOff>1914525</xdr:colOff>
          <xdr:row>2</xdr:row>
          <xdr:rowOff>152400</xdr:rowOff>
        </xdr:to>
        <xdr:sp macro="" textlink="">
          <xdr:nvSpPr>
            <xdr:cNvPr id="1028" name="FieldNameLink"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3</xdr:col>
          <xdr:colOff>819150</xdr:colOff>
          <xdr:row>2</xdr:row>
          <xdr:rowOff>133350</xdr:rowOff>
        </xdr:to>
        <xdr:sp macro="" textlink="">
          <xdr:nvSpPr>
            <xdr:cNvPr id="2049" name="JsonFileCre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4.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pageSetUpPr fitToPage="1"/>
  </sheetPr>
  <dimension ref="B1:H26"/>
  <sheetViews>
    <sheetView workbookViewId="0">
      <selection activeCell="F11" sqref="F11"/>
    </sheetView>
  </sheetViews>
  <sheetFormatPr defaultColWidth="9" defaultRowHeight="16.5"/>
  <cols>
    <col min="1" max="1" width="1.125" style="1" customWidth="1"/>
    <col min="2" max="3" width="19.375" style="1" customWidth="1"/>
    <col min="4" max="5" width="9.375" style="1" customWidth="1"/>
    <col min="6" max="6" width="21.875" style="1" customWidth="1"/>
    <col min="7" max="7" width="62.375" style="1" customWidth="1"/>
    <col min="8" max="8" width="37.375" style="1" customWidth="1"/>
    <col min="9" max="9" width="1.25" style="1" customWidth="1"/>
    <col min="10" max="16384" width="9" style="1"/>
  </cols>
  <sheetData>
    <row r="1" spans="2:8" ht="6.75" customHeight="1"/>
    <row r="2" spans="2:8">
      <c r="B2" s="2" t="s">
        <v>6</v>
      </c>
      <c r="C2" s="131" t="s">
        <v>22</v>
      </c>
      <c r="D2" s="132"/>
      <c r="E2" s="132"/>
      <c r="F2" s="132"/>
      <c r="G2" s="132"/>
      <c r="H2" s="135"/>
    </row>
    <row r="3" spans="2:8" ht="16.5" customHeight="1">
      <c r="B3" s="2" t="s">
        <v>7</v>
      </c>
      <c r="C3" s="133" t="s">
        <v>23</v>
      </c>
      <c r="D3" s="134"/>
      <c r="E3" s="134"/>
      <c r="F3" s="134"/>
      <c r="G3" s="134"/>
      <c r="H3" s="136"/>
    </row>
    <row r="4" spans="2:8">
      <c r="H4" s="6" t="s">
        <v>9</v>
      </c>
    </row>
    <row r="5" spans="2:8">
      <c r="B5" s="2" t="s">
        <v>0</v>
      </c>
      <c r="C5" s="2" t="s">
        <v>1</v>
      </c>
      <c r="D5" s="2" t="s">
        <v>4</v>
      </c>
      <c r="E5" s="2" t="s">
        <v>5</v>
      </c>
      <c r="F5" s="2" t="s">
        <v>2</v>
      </c>
      <c r="G5" s="2" t="s">
        <v>3</v>
      </c>
      <c r="H5" s="2" t="s">
        <v>8</v>
      </c>
    </row>
    <row r="6" spans="2:8">
      <c r="B6" s="5" t="s">
        <v>10</v>
      </c>
      <c r="C6" s="4" t="s">
        <v>11</v>
      </c>
      <c r="D6" s="4"/>
      <c r="E6" s="4"/>
      <c r="F6" s="4" t="s">
        <v>12</v>
      </c>
      <c r="G6" s="4" t="s">
        <v>13</v>
      </c>
      <c r="H6" s="4"/>
    </row>
    <row r="7" spans="2:8" ht="39" customHeight="1">
      <c r="B7" s="22" t="s">
        <v>195</v>
      </c>
      <c r="C7" s="22" t="s">
        <v>11</v>
      </c>
      <c r="D7" s="22"/>
      <c r="E7" s="22"/>
      <c r="F7" s="22" t="s">
        <v>196</v>
      </c>
      <c r="G7" s="22" t="s">
        <v>197</v>
      </c>
      <c r="H7" s="22"/>
    </row>
    <row r="8" spans="2:8" ht="39" customHeight="1">
      <c r="B8" s="5" t="s">
        <v>777</v>
      </c>
      <c r="C8" s="4" t="s">
        <v>777</v>
      </c>
      <c r="D8" s="4"/>
      <c r="E8" s="4"/>
      <c r="F8" s="4" t="s">
        <v>778</v>
      </c>
      <c r="G8" s="4" t="s">
        <v>779</v>
      </c>
      <c r="H8" s="4"/>
    </row>
    <row r="9" spans="2:8" ht="39" customHeight="1">
      <c r="B9" s="5" t="s">
        <v>777</v>
      </c>
      <c r="C9" s="4" t="s">
        <v>777</v>
      </c>
      <c r="D9" s="4"/>
      <c r="E9" s="4"/>
      <c r="F9" s="4" t="s">
        <v>780</v>
      </c>
      <c r="G9" s="4" t="s">
        <v>781</v>
      </c>
      <c r="H9" s="4"/>
    </row>
    <row r="10" spans="2:8" ht="39" customHeight="1">
      <c r="B10" s="5" t="s">
        <v>777</v>
      </c>
      <c r="C10" s="4" t="s">
        <v>777</v>
      </c>
      <c r="D10" s="4"/>
      <c r="E10" s="4"/>
      <c r="F10" s="4" t="s">
        <v>782</v>
      </c>
      <c r="G10" s="4" t="s">
        <v>783</v>
      </c>
      <c r="H10" s="4"/>
    </row>
    <row r="11" spans="2:8" ht="39" customHeight="1">
      <c r="B11" s="5" t="s">
        <v>784</v>
      </c>
      <c r="C11" s="4" t="s">
        <v>777</v>
      </c>
      <c r="D11" s="4"/>
      <c r="E11" s="4"/>
      <c r="F11" s="4" t="s">
        <v>785</v>
      </c>
      <c r="G11" s="4" t="s">
        <v>786</v>
      </c>
      <c r="H11" s="4"/>
    </row>
    <row r="12" spans="2:8" ht="33">
      <c r="B12" s="3" t="s">
        <v>14</v>
      </c>
      <c r="C12" s="4" t="s">
        <v>11</v>
      </c>
      <c r="D12" s="4"/>
      <c r="E12" s="4"/>
      <c r="F12" s="4" t="s">
        <v>15</v>
      </c>
      <c r="G12" s="4" t="s">
        <v>28</v>
      </c>
      <c r="H12" s="4"/>
    </row>
    <row r="13" spans="2:8">
      <c r="B13" s="4" t="s">
        <v>16</v>
      </c>
      <c r="C13" s="4" t="s">
        <v>17</v>
      </c>
      <c r="D13" s="4"/>
      <c r="E13" s="4"/>
      <c r="F13" s="4" t="s">
        <v>18</v>
      </c>
      <c r="G13" s="4"/>
      <c r="H13" s="4"/>
    </row>
    <row r="14" spans="2:8">
      <c r="B14" s="4" t="s">
        <v>270</v>
      </c>
      <c r="C14" s="4" t="s">
        <v>17</v>
      </c>
      <c r="D14" s="4"/>
      <c r="E14" s="4"/>
      <c r="F14" s="4" t="s">
        <v>271</v>
      </c>
      <c r="G14" s="4"/>
      <c r="H14" s="4"/>
    </row>
    <row r="15" spans="2:8">
      <c r="B15" s="4" t="s">
        <v>272</v>
      </c>
      <c r="C15" s="4" t="s">
        <v>17</v>
      </c>
      <c r="D15" s="4"/>
      <c r="E15" s="4"/>
      <c r="F15" s="4" t="s">
        <v>273</v>
      </c>
      <c r="G15" s="4"/>
      <c r="H15" s="4"/>
    </row>
    <row r="16" spans="2:8">
      <c r="B16" s="4" t="s">
        <v>274</v>
      </c>
      <c r="C16" s="4" t="s">
        <v>17</v>
      </c>
      <c r="D16" s="4"/>
      <c r="E16" s="4"/>
      <c r="F16" s="4" t="s">
        <v>275</v>
      </c>
      <c r="G16" s="4"/>
      <c r="H16" s="4"/>
    </row>
    <row r="17" spans="2:8">
      <c r="B17" s="4" t="s">
        <v>282</v>
      </c>
      <c r="C17" s="4" t="s">
        <v>17</v>
      </c>
      <c r="D17" s="4"/>
      <c r="E17" s="4"/>
      <c r="F17" s="4" t="s">
        <v>283</v>
      </c>
      <c r="G17" s="4"/>
      <c r="H17" s="4"/>
    </row>
    <row r="18" spans="2:8">
      <c r="B18" s="25" t="s">
        <v>543</v>
      </c>
      <c r="C18" s="25" t="s">
        <v>17</v>
      </c>
      <c r="D18" s="25"/>
      <c r="E18" s="25"/>
      <c r="F18" s="25" t="s">
        <v>544</v>
      </c>
      <c r="G18" s="4"/>
      <c r="H18" s="4"/>
    </row>
    <row r="19" spans="2:8">
      <c r="B19" s="25" t="s">
        <v>545</v>
      </c>
      <c r="C19" s="25" t="s">
        <v>17</v>
      </c>
      <c r="D19" s="25"/>
      <c r="E19" s="25"/>
      <c r="F19" s="25" t="s">
        <v>546</v>
      </c>
      <c r="G19" s="4"/>
      <c r="H19" s="4"/>
    </row>
    <row r="20" spans="2:8">
      <c r="B20" s="25" t="s">
        <v>547</v>
      </c>
      <c r="C20" s="25" t="s">
        <v>17</v>
      </c>
      <c r="D20" s="25"/>
      <c r="E20" s="25"/>
      <c r="F20" s="25" t="s">
        <v>548</v>
      </c>
      <c r="G20" s="4"/>
      <c r="H20" s="4"/>
    </row>
    <row r="21" spans="2:8">
      <c r="B21" s="25" t="s">
        <v>549</v>
      </c>
      <c r="C21" s="25" t="s">
        <v>17</v>
      </c>
      <c r="D21" s="25"/>
      <c r="E21" s="25"/>
      <c r="F21" s="25" t="s">
        <v>550</v>
      </c>
      <c r="G21" s="4"/>
      <c r="H21" s="4"/>
    </row>
    <row r="22" spans="2:8">
      <c r="B22" s="25" t="s">
        <v>551</v>
      </c>
      <c r="C22" s="25" t="s">
        <v>17</v>
      </c>
      <c r="D22" s="25"/>
      <c r="E22" s="25"/>
      <c r="F22" s="25" t="s">
        <v>552</v>
      </c>
      <c r="G22" s="4"/>
      <c r="H22" s="4"/>
    </row>
    <row r="23" spans="2:8">
      <c r="B23" s="25" t="s">
        <v>553</v>
      </c>
      <c r="C23" s="25" t="s">
        <v>17</v>
      </c>
      <c r="D23" s="25"/>
      <c r="E23" s="25"/>
      <c r="F23" s="25" t="s">
        <v>554</v>
      </c>
      <c r="G23" s="4"/>
      <c r="H23" s="4"/>
    </row>
    <row r="24" spans="2:8">
      <c r="B24" s="25" t="s">
        <v>555</v>
      </c>
      <c r="C24" s="25" t="s">
        <v>17</v>
      </c>
      <c r="D24" s="25"/>
      <c r="E24" s="25"/>
      <c r="F24" s="25" t="s">
        <v>556</v>
      </c>
      <c r="G24" s="4"/>
      <c r="H24" s="4"/>
    </row>
    <row r="25" spans="2:8">
      <c r="B25" s="4" t="s">
        <v>21</v>
      </c>
      <c r="C25" s="4" t="s">
        <v>19</v>
      </c>
      <c r="D25" s="4"/>
      <c r="E25" s="4"/>
      <c r="F25" s="4" t="s">
        <v>20</v>
      </c>
      <c r="G25" s="4"/>
      <c r="H25" s="4"/>
    </row>
    <row r="26" spans="2:8">
      <c r="B26" s="4" t="s">
        <v>124</v>
      </c>
      <c r="C26" s="4" t="s">
        <v>11</v>
      </c>
      <c r="D26" s="4"/>
      <c r="E26" s="4" t="s">
        <v>125</v>
      </c>
      <c r="F26" s="4" t="s">
        <v>95</v>
      </c>
      <c r="G26" s="4"/>
      <c r="H26" s="4"/>
    </row>
  </sheetData>
  <mergeCells count="3">
    <mergeCell ref="C2:G2"/>
    <mergeCell ref="C3:G3"/>
    <mergeCell ref="H2:H3"/>
  </mergeCells>
  <phoneticPr fontId="1" type="noConversion"/>
  <pageMargins left="0.7" right="0.7" top="0.75" bottom="0.75" header="0.3" footer="0.3"/>
  <pageSetup paperSize="9" scale="52" fitToHeight="0" orientation="portrait" r:id="rId1"/>
  <drawing r:id="rId2"/>
  <legacyDrawing r:id="rId3"/>
  <controls>
    <mc:AlternateContent xmlns:mc="http://schemas.openxmlformats.org/markup-compatibility/2006">
      <mc:Choice Requires="x14">
        <control shapeId="1028" r:id="rId4" name="FieldNameLink">
          <controlPr autoLine="0" r:id="rId5">
            <anchor moveWithCells="1">
              <from>
                <xdr:col>7</xdr:col>
                <xdr:colOff>1152525</xdr:colOff>
                <xdr:row>1</xdr:row>
                <xdr:rowOff>38100</xdr:rowOff>
              </from>
              <to>
                <xdr:col>7</xdr:col>
                <xdr:colOff>1914525</xdr:colOff>
                <xdr:row>2</xdr:row>
                <xdr:rowOff>152400</xdr:rowOff>
              </to>
            </anchor>
          </controlPr>
        </control>
      </mc:Choice>
      <mc:Fallback>
        <control shapeId="1028" r:id="rId4" name="FieldNameLink"/>
      </mc:Fallback>
    </mc:AlternateContent>
    <mc:AlternateContent xmlns:mc="http://schemas.openxmlformats.org/markup-compatibility/2006">
      <mc:Choice Requires="x14">
        <control shapeId="1026" r:id="rId6" name="JsonMakerCreate">
          <controlPr defaultSize="0" autoLine="0" r:id="rId7">
            <anchor moveWithCells="1">
              <from>
                <xdr:col>7</xdr:col>
                <xdr:colOff>2038350</xdr:colOff>
                <xdr:row>1</xdr:row>
                <xdr:rowOff>38100</xdr:rowOff>
              </from>
              <to>
                <xdr:col>7</xdr:col>
                <xdr:colOff>2800350</xdr:colOff>
                <xdr:row>2</xdr:row>
                <xdr:rowOff>152400</xdr:rowOff>
              </to>
            </anchor>
          </controlPr>
        </control>
      </mc:Choice>
      <mc:Fallback>
        <control shapeId="1026" r:id="rId6" name="JsonMakerCreate"/>
      </mc:Fallback>
    </mc:AlternateContent>
    <mc:AlternateContent xmlns:mc="http://schemas.openxmlformats.org/markup-compatibility/2006">
      <mc:Choice Requires="x14">
        <control shapeId="1025" r:id="rId8" name="SheetNameChangeButton">
          <controlPr defaultSize="0" autoLine="0" autoPict="0" r:id="rId9">
            <anchor moveWithCells="1">
              <from>
                <xdr:col>7</xdr:col>
                <xdr:colOff>57150</xdr:colOff>
                <xdr:row>1</xdr:row>
                <xdr:rowOff>38100</xdr:rowOff>
              </from>
              <to>
                <xdr:col>7</xdr:col>
                <xdr:colOff>1028700</xdr:colOff>
                <xdr:row>2</xdr:row>
                <xdr:rowOff>152400</xdr:rowOff>
              </to>
            </anchor>
          </controlPr>
        </control>
      </mc:Choice>
      <mc:Fallback>
        <control shapeId="1025" r:id="rId8" name="SheetNameChange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3300"/>
  </sheetPr>
  <dimension ref="A1:AG594"/>
  <sheetViews>
    <sheetView tabSelected="1" zoomScale="85" zoomScaleNormal="85" workbookViewId="0">
      <pane ySplit="4" topLeftCell="A113" activePane="bottomLeft" state="frozen"/>
      <selection pane="bottomLeft" activeCell="I604" sqref="I604"/>
    </sheetView>
  </sheetViews>
  <sheetFormatPr defaultRowHeight="16.5"/>
  <cols>
    <col min="1" max="1" width="2" customWidth="1"/>
    <col min="2" max="2" width="9.25" customWidth="1"/>
    <col min="3" max="3" width="15.375" bestFit="1" customWidth="1"/>
    <col min="4" max="4" width="13.25" bestFit="1" customWidth="1"/>
    <col min="5" max="5" width="19.875" customWidth="1"/>
    <col min="6" max="6" width="15.375" customWidth="1"/>
    <col min="7" max="7" width="14" bestFit="1" customWidth="1"/>
    <col min="8" max="8" width="13.75" style="9" bestFit="1" customWidth="1"/>
    <col min="9" max="9" width="51.125" style="9" customWidth="1"/>
    <col min="10" max="14" width="10.625" style="10" customWidth="1"/>
    <col min="15" max="18" width="10.625" customWidth="1"/>
  </cols>
  <sheetData>
    <row r="1" spans="1:18">
      <c r="H1" s="31"/>
      <c r="I1" s="31"/>
      <c r="J1" s="24" t="s">
        <v>276</v>
      </c>
      <c r="K1" s="24"/>
      <c r="L1" s="24"/>
      <c r="M1" s="24"/>
      <c r="N1" s="32"/>
    </row>
    <row r="2" spans="1:18">
      <c r="A2" s="19" t="s">
        <v>131</v>
      </c>
      <c r="B2" s="11" t="str">
        <f>'!명세서'!F6</f>
        <v>언리얼 필수값</v>
      </c>
      <c r="C2" s="11" t="str">
        <f>'!명세서'!F7</f>
        <v>데이터적용여부</v>
      </c>
      <c r="D2" s="11" t="str">
        <f>'!명세서'!F8</f>
        <v>국내업데이트</v>
      </c>
      <c r="E2" s="11" t="str">
        <f>'!명세서'!F9</f>
        <v>수정업데이트</v>
      </c>
      <c r="F2" s="11" t="str">
        <f>'!명세서'!F10</f>
        <v>글로벌업데이트</v>
      </c>
      <c r="G2" s="11" t="str">
        <f>'!명세서'!F11</f>
        <v>글로벌 OnOff</v>
      </c>
      <c r="H2" s="26" t="str">
        <f>'!명세서'!F12</f>
        <v>스트링 아이디</v>
      </c>
      <c r="I2" s="26" t="str">
        <f>'!명세서'!F13</f>
        <v>한국어</v>
      </c>
      <c r="J2" s="26" t="str">
        <f>'!명세서'!F17</f>
        <v>영어</v>
      </c>
      <c r="K2" s="26" t="str">
        <f>'!명세서'!F14</f>
        <v>중국어(번체)</v>
      </c>
      <c r="L2" s="26" t="str">
        <f>'!명세서'!F15</f>
        <v>중국어(간체)</v>
      </c>
      <c r="M2" s="26" t="str">
        <f>'!명세서'!F16</f>
        <v>일본어</v>
      </c>
      <c r="N2" s="26" t="str">
        <f>'!명세서'!F18</f>
        <v>태국어</v>
      </c>
      <c r="O2" s="26" t="str">
        <f>'!명세서'!F22</f>
        <v>스페인어</v>
      </c>
      <c r="P2" s="26" t="str">
        <f>'!명세서'!F23</f>
        <v>포르투갈어</v>
      </c>
      <c r="Q2" s="26" t="str">
        <f>'!명세서'!F25</f>
        <v>글자 색상</v>
      </c>
      <c r="R2" s="26" t="str">
        <f>'!명세서'!F26</f>
        <v>글자수 체크용</v>
      </c>
    </row>
    <row r="3" spans="1:18">
      <c r="A3" s="18" t="s">
        <v>1</v>
      </c>
      <c r="B3" s="12" t="str">
        <f>'!명세서'!C6</f>
        <v>int</v>
      </c>
      <c r="C3" s="12" t="str">
        <f>'!명세서'!C7</f>
        <v>int</v>
      </c>
      <c r="D3" s="12" t="str">
        <f>'!명세서'!C8</f>
        <v>!</v>
      </c>
      <c r="E3" s="12" t="str">
        <f>'!명세서'!C9</f>
        <v>!</v>
      </c>
      <c r="F3" s="12" t="str">
        <f>'!명세서'!C10</f>
        <v>!</v>
      </c>
      <c r="G3" s="12" t="str">
        <f>'!명세서'!C11</f>
        <v>!</v>
      </c>
      <c r="H3" s="27" t="str">
        <f>'!명세서'!C12</f>
        <v>int</v>
      </c>
      <c r="I3" s="27" t="str">
        <f>'!명세서'!C13</f>
        <v>string</v>
      </c>
      <c r="J3" s="27" t="str">
        <f>'!명세서'!C17</f>
        <v>string</v>
      </c>
      <c r="K3" s="27" t="str">
        <f>'!명세서'!C14</f>
        <v>string</v>
      </c>
      <c r="L3" s="27" t="str">
        <f>'!명세서'!C15</f>
        <v>string</v>
      </c>
      <c r="M3" s="27" t="str">
        <f>'!명세서'!C16</f>
        <v>string</v>
      </c>
      <c r="N3" s="27" t="str">
        <f>'!명세서'!C18</f>
        <v>string</v>
      </c>
      <c r="O3" s="27" t="str">
        <f>'!명세서'!C22</f>
        <v>string</v>
      </c>
      <c r="P3" s="27" t="str">
        <f>'!명세서'!C23</f>
        <v>string</v>
      </c>
      <c r="Q3" s="27" t="str">
        <f>'!명세서'!C25</f>
        <v>int</v>
      </c>
      <c r="R3" s="27" t="str">
        <f>'!명세서'!C26</f>
        <v>int</v>
      </c>
    </row>
    <row r="4" spans="1:18">
      <c r="A4" s="17" t="s">
        <v>130</v>
      </c>
      <c r="B4" s="13" t="str">
        <f>'!명세서'!B6</f>
        <v>Name</v>
      </c>
      <c r="C4" s="13" t="str">
        <f>'!명세서'!B7</f>
        <v>DataOnOff</v>
      </c>
      <c r="D4" s="13" t="str">
        <f>'!명세서'!B8</f>
        <v>!</v>
      </c>
      <c r="E4" s="13" t="str">
        <f>'!명세서'!B9</f>
        <v>!</v>
      </c>
      <c r="F4" s="13" t="str">
        <f>'!명세서'!B10</f>
        <v>!</v>
      </c>
      <c r="G4" s="13" t="str">
        <f>'!명세서'!B11</f>
        <v>DataOnOff_G</v>
      </c>
      <c r="H4" s="28" t="str">
        <f>'!명세서'!B12</f>
        <v>StringId</v>
      </c>
      <c r="I4" s="28" t="str">
        <f>'!명세서'!B13</f>
        <v>TextKr</v>
      </c>
      <c r="J4" s="28" t="str">
        <f>'!명세서'!B17</f>
        <v>ENG</v>
      </c>
      <c r="K4" s="28" t="str">
        <f>'!명세서'!B14</f>
        <v>CHT</v>
      </c>
      <c r="L4" s="28" t="str">
        <f>'!명세서'!B15</f>
        <v>CHS</v>
      </c>
      <c r="M4" s="28" t="str">
        <f>'!명세서'!B16</f>
        <v>JPN</v>
      </c>
      <c r="N4" s="28" t="str">
        <f>'!명세서'!B18</f>
        <v>THA</v>
      </c>
      <c r="O4" s="28" t="str">
        <f>'!명세서'!B22</f>
        <v>SPA</v>
      </c>
      <c r="P4" s="28" t="str">
        <f>'!명세서'!B23</f>
        <v>POR</v>
      </c>
      <c r="Q4" s="28" t="str">
        <f>'!명세서'!B25</f>
        <v>TextColorId</v>
      </c>
      <c r="R4" s="28" t="str">
        <f>'!명세서'!B26</f>
        <v>!Check</v>
      </c>
    </row>
    <row r="5" spans="1:18">
      <c r="B5" s="14">
        <f>H5</f>
        <v>1</v>
      </c>
      <c r="C5" s="14">
        <v>1</v>
      </c>
      <c r="D5" s="14"/>
      <c r="E5" s="14"/>
      <c r="F5" s="14"/>
      <c r="G5" s="14">
        <v>1</v>
      </c>
      <c r="H5" s="14">
        <v>1</v>
      </c>
      <c r="I5" s="16" t="s">
        <v>43</v>
      </c>
      <c r="J5" s="14" t="s">
        <v>1463</v>
      </c>
      <c r="K5" s="14" t="s">
        <v>1464</v>
      </c>
      <c r="L5" s="14" t="s">
        <v>1465</v>
      </c>
      <c r="M5" s="14" t="s">
        <v>1466</v>
      </c>
      <c r="N5" s="14" t="s">
        <v>1467</v>
      </c>
      <c r="O5" s="14" t="s">
        <v>1468</v>
      </c>
      <c r="P5" s="14" t="s">
        <v>1469</v>
      </c>
      <c r="Q5" s="14">
        <v>0</v>
      </c>
      <c r="R5" s="14">
        <f>IF(LEN(I5)&gt;=10, "Text too Long", LEN(I5))</f>
        <v>5</v>
      </c>
    </row>
    <row r="6" spans="1:18">
      <c r="B6" s="14">
        <f t="shared" ref="B6:B135" si="0">H6</f>
        <v>1001</v>
      </c>
      <c r="C6" s="14">
        <v>1</v>
      </c>
      <c r="D6" s="14"/>
      <c r="E6" s="14"/>
      <c r="F6" s="14"/>
      <c r="G6" s="14">
        <v>1</v>
      </c>
      <c r="H6" s="14">
        <v>1001</v>
      </c>
      <c r="I6" s="16" t="s">
        <v>44</v>
      </c>
      <c r="J6" s="33" t="s">
        <v>286</v>
      </c>
      <c r="K6" s="33" t="s">
        <v>284</v>
      </c>
      <c r="L6" s="33" t="s">
        <v>285</v>
      </c>
      <c r="M6" s="33" t="s">
        <v>795</v>
      </c>
      <c r="N6" s="14" t="s">
        <v>572</v>
      </c>
      <c r="O6" s="14" t="s">
        <v>573</v>
      </c>
      <c r="P6" s="14" t="s">
        <v>574</v>
      </c>
      <c r="Q6" s="14">
        <v>0</v>
      </c>
      <c r="R6" s="14">
        <f>IF(LEN(I6)&gt;=20, "Text too Long", LEN(I6))</f>
        <v>12</v>
      </c>
    </row>
    <row r="7" spans="1:18">
      <c r="B7" s="14">
        <f t="shared" si="0"/>
        <v>2001</v>
      </c>
      <c r="C7" s="14">
        <v>1</v>
      </c>
      <c r="D7" s="14"/>
      <c r="E7" s="14"/>
      <c r="F7" s="14"/>
      <c r="G7" s="14">
        <v>1</v>
      </c>
      <c r="H7" s="14">
        <v>2001</v>
      </c>
      <c r="I7" s="16" t="s">
        <v>70</v>
      </c>
      <c r="J7" s="14" t="s">
        <v>2202</v>
      </c>
      <c r="K7" s="14" t="s">
        <v>2203</v>
      </c>
      <c r="L7" s="14" t="s">
        <v>2204</v>
      </c>
      <c r="M7" s="14" t="s">
        <v>2205</v>
      </c>
      <c r="N7" s="14" t="s">
        <v>2206</v>
      </c>
      <c r="O7" s="14" t="s">
        <v>2207</v>
      </c>
      <c r="P7" s="14" t="s">
        <v>2208</v>
      </c>
      <c r="Q7" s="14">
        <v>0</v>
      </c>
      <c r="R7" s="14">
        <f>IF(LEN(I7)&gt;=333, "Text too Long", LEN(I7))</f>
        <v>208</v>
      </c>
    </row>
    <row r="8" spans="1:18">
      <c r="B8" s="14">
        <f t="shared" si="0"/>
        <v>2</v>
      </c>
      <c r="C8" s="14">
        <v>1</v>
      </c>
      <c r="D8" s="14"/>
      <c r="E8" s="14"/>
      <c r="F8" s="14"/>
      <c r="G8" s="14">
        <v>1</v>
      </c>
      <c r="H8" s="14">
        <v>2</v>
      </c>
      <c r="I8" s="16" t="s">
        <v>45</v>
      </c>
      <c r="J8" s="14" t="s">
        <v>290</v>
      </c>
      <c r="K8" s="14" t="s">
        <v>287</v>
      </c>
      <c r="L8" s="14" t="s">
        <v>288</v>
      </c>
      <c r="M8" s="14" t="s">
        <v>289</v>
      </c>
      <c r="N8" s="14" t="s">
        <v>575</v>
      </c>
      <c r="O8" s="14" t="s">
        <v>576</v>
      </c>
      <c r="P8" s="14" t="s">
        <v>577</v>
      </c>
      <c r="Q8" s="14">
        <v>0</v>
      </c>
      <c r="R8" s="14">
        <f>IF(LEN(I8)&gt;=10, "Text too Long", LEN(I8))</f>
        <v>5</v>
      </c>
    </row>
    <row r="9" spans="1:18">
      <c r="B9" s="14">
        <f t="shared" si="0"/>
        <v>1002</v>
      </c>
      <c r="C9" s="14">
        <v>1</v>
      </c>
      <c r="D9" s="14"/>
      <c r="E9" s="14"/>
      <c r="F9" s="14"/>
      <c r="G9" s="14">
        <v>1</v>
      </c>
      <c r="H9" s="14">
        <v>1002</v>
      </c>
      <c r="I9" s="16" t="s">
        <v>46</v>
      </c>
      <c r="J9" s="33" t="s">
        <v>293</v>
      </c>
      <c r="K9" s="33" t="s">
        <v>291</v>
      </c>
      <c r="L9" s="33" t="s">
        <v>292</v>
      </c>
      <c r="M9" s="33" t="s">
        <v>795</v>
      </c>
      <c r="N9" s="14" t="s">
        <v>578</v>
      </c>
      <c r="O9" s="14" t="s">
        <v>579</v>
      </c>
      <c r="P9" s="14" t="s">
        <v>580</v>
      </c>
      <c r="Q9" s="14">
        <v>0</v>
      </c>
      <c r="R9" s="14">
        <f>IF(LEN(I9)&gt;=20, "Text too Long", LEN(I9))</f>
        <v>12</v>
      </c>
    </row>
    <row r="10" spans="1:18">
      <c r="B10" s="14">
        <f t="shared" si="0"/>
        <v>2002</v>
      </c>
      <c r="C10" s="14">
        <v>1</v>
      </c>
      <c r="D10" s="14"/>
      <c r="E10" s="14"/>
      <c r="F10" s="14"/>
      <c r="G10" s="14">
        <v>1</v>
      </c>
      <c r="H10" s="14">
        <v>2002</v>
      </c>
      <c r="I10" s="16" t="s">
        <v>71</v>
      </c>
      <c r="J10" s="33" t="s">
        <v>2209</v>
      </c>
      <c r="K10" s="33" t="s">
        <v>2210</v>
      </c>
      <c r="L10" s="33" t="s">
        <v>2211</v>
      </c>
      <c r="M10" s="33" t="s">
        <v>2212</v>
      </c>
      <c r="N10" s="14" t="s">
        <v>2213</v>
      </c>
      <c r="O10" s="14" t="s">
        <v>2214</v>
      </c>
      <c r="P10" s="14" t="s">
        <v>2215</v>
      </c>
      <c r="Q10" s="14">
        <v>0</v>
      </c>
      <c r="R10" s="14">
        <f>IF(LEN(I10)&gt;=333, "Text too Long", LEN(I10))</f>
        <v>187</v>
      </c>
    </row>
    <row r="11" spans="1:18">
      <c r="B11" s="34">
        <f t="shared" ref="B11:B19" si="1">H11</f>
        <v>3</v>
      </c>
      <c r="C11" s="34">
        <v>1</v>
      </c>
      <c r="D11" s="34"/>
      <c r="E11" s="34"/>
      <c r="F11" s="34"/>
      <c r="G11" s="34">
        <v>1</v>
      </c>
      <c r="H11" s="34">
        <v>3</v>
      </c>
      <c r="I11" s="35" t="s">
        <v>87</v>
      </c>
      <c r="J11" s="34" t="s">
        <v>1470</v>
      </c>
      <c r="K11" s="34" t="s">
        <v>1471</v>
      </c>
      <c r="L11" s="34" t="s">
        <v>1472</v>
      </c>
      <c r="M11" s="34" t="s">
        <v>3313</v>
      </c>
      <c r="N11" s="14" t="s">
        <v>1473</v>
      </c>
      <c r="O11" s="14" t="s">
        <v>1474</v>
      </c>
      <c r="P11" s="14" t="s">
        <v>1475</v>
      </c>
      <c r="Q11" s="34">
        <v>0</v>
      </c>
      <c r="R11" s="14">
        <f>IF(LEN(I11)&gt;=10, "Text too Long", LEN(I11))</f>
        <v>7</v>
      </c>
    </row>
    <row r="12" spans="1:18">
      <c r="B12" s="34">
        <f t="shared" si="1"/>
        <v>1003</v>
      </c>
      <c r="C12" s="34">
        <v>1</v>
      </c>
      <c r="D12" s="34"/>
      <c r="E12" s="34"/>
      <c r="F12" s="34"/>
      <c r="G12" s="34">
        <v>1</v>
      </c>
      <c r="H12" s="34">
        <v>1003</v>
      </c>
      <c r="I12" s="35" t="s">
        <v>88</v>
      </c>
      <c r="J12" s="34" t="s">
        <v>1476</v>
      </c>
      <c r="K12" s="34" t="s">
        <v>1477</v>
      </c>
      <c r="L12" s="34" t="s">
        <v>1478</v>
      </c>
      <c r="M12" s="34" t="s">
        <v>3314</v>
      </c>
      <c r="N12" s="14" t="s">
        <v>1479</v>
      </c>
      <c r="O12" s="14" t="s">
        <v>1480</v>
      </c>
      <c r="P12" s="14" t="s">
        <v>1481</v>
      </c>
      <c r="Q12" s="34">
        <v>0</v>
      </c>
      <c r="R12" s="14">
        <f>IF(LEN(I12)&gt;=20, "Text too Long", LEN(I12))</f>
        <v>10</v>
      </c>
    </row>
    <row r="13" spans="1:18">
      <c r="B13" s="34">
        <f t="shared" si="1"/>
        <v>2003</v>
      </c>
      <c r="C13" s="34">
        <v>1</v>
      </c>
      <c r="D13" s="34"/>
      <c r="E13" s="34"/>
      <c r="F13" s="34"/>
      <c r="G13" s="34">
        <v>1</v>
      </c>
      <c r="H13" s="34">
        <v>2003</v>
      </c>
      <c r="I13" s="35" t="s">
        <v>89</v>
      </c>
      <c r="J13" s="34" t="s">
        <v>1482</v>
      </c>
      <c r="K13" s="34" t="s">
        <v>1483</v>
      </c>
      <c r="L13" s="34" t="s">
        <v>2216</v>
      </c>
      <c r="M13" s="34" t="s">
        <v>3315</v>
      </c>
      <c r="N13" s="14" t="s">
        <v>1484</v>
      </c>
      <c r="O13" s="14" t="s">
        <v>3316</v>
      </c>
      <c r="P13" s="14" t="s">
        <v>1485</v>
      </c>
      <c r="Q13" s="34">
        <v>0</v>
      </c>
      <c r="R13" s="14">
        <f>IF(LEN(I13)&gt;=333, "Text too Long", LEN(I13))</f>
        <v>65</v>
      </c>
    </row>
    <row r="14" spans="1:18">
      <c r="B14" s="21">
        <f t="shared" si="1"/>
        <v>4</v>
      </c>
      <c r="C14" s="21">
        <v>1</v>
      </c>
      <c r="D14" s="21"/>
      <c r="E14" s="21"/>
      <c r="F14" s="21"/>
      <c r="G14" s="21">
        <v>1</v>
      </c>
      <c r="H14" s="21">
        <v>4</v>
      </c>
      <c r="I14" s="36" t="s">
        <v>194</v>
      </c>
      <c r="J14" s="21" t="s">
        <v>297</v>
      </c>
      <c r="K14" s="21" t="s">
        <v>294</v>
      </c>
      <c r="L14" s="21" t="s">
        <v>295</v>
      </c>
      <c r="M14" s="21" t="s">
        <v>296</v>
      </c>
      <c r="N14" s="14" t="s">
        <v>581</v>
      </c>
      <c r="O14" s="14" t="s">
        <v>582</v>
      </c>
      <c r="P14" s="14" t="s">
        <v>583</v>
      </c>
      <c r="Q14" s="21">
        <v>0</v>
      </c>
      <c r="R14" s="21">
        <f>IF(LEN(I14)&gt;=10, "Text too Long", LEN(I14))</f>
        <v>7</v>
      </c>
    </row>
    <row r="15" spans="1:18">
      <c r="B15" s="21">
        <f t="shared" si="1"/>
        <v>1004</v>
      </c>
      <c r="C15" s="21">
        <v>1</v>
      </c>
      <c r="D15" s="21"/>
      <c r="E15" s="21"/>
      <c r="F15" s="21"/>
      <c r="G15" s="21">
        <v>1</v>
      </c>
      <c r="H15" s="21">
        <v>1004</v>
      </c>
      <c r="I15" s="36" t="s">
        <v>193</v>
      </c>
      <c r="J15" s="21" t="s">
        <v>300</v>
      </c>
      <c r="K15" s="21" t="s">
        <v>298</v>
      </c>
      <c r="L15" s="21" t="s">
        <v>299</v>
      </c>
      <c r="M15" s="21" t="s">
        <v>796</v>
      </c>
      <c r="N15" s="14" t="s">
        <v>584</v>
      </c>
      <c r="O15" s="14" t="s">
        <v>585</v>
      </c>
      <c r="P15" s="14" t="s">
        <v>586</v>
      </c>
      <c r="Q15" s="21">
        <v>0</v>
      </c>
      <c r="R15" s="21">
        <f>IF(LEN(I15)&gt;=20, "Text too Long", LEN(I15))</f>
        <v>14</v>
      </c>
    </row>
    <row r="16" spans="1:18">
      <c r="B16" s="21">
        <f t="shared" si="1"/>
        <v>2004</v>
      </c>
      <c r="C16" s="21">
        <v>1</v>
      </c>
      <c r="D16" s="21"/>
      <c r="E16" s="21"/>
      <c r="F16" s="21"/>
      <c r="G16" s="21">
        <v>1</v>
      </c>
      <c r="H16" s="21">
        <v>2004</v>
      </c>
      <c r="I16" s="36" t="s">
        <v>192</v>
      </c>
      <c r="J16" s="21" t="s">
        <v>303</v>
      </c>
      <c r="K16" s="21" t="s">
        <v>301</v>
      </c>
      <c r="L16" s="21" t="s">
        <v>302</v>
      </c>
      <c r="M16" s="21" t="s">
        <v>797</v>
      </c>
      <c r="N16" s="14" t="s">
        <v>587</v>
      </c>
      <c r="O16" s="14" t="s">
        <v>588</v>
      </c>
      <c r="P16" s="14" t="s">
        <v>589</v>
      </c>
      <c r="Q16" s="21">
        <v>0</v>
      </c>
      <c r="R16" s="21">
        <f>IF(LEN(I16)&gt;=333, "Text too Long", LEN(I16))</f>
        <v>62</v>
      </c>
    </row>
    <row r="17" spans="2:18">
      <c r="B17" s="71">
        <f t="shared" si="1"/>
        <v>5</v>
      </c>
      <c r="C17" s="71">
        <v>1</v>
      </c>
      <c r="D17" s="71"/>
      <c r="E17" s="71"/>
      <c r="F17" s="71"/>
      <c r="G17" s="71">
        <v>1</v>
      </c>
      <c r="H17" s="71">
        <v>5</v>
      </c>
      <c r="I17" s="72" t="s">
        <v>886</v>
      </c>
      <c r="J17" s="34" t="s">
        <v>3317</v>
      </c>
      <c r="K17" s="34" t="s">
        <v>3318</v>
      </c>
      <c r="L17" s="34" t="s">
        <v>3319</v>
      </c>
      <c r="M17" s="34" t="s">
        <v>3320</v>
      </c>
      <c r="N17" s="34" t="s">
        <v>3321</v>
      </c>
      <c r="O17" s="34" t="s">
        <v>3322</v>
      </c>
      <c r="P17" s="34" t="s">
        <v>3323</v>
      </c>
      <c r="Q17" s="53">
        <v>0</v>
      </c>
      <c r="R17" s="34">
        <f t="shared" ref="R17:R19" si="2">IF(LEN(I17)&gt;=333, "Text too Long", LEN(I17))</f>
        <v>8</v>
      </c>
    </row>
    <row r="18" spans="2:18">
      <c r="B18" s="71">
        <f t="shared" si="1"/>
        <v>1005</v>
      </c>
      <c r="C18" s="71">
        <v>1</v>
      </c>
      <c r="D18" s="71"/>
      <c r="E18" s="71"/>
      <c r="F18" s="71"/>
      <c r="G18" s="71">
        <v>1</v>
      </c>
      <c r="H18" s="71">
        <v>1005</v>
      </c>
      <c r="I18" s="72" t="s">
        <v>887</v>
      </c>
      <c r="J18" s="34" t="s">
        <v>3324</v>
      </c>
      <c r="K18" s="34" t="s">
        <v>3325</v>
      </c>
      <c r="L18" s="34" t="s">
        <v>3326</v>
      </c>
      <c r="M18" s="34" t="s">
        <v>3327</v>
      </c>
      <c r="N18" s="34" t="s">
        <v>3321</v>
      </c>
      <c r="O18" s="34" t="s">
        <v>3328</v>
      </c>
      <c r="P18" s="34" t="s">
        <v>3329</v>
      </c>
      <c r="Q18" s="53">
        <v>0</v>
      </c>
      <c r="R18" s="34">
        <f t="shared" si="2"/>
        <v>15</v>
      </c>
    </row>
    <row r="19" spans="2:18" ht="33">
      <c r="B19" s="71">
        <f t="shared" si="1"/>
        <v>2005</v>
      </c>
      <c r="C19" s="71">
        <v>1</v>
      </c>
      <c r="D19" s="71"/>
      <c r="E19" s="71"/>
      <c r="F19" s="71"/>
      <c r="G19" s="71">
        <v>1</v>
      </c>
      <c r="H19" s="71">
        <v>2005</v>
      </c>
      <c r="I19" s="72" t="s">
        <v>888</v>
      </c>
      <c r="J19" s="34" t="s">
        <v>3330</v>
      </c>
      <c r="K19" s="34" t="s">
        <v>3331</v>
      </c>
      <c r="L19" s="34" t="s">
        <v>3332</v>
      </c>
      <c r="M19" s="34" t="s">
        <v>3333</v>
      </c>
      <c r="N19" s="34" t="s">
        <v>3334</v>
      </c>
      <c r="O19" s="34" t="s">
        <v>3335</v>
      </c>
      <c r="P19" s="34" t="s">
        <v>3336</v>
      </c>
      <c r="Q19" s="53">
        <v>0</v>
      </c>
      <c r="R19" s="34">
        <f t="shared" si="2"/>
        <v>58</v>
      </c>
    </row>
    <row r="20" spans="2:18">
      <c r="B20" s="14">
        <f t="shared" si="0"/>
        <v>3001</v>
      </c>
      <c r="C20" s="14">
        <v>1</v>
      </c>
      <c r="D20" s="14"/>
      <c r="E20" s="14"/>
      <c r="F20" s="14"/>
      <c r="G20" s="14">
        <v>1</v>
      </c>
      <c r="H20" s="14">
        <v>3001</v>
      </c>
      <c r="I20" s="16" t="s">
        <v>90</v>
      </c>
      <c r="J20" s="14" t="s">
        <v>307</v>
      </c>
      <c r="K20" s="14" t="s">
        <v>304</v>
      </c>
      <c r="L20" s="14" t="s">
        <v>305</v>
      </c>
      <c r="M20" s="14" t="s">
        <v>306</v>
      </c>
      <c r="N20" s="14" t="s">
        <v>590</v>
      </c>
      <c r="O20" s="14" t="s">
        <v>591</v>
      </c>
      <c r="P20" s="14" t="s">
        <v>592</v>
      </c>
      <c r="Q20" s="14">
        <v>0</v>
      </c>
      <c r="R20" s="14">
        <f>IF(LEN(I20)&gt;=10, "Text too Long", LEN(I20))</f>
        <v>9</v>
      </c>
    </row>
    <row r="21" spans="2:18">
      <c r="B21" s="14">
        <f t="shared" si="0"/>
        <v>4001</v>
      </c>
      <c r="C21" s="14">
        <v>1</v>
      </c>
      <c r="D21" s="14"/>
      <c r="E21" s="14"/>
      <c r="F21" s="14"/>
      <c r="G21" s="14">
        <v>1</v>
      </c>
      <c r="H21" s="14">
        <v>4001</v>
      </c>
      <c r="I21" s="16" t="s">
        <v>1196</v>
      </c>
      <c r="J21" s="33" t="s">
        <v>1197</v>
      </c>
      <c r="K21" s="33" t="s">
        <v>1198</v>
      </c>
      <c r="L21" s="33" t="s">
        <v>3337</v>
      </c>
      <c r="M21" s="33" t="s">
        <v>1199</v>
      </c>
      <c r="N21" s="14" t="s">
        <v>1200</v>
      </c>
      <c r="O21" s="14" t="s">
        <v>1201</v>
      </c>
      <c r="P21" s="14" t="s">
        <v>1202</v>
      </c>
      <c r="Q21" s="14">
        <v>0</v>
      </c>
      <c r="R21" s="14">
        <f>IF(LEN(I21)&gt;=20, "Text too Long", LEN(I21))</f>
        <v>16</v>
      </c>
    </row>
    <row r="22" spans="2:18">
      <c r="B22" s="14">
        <f t="shared" si="0"/>
        <v>5001</v>
      </c>
      <c r="C22" s="14">
        <v>1</v>
      </c>
      <c r="D22" s="14"/>
      <c r="E22" s="14"/>
      <c r="F22" s="14"/>
      <c r="G22" s="14">
        <v>1</v>
      </c>
      <c r="H22" s="14">
        <v>5001</v>
      </c>
      <c r="I22" s="16" t="s">
        <v>1203</v>
      </c>
      <c r="J22" s="33" t="s">
        <v>3311</v>
      </c>
      <c r="K22" s="33" t="s">
        <v>1204</v>
      </c>
      <c r="L22" s="33" t="s">
        <v>3338</v>
      </c>
      <c r="M22" s="33" t="s">
        <v>3312</v>
      </c>
      <c r="N22" s="14" t="s">
        <v>1205</v>
      </c>
      <c r="O22" s="14" t="s">
        <v>1206</v>
      </c>
      <c r="P22" s="14" t="s">
        <v>1207</v>
      </c>
      <c r="Q22" s="14">
        <v>0</v>
      </c>
      <c r="R22" s="14">
        <f>IF(LEN(I22)&gt;=333, "Text too Long", LEN(I22))</f>
        <v>75</v>
      </c>
    </row>
    <row r="23" spans="2:18">
      <c r="B23" s="14">
        <f t="shared" si="0"/>
        <v>3003</v>
      </c>
      <c r="C23" s="14">
        <v>1</v>
      </c>
      <c r="D23" s="14"/>
      <c r="E23" s="14"/>
      <c r="F23" s="14"/>
      <c r="G23" s="14">
        <v>1</v>
      </c>
      <c r="H23" s="14">
        <v>3003</v>
      </c>
      <c r="I23" s="16" t="s">
        <v>93</v>
      </c>
      <c r="J23" s="14" t="s">
        <v>311</v>
      </c>
      <c r="K23" s="14" t="s">
        <v>308</v>
      </c>
      <c r="L23" s="14" t="s">
        <v>309</v>
      </c>
      <c r="M23" s="14" t="s">
        <v>310</v>
      </c>
      <c r="N23" s="14" t="s">
        <v>593</v>
      </c>
      <c r="O23" s="14" t="s">
        <v>594</v>
      </c>
      <c r="P23" s="14" t="s">
        <v>595</v>
      </c>
      <c r="Q23" s="14">
        <v>0</v>
      </c>
      <c r="R23" s="14">
        <f>IF(LEN(I23)&gt;=10, "Text too Long", LEN(I23))</f>
        <v>8</v>
      </c>
    </row>
    <row r="24" spans="2:18">
      <c r="B24" s="14">
        <f t="shared" si="0"/>
        <v>4003</v>
      </c>
      <c r="C24" s="14">
        <v>1</v>
      </c>
      <c r="D24" s="14"/>
      <c r="E24" s="14"/>
      <c r="F24" s="14"/>
      <c r="G24" s="14">
        <v>1</v>
      </c>
      <c r="H24" s="14">
        <v>4003</v>
      </c>
      <c r="I24" s="16" t="s">
        <v>91</v>
      </c>
      <c r="J24" s="33" t="s">
        <v>1486</v>
      </c>
      <c r="K24" s="33" t="s">
        <v>1487</v>
      </c>
      <c r="L24" s="33" t="s">
        <v>1488</v>
      </c>
      <c r="M24" s="33" t="s">
        <v>1489</v>
      </c>
      <c r="N24" s="14" t="s">
        <v>1490</v>
      </c>
      <c r="O24" s="14" t="s">
        <v>1491</v>
      </c>
      <c r="P24" s="14" t="s">
        <v>1492</v>
      </c>
      <c r="Q24" s="14">
        <v>0</v>
      </c>
      <c r="R24" s="14">
        <f>IF(LEN(I24)&gt;=20, "Text too Long", LEN(I24))</f>
        <v>17</v>
      </c>
    </row>
    <row r="25" spans="2:18">
      <c r="B25" s="14">
        <f t="shared" si="0"/>
        <v>5003</v>
      </c>
      <c r="C25" s="14">
        <v>1</v>
      </c>
      <c r="D25" s="14"/>
      <c r="E25" s="14"/>
      <c r="F25" s="14"/>
      <c r="G25" s="14">
        <v>1</v>
      </c>
      <c r="H25" s="14">
        <v>5003</v>
      </c>
      <c r="I25" s="16" t="s">
        <v>121</v>
      </c>
      <c r="J25" s="33" t="s">
        <v>1493</v>
      </c>
      <c r="K25" s="33" t="s">
        <v>2217</v>
      </c>
      <c r="L25" s="33" t="s">
        <v>2218</v>
      </c>
      <c r="M25" s="33" t="s">
        <v>1494</v>
      </c>
      <c r="N25" s="14" t="s">
        <v>1495</v>
      </c>
      <c r="O25" s="14" t="s">
        <v>1496</v>
      </c>
      <c r="P25" s="14" t="s">
        <v>1497</v>
      </c>
      <c r="Q25" s="14">
        <v>0</v>
      </c>
      <c r="R25" s="14">
        <f>IF(LEN(I25)&gt;=333, "Text too Long", LEN(I25))</f>
        <v>73</v>
      </c>
    </row>
    <row r="26" spans="2:18">
      <c r="B26" s="14">
        <f t="shared" ref="B26:B28" si="3">H26</f>
        <v>3002</v>
      </c>
      <c r="C26" s="14">
        <v>1</v>
      </c>
      <c r="D26" s="14"/>
      <c r="E26" s="14"/>
      <c r="F26" s="14"/>
      <c r="G26" s="14">
        <v>1</v>
      </c>
      <c r="H26" s="14">
        <v>3002</v>
      </c>
      <c r="I26" s="16" t="s">
        <v>268</v>
      </c>
      <c r="J26" s="33" t="s">
        <v>2923</v>
      </c>
      <c r="K26" s="33" t="s">
        <v>2923</v>
      </c>
      <c r="L26" s="33" t="s">
        <v>2923</v>
      </c>
      <c r="M26" s="33" t="s">
        <v>2923</v>
      </c>
      <c r="N26" s="33" t="s">
        <v>2923</v>
      </c>
      <c r="O26" s="33" t="s">
        <v>2923</v>
      </c>
      <c r="P26" s="33" t="s">
        <v>2923</v>
      </c>
      <c r="Q26" s="14">
        <v>0</v>
      </c>
      <c r="R26" s="14">
        <f>IF(LEN(I26)&gt;=333, "Text too Long", LEN(I26))</f>
        <v>19</v>
      </c>
    </row>
    <row r="27" spans="2:18">
      <c r="B27" s="14">
        <f t="shared" si="3"/>
        <v>4002</v>
      </c>
      <c r="C27" s="14">
        <v>1</v>
      </c>
      <c r="D27" s="14"/>
      <c r="E27" s="14"/>
      <c r="F27" s="14"/>
      <c r="G27" s="14">
        <v>1</v>
      </c>
      <c r="H27" s="14">
        <v>4002</v>
      </c>
      <c r="I27" s="16" t="s">
        <v>268</v>
      </c>
      <c r="J27" s="33" t="s">
        <v>2923</v>
      </c>
      <c r="K27" s="33" t="s">
        <v>2923</v>
      </c>
      <c r="L27" s="33" t="s">
        <v>2923</v>
      </c>
      <c r="M27" s="33" t="s">
        <v>2923</v>
      </c>
      <c r="N27" s="33" t="s">
        <v>2923</v>
      </c>
      <c r="O27" s="33" t="s">
        <v>2923</v>
      </c>
      <c r="P27" s="33" t="s">
        <v>2923</v>
      </c>
      <c r="Q27" s="14">
        <v>0</v>
      </c>
      <c r="R27" s="14">
        <f>IF(LEN(I27)&gt;=333, "Text too Long", LEN(I27))</f>
        <v>19</v>
      </c>
    </row>
    <row r="28" spans="2:18">
      <c r="B28" s="14">
        <f t="shared" si="3"/>
        <v>5002</v>
      </c>
      <c r="C28" s="14">
        <v>1</v>
      </c>
      <c r="D28" s="14"/>
      <c r="E28" s="14"/>
      <c r="F28" s="14"/>
      <c r="G28" s="14">
        <v>1</v>
      </c>
      <c r="H28" s="14">
        <v>5002</v>
      </c>
      <c r="I28" s="16" t="s">
        <v>269</v>
      </c>
      <c r="J28" s="33" t="s">
        <v>2923</v>
      </c>
      <c r="K28" s="33" t="s">
        <v>2923</v>
      </c>
      <c r="L28" s="33" t="s">
        <v>2923</v>
      </c>
      <c r="M28" s="33" t="s">
        <v>2923</v>
      </c>
      <c r="N28" s="33" t="s">
        <v>2923</v>
      </c>
      <c r="O28" s="33" t="s">
        <v>2923</v>
      </c>
      <c r="P28" s="33" t="s">
        <v>2923</v>
      </c>
      <c r="Q28" s="14">
        <v>0</v>
      </c>
      <c r="R28" s="14">
        <f>IF(LEN(I28)&gt;=333, "Text too Long", LEN(I28))</f>
        <v>35</v>
      </c>
    </row>
    <row r="29" spans="2:18">
      <c r="B29" s="14">
        <f t="shared" si="0"/>
        <v>6001</v>
      </c>
      <c r="C29" s="14">
        <v>1</v>
      </c>
      <c r="D29" s="14"/>
      <c r="E29" s="14"/>
      <c r="F29" s="14"/>
      <c r="G29" s="14">
        <v>1</v>
      </c>
      <c r="H29" s="14">
        <v>6001</v>
      </c>
      <c r="I29" s="16" t="s">
        <v>92</v>
      </c>
      <c r="J29" s="14" t="s">
        <v>315</v>
      </c>
      <c r="K29" s="14" t="s">
        <v>312</v>
      </c>
      <c r="L29" s="14" t="s">
        <v>313</v>
      </c>
      <c r="M29" s="14" t="s">
        <v>314</v>
      </c>
      <c r="N29" s="14" t="s">
        <v>596</v>
      </c>
      <c r="O29" s="14" t="s">
        <v>597</v>
      </c>
      <c r="P29" s="14" t="s">
        <v>598</v>
      </c>
      <c r="Q29" s="14">
        <v>0</v>
      </c>
      <c r="R29" s="14">
        <f>IF(LEN(I29)&gt;=10, "Text too Long", LEN(I29))</f>
        <v>8</v>
      </c>
    </row>
    <row r="30" spans="2:18">
      <c r="B30" s="14">
        <f t="shared" si="0"/>
        <v>7001</v>
      </c>
      <c r="C30" s="14">
        <v>1</v>
      </c>
      <c r="D30" s="14"/>
      <c r="E30" s="14"/>
      <c r="F30" s="14"/>
      <c r="G30" s="14">
        <v>1</v>
      </c>
      <c r="H30" s="14">
        <v>7001</v>
      </c>
      <c r="I30" s="16" t="s">
        <v>91</v>
      </c>
      <c r="J30" s="33" t="s">
        <v>1486</v>
      </c>
      <c r="K30" s="33" t="s">
        <v>1487</v>
      </c>
      <c r="L30" s="33" t="s">
        <v>1488</v>
      </c>
      <c r="M30" s="33" t="s">
        <v>1489</v>
      </c>
      <c r="N30" s="14" t="s">
        <v>1490</v>
      </c>
      <c r="O30" s="14" t="s">
        <v>1491</v>
      </c>
      <c r="P30" s="14" t="s">
        <v>1492</v>
      </c>
      <c r="Q30" s="14">
        <v>0</v>
      </c>
      <c r="R30" s="14">
        <f>IF(LEN(I30)&gt;=20, "Text too Long", LEN(I30))</f>
        <v>17</v>
      </c>
    </row>
    <row r="31" spans="2:18">
      <c r="B31" s="14">
        <f t="shared" si="0"/>
        <v>8001</v>
      </c>
      <c r="C31" s="14">
        <v>1</v>
      </c>
      <c r="D31" s="14"/>
      <c r="E31" s="14"/>
      <c r="F31" s="14"/>
      <c r="G31" s="14">
        <v>1</v>
      </c>
      <c r="H31" s="14">
        <v>8001</v>
      </c>
      <c r="I31" s="16" t="s">
        <v>120</v>
      </c>
      <c r="J31" s="33" t="s">
        <v>1498</v>
      </c>
      <c r="K31" s="33" t="s">
        <v>2219</v>
      </c>
      <c r="L31" s="33" t="s">
        <v>2220</v>
      </c>
      <c r="M31" s="33" t="s">
        <v>1499</v>
      </c>
      <c r="N31" s="14" t="s">
        <v>1500</v>
      </c>
      <c r="O31" s="14" t="s">
        <v>1501</v>
      </c>
      <c r="P31" s="14" t="s">
        <v>1502</v>
      </c>
      <c r="Q31" s="14">
        <v>0</v>
      </c>
      <c r="R31" s="14">
        <f>IF(LEN(I31)&gt;=333, "Text too Long", LEN(I31))</f>
        <v>81</v>
      </c>
    </row>
    <row r="32" spans="2:18">
      <c r="B32" s="14">
        <f t="shared" si="0"/>
        <v>6002</v>
      </c>
      <c r="C32" s="14">
        <v>1</v>
      </c>
      <c r="D32" s="14"/>
      <c r="E32" s="14"/>
      <c r="F32" s="14"/>
      <c r="G32" s="14">
        <v>1</v>
      </c>
      <c r="H32" s="14">
        <v>6002</v>
      </c>
      <c r="I32" s="16" t="s">
        <v>72</v>
      </c>
      <c r="J32" s="14" t="s">
        <v>319</v>
      </c>
      <c r="K32" s="14" t="s">
        <v>316</v>
      </c>
      <c r="L32" s="14" t="s">
        <v>317</v>
      </c>
      <c r="M32" s="14" t="s">
        <v>318</v>
      </c>
      <c r="N32" s="14" t="s">
        <v>599</v>
      </c>
      <c r="O32" s="14" t="s">
        <v>600</v>
      </c>
      <c r="P32" s="14" t="s">
        <v>601</v>
      </c>
      <c r="Q32" s="14">
        <v>0</v>
      </c>
      <c r="R32" s="14">
        <f>IF(LEN(I32)&gt;=10, "Text too Long", LEN(I32))</f>
        <v>8</v>
      </c>
    </row>
    <row r="33" spans="2:18">
      <c r="B33" s="14">
        <f t="shared" si="0"/>
        <v>7002</v>
      </c>
      <c r="C33" s="14">
        <v>1</v>
      </c>
      <c r="D33" s="14"/>
      <c r="E33" s="14"/>
      <c r="F33" s="14"/>
      <c r="G33" s="14">
        <v>1</v>
      </c>
      <c r="H33" s="14">
        <v>7002</v>
      </c>
      <c r="I33" s="16" t="s">
        <v>83</v>
      </c>
      <c r="J33" s="33" t="s">
        <v>323</v>
      </c>
      <c r="K33" s="33" t="s">
        <v>320</v>
      </c>
      <c r="L33" s="33" t="s">
        <v>321</v>
      </c>
      <c r="M33" s="33" t="s">
        <v>322</v>
      </c>
      <c r="N33" s="14" t="s">
        <v>602</v>
      </c>
      <c r="O33" s="14" t="s">
        <v>603</v>
      </c>
      <c r="P33" s="14" t="s">
        <v>604</v>
      </c>
      <c r="Q33" s="14">
        <v>0</v>
      </c>
      <c r="R33" s="14">
        <f>IF(LEN(I33)&gt;=20, "Text too Long", LEN(I33))</f>
        <v>11</v>
      </c>
    </row>
    <row r="34" spans="2:18">
      <c r="B34" s="14">
        <f t="shared" si="0"/>
        <v>8002</v>
      </c>
      <c r="C34" s="14">
        <v>1</v>
      </c>
      <c r="D34" s="14"/>
      <c r="E34" s="14"/>
      <c r="F34" s="14"/>
      <c r="G34" s="14">
        <v>1</v>
      </c>
      <c r="H34" s="14">
        <v>8002</v>
      </c>
      <c r="I34" s="16" t="s">
        <v>73</v>
      </c>
      <c r="J34" s="33" t="s">
        <v>1503</v>
      </c>
      <c r="K34" s="33" t="s">
        <v>1504</v>
      </c>
      <c r="L34" s="33" t="s">
        <v>2221</v>
      </c>
      <c r="M34" s="33" t="s">
        <v>1505</v>
      </c>
      <c r="N34" s="14" t="s">
        <v>1506</v>
      </c>
      <c r="O34" s="14" t="s">
        <v>1507</v>
      </c>
      <c r="P34" s="14" t="s">
        <v>1508</v>
      </c>
      <c r="Q34" s="14">
        <v>0</v>
      </c>
      <c r="R34" s="14">
        <f>IF(LEN(I34)&gt;=333, "Text too Long", LEN(I34))</f>
        <v>70</v>
      </c>
    </row>
    <row r="35" spans="2:18" ht="99">
      <c r="B35" s="53">
        <f t="shared" si="0"/>
        <v>6003</v>
      </c>
      <c r="C35" s="53">
        <v>1</v>
      </c>
      <c r="D35" s="88" t="s">
        <v>3731</v>
      </c>
      <c r="E35" s="53"/>
      <c r="F35" s="88" t="s">
        <v>3732</v>
      </c>
      <c r="G35" s="14">
        <v>1</v>
      </c>
      <c r="H35" s="129">
        <v>6003</v>
      </c>
      <c r="I35" s="130" t="s">
        <v>3759</v>
      </c>
      <c r="J35" s="55" t="s">
        <v>3760</v>
      </c>
      <c r="K35" s="55" t="s">
        <v>3761</v>
      </c>
      <c r="L35" s="55" t="s">
        <v>3762</v>
      </c>
      <c r="M35" s="55" t="s">
        <v>3763</v>
      </c>
      <c r="N35" s="55" t="s">
        <v>3764</v>
      </c>
      <c r="O35" s="55" t="s">
        <v>3765</v>
      </c>
      <c r="P35" s="55" t="s">
        <v>3766</v>
      </c>
      <c r="Q35" s="53">
        <v>0</v>
      </c>
      <c r="R35" s="14">
        <f>IF(LEN(I35)&gt;=10, "Text too Long", LEN(I35))</f>
        <v>9</v>
      </c>
    </row>
    <row r="36" spans="2:18" ht="115.5">
      <c r="B36" s="53">
        <f t="shared" si="0"/>
        <v>7003</v>
      </c>
      <c r="C36" s="53">
        <v>1</v>
      </c>
      <c r="D36" s="88" t="s">
        <v>3731</v>
      </c>
      <c r="E36" s="53"/>
      <c r="F36" s="88" t="s">
        <v>3732</v>
      </c>
      <c r="G36" s="14">
        <v>1</v>
      </c>
      <c r="H36" s="129">
        <v>7003</v>
      </c>
      <c r="I36" s="130" t="s">
        <v>3767</v>
      </c>
      <c r="J36" s="55" t="s">
        <v>3768</v>
      </c>
      <c r="K36" s="55" t="s">
        <v>3769</v>
      </c>
      <c r="L36" s="55" t="s">
        <v>3770</v>
      </c>
      <c r="M36" s="55" t="s">
        <v>3771</v>
      </c>
      <c r="N36" s="55" t="s">
        <v>3772</v>
      </c>
      <c r="O36" s="55" t="s">
        <v>3773</v>
      </c>
      <c r="P36" s="55" t="s">
        <v>3774</v>
      </c>
      <c r="Q36" s="53">
        <v>0</v>
      </c>
      <c r="R36" s="14">
        <f>IF(LEN(I36)&gt;=20, "Text too Long", LEN(I36))</f>
        <v>17</v>
      </c>
    </row>
    <row r="37" spans="2:18" ht="396">
      <c r="B37" s="53">
        <f t="shared" si="0"/>
        <v>8003</v>
      </c>
      <c r="C37" s="53">
        <v>1</v>
      </c>
      <c r="D37" s="88" t="s">
        <v>3731</v>
      </c>
      <c r="E37" s="53"/>
      <c r="F37" s="88" t="s">
        <v>3732</v>
      </c>
      <c r="G37" s="14">
        <v>1</v>
      </c>
      <c r="H37" s="129">
        <v>8003</v>
      </c>
      <c r="I37" s="130" t="s">
        <v>3775</v>
      </c>
      <c r="J37" s="55" t="s">
        <v>3776</v>
      </c>
      <c r="K37" s="55" t="s">
        <v>3777</v>
      </c>
      <c r="L37" s="55" t="s">
        <v>3778</v>
      </c>
      <c r="M37" s="55" t="s">
        <v>3779</v>
      </c>
      <c r="N37" s="55" t="s">
        <v>3780</v>
      </c>
      <c r="O37" s="55" t="s">
        <v>3781</v>
      </c>
      <c r="P37" s="55" t="s">
        <v>3782</v>
      </c>
      <c r="Q37" s="53">
        <v>0</v>
      </c>
      <c r="R37" s="14">
        <f t="shared" ref="R37" si="4">IF(LEN(I37)&gt;=333, "Text too Long", LEN(I37))</f>
        <v>86</v>
      </c>
    </row>
    <row r="38" spans="2:18" ht="49.5">
      <c r="B38" s="53">
        <f t="shared" si="0"/>
        <v>6004</v>
      </c>
      <c r="C38" s="53">
        <v>1</v>
      </c>
      <c r="D38" s="88" t="s">
        <v>3731</v>
      </c>
      <c r="E38" s="53"/>
      <c r="F38" s="88" t="s">
        <v>3732</v>
      </c>
      <c r="G38" s="14">
        <v>1</v>
      </c>
      <c r="H38" s="129">
        <v>6004</v>
      </c>
      <c r="I38" s="130" t="s">
        <v>3783</v>
      </c>
      <c r="J38" s="55" t="s">
        <v>3784</v>
      </c>
      <c r="K38" s="55" t="s">
        <v>3785</v>
      </c>
      <c r="L38" s="55" t="s">
        <v>3786</v>
      </c>
      <c r="M38" s="55" t="s">
        <v>3787</v>
      </c>
      <c r="N38" s="55" t="s">
        <v>3788</v>
      </c>
      <c r="O38" s="55" t="s">
        <v>3789</v>
      </c>
      <c r="P38" s="55" t="s">
        <v>3790</v>
      </c>
      <c r="Q38" s="53">
        <v>0</v>
      </c>
      <c r="R38" s="14">
        <f>IF(LEN(I38)&gt;=10, "Text too Long", LEN(I38))</f>
        <v>8</v>
      </c>
    </row>
    <row r="39" spans="2:18" ht="82.5">
      <c r="B39" s="53">
        <f t="shared" si="0"/>
        <v>7004</v>
      </c>
      <c r="C39" s="53">
        <v>1</v>
      </c>
      <c r="D39" s="88" t="s">
        <v>3731</v>
      </c>
      <c r="E39" s="53"/>
      <c r="F39" s="88" t="s">
        <v>3732</v>
      </c>
      <c r="G39" s="14">
        <v>1</v>
      </c>
      <c r="H39" s="129">
        <v>7004</v>
      </c>
      <c r="I39" s="130" t="s">
        <v>3791</v>
      </c>
      <c r="J39" s="55" t="s">
        <v>323</v>
      </c>
      <c r="K39" s="55" t="s">
        <v>320</v>
      </c>
      <c r="L39" s="55" t="s">
        <v>321</v>
      </c>
      <c r="M39" s="55" t="s">
        <v>322</v>
      </c>
      <c r="N39" s="55" t="s">
        <v>602</v>
      </c>
      <c r="O39" s="55" t="s">
        <v>603</v>
      </c>
      <c r="P39" s="55" t="s">
        <v>604</v>
      </c>
      <c r="Q39" s="53">
        <v>0</v>
      </c>
      <c r="R39" s="14">
        <f>IF(LEN(I39)&gt;=20, "Text too Long", LEN(I39))</f>
        <v>11</v>
      </c>
    </row>
    <row r="40" spans="2:18" ht="231">
      <c r="B40" s="53">
        <f t="shared" si="0"/>
        <v>8004</v>
      </c>
      <c r="C40" s="53">
        <v>1</v>
      </c>
      <c r="D40" s="88" t="s">
        <v>3731</v>
      </c>
      <c r="E40" s="53"/>
      <c r="F40" s="88" t="s">
        <v>3732</v>
      </c>
      <c r="G40" s="14">
        <v>1</v>
      </c>
      <c r="H40" s="129">
        <v>8004</v>
      </c>
      <c r="I40" s="130" t="s">
        <v>3792</v>
      </c>
      <c r="J40" s="55" t="s">
        <v>3793</v>
      </c>
      <c r="K40" s="55" t="s">
        <v>3794</v>
      </c>
      <c r="L40" s="55" t="s">
        <v>3795</v>
      </c>
      <c r="M40" s="55" t="s">
        <v>3796</v>
      </c>
      <c r="N40" s="55" t="s">
        <v>3797</v>
      </c>
      <c r="O40" s="55" t="s">
        <v>3798</v>
      </c>
      <c r="P40" s="55" t="s">
        <v>3799</v>
      </c>
      <c r="Q40" s="53">
        <v>0</v>
      </c>
      <c r="R40" s="14">
        <f t="shared" ref="R40" si="5">IF(LEN(I40)&gt;=333, "Text too Long", LEN(I40))</f>
        <v>67</v>
      </c>
    </row>
    <row r="41" spans="2:18" ht="49.5">
      <c r="B41" s="53">
        <f t="shared" si="0"/>
        <v>6005</v>
      </c>
      <c r="C41" s="53">
        <v>1</v>
      </c>
      <c r="D41" s="88" t="s">
        <v>3731</v>
      </c>
      <c r="E41" s="53"/>
      <c r="F41" s="88" t="s">
        <v>3732</v>
      </c>
      <c r="G41" s="14">
        <v>1</v>
      </c>
      <c r="H41" s="129">
        <v>6005</v>
      </c>
      <c r="I41" s="130" t="s">
        <v>3733</v>
      </c>
      <c r="J41" s="55" t="s">
        <v>3800</v>
      </c>
      <c r="K41" s="55" t="s">
        <v>3801</v>
      </c>
      <c r="L41" s="55" t="s">
        <v>3802</v>
      </c>
      <c r="M41" s="55" t="s">
        <v>3803</v>
      </c>
      <c r="N41" s="55" t="s">
        <v>3804</v>
      </c>
      <c r="O41" s="55" t="s">
        <v>3805</v>
      </c>
      <c r="P41" s="55" t="s">
        <v>3806</v>
      </c>
      <c r="Q41" s="53">
        <v>0</v>
      </c>
      <c r="R41" s="14">
        <f>IF(LEN(I41)&gt;=10, "Text too Long", LEN(I41))</f>
        <v>9</v>
      </c>
    </row>
    <row r="42" spans="2:18" ht="82.5">
      <c r="B42" s="53">
        <f t="shared" si="0"/>
        <v>7005</v>
      </c>
      <c r="C42" s="53">
        <v>1</v>
      </c>
      <c r="D42" s="88" t="s">
        <v>3731</v>
      </c>
      <c r="E42" s="53"/>
      <c r="F42" s="88" t="s">
        <v>3732</v>
      </c>
      <c r="G42" s="14">
        <v>1</v>
      </c>
      <c r="H42" s="129">
        <v>7005</v>
      </c>
      <c r="I42" s="130" t="s">
        <v>3734</v>
      </c>
      <c r="J42" s="55" t="s">
        <v>3807</v>
      </c>
      <c r="K42" s="55" t="s">
        <v>3808</v>
      </c>
      <c r="L42" s="55" t="s">
        <v>3809</v>
      </c>
      <c r="M42" s="55" t="s">
        <v>3810</v>
      </c>
      <c r="N42" s="55" t="s">
        <v>3811</v>
      </c>
      <c r="O42" s="55" t="s">
        <v>3812</v>
      </c>
      <c r="P42" s="55" t="s">
        <v>3813</v>
      </c>
      <c r="Q42" s="53">
        <v>0</v>
      </c>
      <c r="R42" s="14">
        <f>IF(LEN(I42)&gt;=20, "Text too Long", LEN(I42))</f>
        <v>15</v>
      </c>
    </row>
    <row r="43" spans="2:18" ht="247.5">
      <c r="B43" s="53">
        <f t="shared" si="0"/>
        <v>8005</v>
      </c>
      <c r="C43" s="53">
        <v>1</v>
      </c>
      <c r="D43" s="88" t="s">
        <v>3731</v>
      </c>
      <c r="E43" s="53"/>
      <c r="F43" s="88" t="s">
        <v>3732</v>
      </c>
      <c r="G43" s="14">
        <v>1</v>
      </c>
      <c r="H43" s="129">
        <v>8005</v>
      </c>
      <c r="I43" s="130" t="s">
        <v>3735</v>
      </c>
      <c r="J43" s="55" t="s">
        <v>3814</v>
      </c>
      <c r="K43" s="55" t="s">
        <v>3815</v>
      </c>
      <c r="L43" s="55" t="s">
        <v>3816</v>
      </c>
      <c r="M43" s="55" t="s">
        <v>3817</v>
      </c>
      <c r="N43" s="55" t="s">
        <v>3818</v>
      </c>
      <c r="O43" s="55" t="s">
        <v>3819</v>
      </c>
      <c r="P43" s="55" t="s">
        <v>3820</v>
      </c>
      <c r="Q43" s="53">
        <v>0</v>
      </c>
      <c r="R43" s="14">
        <f t="shared" ref="R43" si="6">IF(LEN(I43)&gt;=333, "Text too Long", LEN(I43))</f>
        <v>77</v>
      </c>
    </row>
    <row r="44" spans="2:18">
      <c r="B44" s="14">
        <f t="shared" si="0"/>
        <v>9001</v>
      </c>
      <c r="C44" s="14">
        <v>1</v>
      </c>
      <c r="D44" s="14"/>
      <c r="E44" s="14"/>
      <c r="F44" s="14"/>
      <c r="G44" s="14">
        <v>1</v>
      </c>
      <c r="H44" s="14">
        <v>9001</v>
      </c>
      <c r="I44" s="16" t="s">
        <v>148</v>
      </c>
      <c r="J44" s="33" t="s">
        <v>327</v>
      </c>
      <c r="K44" s="33" t="s">
        <v>324</v>
      </c>
      <c r="L44" s="33" t="s">
        <v>325</v>
      </c>
      <c r="M44" s="33" t="s">
        <v>326</v>
      </c>
      <c r="N44" s="14" t="s">
        <v>605</v>
      </c>
      <c r="O44" s="14" t="s">
        <v>606</v>
      </c>
      <c r="P44" s="14" t="s">
        <v>607</v>
      </c>
      <c r="Q44" s="14">
        <v>0</v>
      </c>
      <c r="R44" s="14">
        <f>IF(LEN(I44)&gt;=10, "Text too Long", LEN(I44))</f>
        <v>8</v>
      </c>
    </row>
    <row r="45" spans="2:18">
      <c r="B45" s="14">
        <f t="shared" si="0"/>
        <v>10001</v>
      </c>
      <c r="C45" s="14">
        <v>1</v>
      </c>
      <c r="D45" s="14"/>
      <c r="E45" s="14"/>
      <c r="F45" s="14"/>
      <c r="G45" s="14">
        <v>1</v>
      </c>
      <c r="H45" s="14">
        <v>10001</v>
      </c>
      <c r="I45" s="16" t="s">
        <v>53</v>
      </c>
      <c r="J45" s="33" t="s">
        <v>331</v>
      </c>
      <c r="K45" s="33" t="s">
        <v>328</v>
      </c>
      <c r="L45" s="33" t="s">
        <v>329</v>
      </c>
      <c r="M45" s="33" t="s">
        <v>330</v>
      </c>
      <c r="N45" s="14" t="s">
        <v>608</v>
      </c>
      <c r="O45" s="14" t="s">
        <v>609</v>
      </c>
      <c r="P45" s="14" t="s">
        <v>610</v>
      </c>
      <c r="Q45" s="14">
        <v>0</v>
      </c>
      <c r="R45" s="14">
        <f>IF(LEN(I45)&gt;=20, "Text too Long", LEN(I45))</f>
        <v>16</v>
      </c>
    </row>
    <row r="46" spans="2:18">
      <c r="B46" s="14">
        <f t="shared" si="0"/>
        <v>11001</v>
      </c>
      <c r="C46" s="14">
        <v>1</v>
      </c>
      <c r="D46" s="14"/>
      <c r="E46" s="14"/>
      <c r="F46" s="14"/>
      <c r="G46" s="14">
        <v>1</v>
      </c>
      <c r="H46" s="14">
        <v>11001</v>
      </c>
      <c r="I46" s="16" t="s">
        <v>118</v>
      </c>
      <c r="J46" s="33" t="s">
        <v>334</v>
      </c>
      <c r="K46" s="33" t="s">
        <v>332</v>
      </c>
      <c r="L46" s="33" t="s">
        <v>333</v>
      </c>
      <c r="M46" s="33" t="s">
        <v>798</v>
      </c>
      <c r="N46" s="14" t="s">
        <v>611</v>
      </c>
      <c r="O46" s="14" t="s">
        <v>612</v>
      </c>
      <c r="P46" s="14" t="s">
        <v>613</v>
      </c>
      <c r="Q46" s="14">
        <v>0</v>
      </c>
      <c r="R46" s="14">
        <f>IF(LEN(I46)&gt;=333, "Text too Long", LEN(I46))</f>
        <v>93</v>
      </c>
    </row>
    <row r="47" spans="2:18">
      <c r="B47" s="14">
        <f t="shared" si="0"/>
        <v>9002</v>
      </c>
      <c r="C47" s="14">
        <v>1</v>
      </c>
      <c r="D47" s="14"/>
      <c r="E47" s="14"/>
      <c r="F47" s="14"/>
      <c r="G47" s="14">
        <v>1</v>
      </c>
      <c r="H47" s="14">
        <v>9002</v>
      </c>
      <c r="I47" s="16" t="s">
        <v>147</v>
      </c>
      <c r="J47" s="33" t="s">
        <v>338</v>
      </c>
      <c r="K47" s="33" t="s">
        <v>335</v>
      </c>
      <c r="L47" s="33" t="s">
        <v>336</v>
      </c>
      <c r="M47" s="33" t="s">
        <v>337</v>
      </c>
      <c r="N47" s="14" t="s">
        <v>614</v>
      </c>
      <c r="O47" s="14" t="s">
        <v>615</v>
      </c>
      <c r="P47" s="14" t="s">
        <v>616</v>
      </c>
      <c r="Q47" s="14">
        <v>0</v>
      </c>
      <c r="R47" s="14">
        <f>IF(LEN(I47)&gt;=10, "Text too Long", LEN(I47))</f>
        <v>8</v>
      </c>
    </row>
    <row r="48" spans="2:18">
      <c r="B48" s="14">
        <f t="shared" si="0"/>
        <v>10002</v>
      </c>
      <c r="C48" s="14">
        <v>1</v>
      </c>
      <c r="D48" s="14"/>
      <c r="E48" s="14"/>
      <c r="F48" s="14"/>
      <c r="G48" s="14">
        <v>1</v>
      </c>
      <c r="H48" s="14">
        <v>10002</v>
      </c>
      <c r="I48" s="16" t="s">
        <v>54</v>
      </c>
      <c r="J48" s="33" t="s">
        <v>342</v>
      </c>
      <c r="K48" s="33" t="s">
        <v>339</v>
      </c>
      <c r="L48" s="33" t="s">
        <v>340</v>
      </c>
      <c r="M48" s="33" t="s">
        <v>341</v>
      </c>
      <c r="N48" s="14" t="s">
        <v>617</v>
      </c>
      <c r="O48" s="14" t="s">
        <v>3879</v>
      </c>
      <c r="P48" s="14" t="s">
        <v>3880</v>
      </c>
      <c r="Q48" s="14">
        <v>0</v>
      </c>
      <c r="R48" s="14">
        <f>IF(LEN(I48)&gt;=20, "Text too Long", LEN(I48))</f>
        <v>19</v>
      </c>
    </row>
    <row r="49" spans="2:18">
      <c r="B49" s="14">
        <f t="shared" si="0"/>
        <v>11002</v>
      </c>
      <c r="C49" s="14">
        <v>1</v>
      </c>
      <c r="D49" s="14"/>
      <c r="E49" s="14"/>
      <c r="F49" s="14"/>
      <c r="G49" s="14">
        <v>1</v>
      </c>
      <c r="H49" s="14">
        <v>11002</v>
      </c>
      <c r="I49" s="16" t="s">
        <v>119</v>
      </c>
      <c r="J49" s="33" t="s">
        <v>2222</v>
      </c>
      <c r="K49" s="33" t="s">
        <v>2223</v>
      </c>
      <c r="L49" s="33" t="s">
        <v>2224</v>
      </c>
      <c r="M49" s="33" t="s">
        <v>2225</v>
      </c>
      <c r="N49" s="14" t="s">
        <v>2226</v>
      </c>
      <c r="O49" s="14" t="s">
        <v>2227</v>
      </c>
      <c r="P49" s="14" t="s">
        <v>2228</v>
      </c>
      <c r="Q49" s="14">
        <v>0</v>
      </c>
      <c r="R49" s="14">
        <f>IF(LEN(I49)&gt;=333, "Text too Long", LEN(I49))</f>
        <v>109</v>
      </c>
    </row>
    <row r="50" spans="2:18">
      <c r="B50" s="14">
        <f t="shared" si="0"/>
        <v>9003</v>
      </c>
      <c r="C50" s="14">
        <v>1</v>
      </c>
      <c r="D50" s="14"/>
      <c r="E50" s="14"/>
      <c r="F50" s="14"/>
      <c r="G50" s="14">
        <v>1</v>
      </c>
      <c r="H50" s="14">
        <v>9003</v>
      </c>
      <c r="I50" s="16" t="s">
        <v>146</v>
      </c>
      <c r="J50" s="33" t="s">
        <v>1154</v>
      </c>
      <c r="K50" s="33" t="s">
        <v>1155</v>
      </c>
      <c r="L50" s="33" t="s">
        <v>1156</v>
      </c>
      <c r="M50" s="33" t="s">
        <v>1157</v>
      </c>
      <c r="N50" s="14" t="s">
        <v>1158</v>
      </c>
      <c r="O50" s="14" t="s">
        <v>1159</v>
      </c>
      <c r="P50" s="14" t="s">
        <v>1160</v>
      </c>
      <c r="Q50" s="14">
        <v>0</v>
      </c>
      <c r="R50" s="14">
        <f>IF(LEN(I50)&gt;=10, "Text too Long", LEN(I50))</f>
        <v>8</v>
      </c>
    </row>
    <row r="51" spans="2:18">
      <c r="B51" s="14">
        <f t="shared" si="0"/>
        <v>10003</v>
      </c>
      <c r="C51" s="14">
        <v>1</v>
      </c>
      <c r="D51" s="14"/>
      <c r="E51" s="14"/>
      <c r="F51" s="14"/>
      <c r="G51" s="14">
        <v>1</v>
      </c>
      <c r="H51" s="14">
        <v>10003</v>
      </c>
      <c r="I51" s="16" t="s">
        <v>2922</v>
      </c>
      <c r="J51" s="33" t="s">
        <v>2923</v>
      </c>
      <c r="K51" s="33" t="s">
        <v>2923</v>
      </c>
      <c r="L51" s="33" t="s">
        <v>2923</v>
      </c>
      <c r="M51" s="33" t="s">
        <v>2923</v>
      </c>
      <c r="N51" s="14" t="s">
        <v>2923</v>
      </c>
      <c r="O51" s="14" t="s">
        <v>2923</v>
      </c>
      <c r="P51" s="14" t="s">
        <v>2923</v>
      </c>
      <c r="Q51" s="14">
        <v>0</v>
      </c>
      <c r="R51" s="14">
        <f>IF(LEN(I51)&gt;=20, "Text too Long", LEN(I51))</f>
        <v>16</v>
      </c>
    </row>
    <row r="52" spans="2:18">
      <c r="B52" s="14">
        <f t="shared" si="0"/>
        <v>11003</v>
      </c>
      <c r="C52" s="14">
        <v>1</v>
      </c>
      <c r="D52" s="14"/>
      <c r="E52" s="14"/>
      <c r="F52" s="14"/>
      <c r="G52" s="14">
        <v>1</v>
      </c>
      <c r="H52" s="14">
        <v>11003</v>
      </c>
      <c r="I52" s="16" t="s">
        <v>55</v>
      </c>
      <c r="J52" s="33" t="s">
        <v>2923</v>
      </c>
      <c r="K52" s="33" t="s">
        <v>2923</v>
      </c>
      <c r="L52" s="33" t="s">
        <v>2923</v>
      </c>
      <c r="M52" s="33" t="s">
        <v>2923</v>
      </c>
      <c r="N52" s="14" t="s">
        <v>2923</v>
      </c>
      <c r="O52" s="14" t="s">
        <v>2923</v>
      </c>
      <c r="P52" s="14" t="s">
        <v>2923</v>
      </c>
      <c r="Q52" s="14">
        <v>0</v>
      </c>
      <c r="R52" s="14">
        <f>IF(LEN(I52)&gt;=333, "Text too Long", LEN(I52))</f>
        <v>27</v>
      </c>
    </row>
    <row r="53" spans="2:18">
      <c r="B53" s="14">
        <f t="shared" si="0"/>
        <v>9004</v>
      </c>
      <c r="C53" s="14">
        <v>1</v>
      </c>
      <c r="D53" s="14"/>
      <c r="E53" s="14"/>
      <c r="F53" s="14"/>
      <c r="G53" s="14">
        <v>1</v>
      </c>
      <c r="H53" s="14">
        <v>9004</v>
      </c>
      <c r="I53" s="16" t="s">
        <v>145</v>
      </c>
      <c r="J53" s="33" t="s">
        <v>346</v>
      </c>
      <c r="K53" s="33" t="s">
        <v>343</v>
      </c>
      <c r="L53" s="33" t="s">
        <v>344</v>
      </c>
      <c r="M53" s="33" t="s">
        <v>345</v>
      </c>
      <c r="N53" s="14" t="s">
        <v>618</v>
      </c>
      <c r="O53" s="14" t="s">
        <v>619</v>
      </c>
      <c r="P53" s="14" t="s">
        <v>620</v>
      </c>
      <c r="Q53" s="14">
        <v>0</v>
      </c>
      <c r="R53" s="14">
        <f>IF(LEN(I53)&gt;=10, "Text too Long", LEN(I53))</f>
        <v>9</v>
      </c>
    </row>
    <row r="54" spans="2:18">
      <c r="B54" s="14">
        <f t="shared" si="0"/>
        <v>10004</v>
      </c>
      <c r="C54" s="14">
        <v>1</v>
      </c>
      <c r="D54" s="14"/>
      <c r="E54" s="14"/>
      <c r="F54" s="14"/>
      <c r="G54" s="14">
        <v>1</v>
      </c>
      <c r="H54" s="14">
        <v>10004</v>
      </c>
      <c r="I54" s="16" t="s">
        <v>56</v>
      </c>
      <c r="J54" s="33" t="s">
        <v>350</v>
      </c>
      <c r="K54" s="33" t="s">
        <v>347</v>
      </c>
      <c r="L54" s="33" t="s">
        <v>348</v>
      </c>
      <c r="M54" s="33" t="s">
        <v>349</v>
      </c>
      <c r="N54" s="14" t="s">
        <v>621</v>
      </c>
      <c r="O54" s="14" t="s">
        <v>622</v>
      </c>
      <c r="P54" s="14" t="s">
        <v>623</v>
      </c>
      <c r="Q54" s="14">
        <v>0</v>
      </c>
      <c r="R54" s="14">
        <f>IF(LEN(I54)&gt;=20, "Text too Long", LEN(I54))</f>
        <v>13</v>
      </c>
    </row>
    <row r="55" spans="2:18">
      <c r="B55" s="14">
        <f t="shared" si="0"/>
        <v>11004</v>
      </c>
      <c r="C55" s="14">
        <v>1</v>
      </c>
      <c r="D55" s="14"/>
      <c r="E55" s="14"/>
      <c r="F55" s="14"/>
      <c r="G55" s="14">
        <v>1</v>
      </c>
      <c r="H55" s="14">
        <v>11004</v>
      </c>
      <c r="I55" s="16" t="s">
        <v>117</v>
      </c>
      <c r="J55" s="33" t="s">
        <v>353</v>
      </c>
      <c r="K55" s="33" t="s">
        <v>351</v>
      </c>
      <c r="L55" s="33" t="s">
        <v>352</v>
      </c>
      <c r="M55" s="33" t="s">
        <v>799</v>
      </c>
      <c r="N55" s="14" t="s">
        <v>624</v>
      </c>
      <c r="O55" s="14" t="s">
        <v>625</v>
      </c>
      <c r="P55" s="14" t="s">
        <v>626</v>
      </c>
      <c r="Q55" s="14">
        <v>0</v>
      </c>
      <c r="R55" s="14">
        <f>IF(LEN(I55)&gt;=333, "Text too Long", LEN(I55))</f>
        <v>69</v>
      </c>
    </row>
    <row r="56" spans="2:18">
      <c r="B56" s="14">
        <f t="shared" si="0"/>
        <v>12001</v>
      </c>
      <c r="C56" s="14">
        <v>1</v>
      </c>
      <c r="D56" s="14"/>
      <c r="E56" s="14"/>
      <c r="F56" s="14"/>
      <c r="G56" s="14">
        <v>1</v>
      </c>
      <c r="H56" s="14">
        <v>12001</v>
      </c>
      <c r="I56" s="16" t="s">
        <v>1509</v>
      </c>
      <c r="J56" s="33" t="s">
        <v>1510</v>
      </c>
      <c r="K56" s="33" t="s">
        <v>1511</v>
      </c>
      <c r="L56" s="33" t="s">
        <v>1512</v>
      </c>
      <c r="M56" s="33" t="s">
        <v>1513</v>
      </c>
      <c r="N56" s="14" t="s">
        <v>1514</v>
      </c>
      <c r="O56" s="14" t="s">
        <v>1515</v>
      </c>
      <c r="P56" s="14" t="s">
        <v>2229</v>
      </c>
      <c r="Q56" s="14">
        <v>0</v>
      </c>
      <c r="R56" s="14">
        <f>IF(LEN(I56)&gt;=10, "Text too Long", LEN(I56))</f>
        <v>9</v>
      </c>
    </row>
    <row r="57" spans="2:18">
      <c r="B57" s="14">
        <f t="shared" si="0"/>
        <v>13001</v>
      </c>
      <c r="C57" s="14">
        <v>1</v>
      </c>
      <c r="D57" s="14"/>
      <c r="E57" s="14"/>
      <c r="F57" s="14"/>
      <c r="G57" s="14">
        <v>1</v>
      </c>
      <c r="H57" s="14">
        <v>13001</v>
      </c>
      <c r="I57" s="16" t="s">
        <v>57</v>
      </c>
      <c r="J57" s="33" t="s">
        <v>1516</v>
      </c>
      <c r="K57" s="33" t="s">
        <v>1517</v>
      </c>
      <c r="L57" s="33" t="s">
        <v>1518</v>
      </c>
      <c r="M57" s="33" t="s">
        <v>1519</v>
      </c>
      <c r="N57" s="14" t="s">
        <v>1520</v>
      </c>
      <c r="O57" s="14" t="s">
        <v>1521</v>
      </c>
      <c r="P57" s="14" t="s">
        <v>2230</v>
      </c>
      <c r="Q57" s="14">
        <v>0</v>
      </c>
      <c r="R57" s="14">
        <f>IF(LEN(I57)&gt;=20, "Text too Long", LEN(I57))</f>
        <v>15</v>
      </c>
    </row>
    <row r="58" spans="2:18">
      <c r="B58" s="14">
        <f t="shared" si="0"/>
        <v>14001</v>
      </c>
      <c r="C58" s="14">
        <v>1</v>
      </c>
      <c r="D58" s="14"/>
      <c r="E58" s="14"/>
      <c r="F58" s="14"/>
      <c r="G58" s="14">
        <v>1</v>
      </c>
      <c r="H58" s="14">
        <v>14001</v>
      </c>
      <c r="I58" s="16" t="s">
        <v>116</v>
      </c>
      <c r="J58" s="33" t="s">
        <v>1522</v>
      </c>
      <c r="K58" s="33" t="s">
        <v>2231</v>
      </c>
      <c r="L58" s="33" t="s">
        <v>1523</v>
      </c>
      <c r="M58" s="33" t="s">
        <v>1524</v>
      </c>
      <c r="N58" s="14" t="s">
        <v>2232</v>
      </c>
      <c r="O58" s="14" t="s">
        <v>1525</v>
      </c>
      <c r="P58" s="14" t="s">
        <v>2233</v>
      </c>
      <c r="Q58" s="14">
        <v>0</v>
      </c>
      <c r="R58" s="14">
        <f>IF(LEN(I58)&gt;=333, "Text too Long", LEN(I58))</f>
        <v>50</v>
      </c>
    </row>
    <row r="59" spans="2:18">
      <c r="B59" s="14">
        <f t="shared" si="0"/>
        <v>12002</v>
      </c>
      <c r="C59" s="14">
        <v>1</v>
      </c>
      <c r="D59" s="14"/>
      <c r="E59" s="14"/>
      <c r="F59" s="14"/>
      <c r="G59" s="14">
        <v>1</v>
      </c>
      <c r="H59" s="14">
        <v>12002</v>
      </c>
      <c r="I59" s="16" t="s">
        <v>1509</v>
      </c>
      <c r="J59" s="33" t="s">
        <v>1510</v>
      </c>
      <c r="K59" s="33" t="s">
        <v>1511</v>
      </c>
      <c r="L59" s="33" t="s">
        <v>1512</v>
      </c>
      <c r="M59" s="33" t="s">
        <v>1513</v>
      </c>
      <c r="N59" s="14" t="s">
        <v>1514</v>
      </c>
      <c r="O59" s="14" t="s">
        <v>1515</v>
      </c>
      <c r="P59" s="14" t="s">
        <v>2229</v>
      </c>
      <c r="Q59" s="14">
        <v>0</v>
      </c>
      <c r="R59" s="14">
        <f>IF(LEN(I59)&gt;=10, "Text too Long", LEN(I59))</f>
        <v>9</v>
      </c>
    </row>
    <row r="60" spans="2:18">
      <c r="B60" s="14">
        <f t="shared" si="0"/>
        <v>13002</v>
      </c>
      <c r="C60" s="14">
        <v>1</v>
      </c>
      <c r="D60" s="14"/>
      <c r="E60" s="14"/>
      <c r="F60" s="14"/>
      <c r="G60" s="14">
        <v>1</v>
      </c>
      <c r="H60" s="14">
        <v>13002</v>
      </c>
      <c r="I60" s="16" t="s">
        <v>57</v>
      </c>
      <c r="J60" s="33" t="s">
        <v>1516</v>
      </c>
      <c r="K60" s="33" t="s">
        <v>1517</v>
      </c>
      <c r="L60" s="33" t="s">
        <v>1518</v>
      </c>
      <c r="M60" s="33" t="s">
        <v>1519</v>
      </c>
      <c r="N60" s="14" t="s">
        <v>1520</v>
      </c>
      <c r="O60" s="14" t="s">
        <v>1521</v>
      </c>
      <c r="P60" s="14" t="s">
        <v>2230</v>
      </c>
      <c r="Q60" s="14">
        <v>0</v>
      </c>
      <c r="R60" s="14">
        <f>IF(LEN(I60)&gt;=20, "Text too Long", LEN(I60))</f>
        <v>15</v>
      </c>
    </row>
    <row r="61" spans="2:18">
      <c r="B61" s="14">
        <f t="shared" si="0"/>
        <v>14002</v>
      </c>
      <c r="C61" s="14">
        <v>1</v>
      </c>
      <c r="D61" s="14"/>
      <c r="E61" s="14"/>
      <c r="F61" s="14"/>
      <c r="G61" s="14">
        <v>1</v>
      </c>
      <c r="H61" s="14">
        <v>14002</v>
      </c>
      <c r="I61" s="16" t="s">
        <v>115</v>
      </c>
      <c r="J61" s="33" t="s">
        <v>1526</v>
      </c>
      <c r="K61" s="33" t="s">
        <v>2234</v>
      </c>
      <c r="L61" s="33" t="s">
        <v>1527</v>
      </c>
      <c r="M61" s="33" t="s">
        <v>1528</v>
      </c>
      <c r="N61" s="14" t="s">
        <v>2235</v>
      </c>
      <c r="O61" s="14" t="s">
        <v>1529</v>
      </c>
      <c r="P61" s="14" t="s">
        <v>2236</v>
      </c>
      <c r="Q61" s="14">
        <v>0</v>
      </c>
      <c r="R61" s="14">
        <f>IF(LEN(I61)&gt;=333, "Text too Long", LEN(I61))</f>
        <v>50</v>
      </c>
    </row>
    <row r="62" spans="2:18">
      <c r="B62" s="14">
        <f t="shared" si="0"/>
        <v>12003</v>
      </c>
      <c r="C62" s="14">
        <v>1</v>
      </c>
      <c r="D62" s="14"/>
      <c r="E62" s="14"/>
      <c r="F62" s="14"/>
      <c r="G62" s="14">
        <v>1</v>
      </c>
      <c r="H62" s="14">
        <v>12003</v>
      </c>
      <c r="I62" s="16" t="s">
        <v>1509</v>
      </c>
      <c r="J62" s="33" t="s">
        <v>1510</v>
      </c>
      <c r="K62" s="33" t="s">
        <v>1511</v>
      </c>
      <c r="L62" s="33" t="s">
        <v>1512</v>
      </c>
      <c r="M62" s="33" t="s">
        <v>1513</v>
      </c>
      <c r="N62" s="14" t="s">
        <v>1514</v>
      </c>
      <c r="O62" s="14" t="s">
        <v>1515</v>
      </c>
      <c r="P62" s="14" t="s">
        <v>2229</v>
      </c>
      <c r="Q62" s="14">
        <v>0</v>
      </c>
      <c r="R62" s="14">
        <f>IF(LEN(I62)&gt;=10, "Text too Long", LEN(I62))</f>
        <v>9</v>
      </c>
    </row>
    <row r="63" spans="2:18">
      <c r="B63" s="14">
        <f t="shared" si="0"/>
        <v>13003</v>
      </c>
      <c r="C63" s="14">
        <v>1</v>
      </c>
      <c r="D63" s="14"/>
      <c r="E63" s="14"/>
      <c r="F63" s="14"/>
      <c r="G63" s="14">
        <v>1</v>
      </c>
      <c r="H63" s="14">
        <v>13003</v>
      </c>
      <c r="I63" s="16" t="s">
        <v>57</v>
      </c>
      <c r="J63" s="33" t="s">
        <v>1516</v>
      </c>
      <c r="K63" s="33" t="s">
        <v>1517</v>
      </c>
      <c r="L63" s="33" t="s">
        <v>1518</v>
      </c>
      <c r="M63" s="33" t="s">
        <v>1519</v>
      </c>
      <c r="N63" s="14" t="s">
        <v>1520</v>
      </c>
      <c r="O63" s="14" t="s">
        <v>1521</v>
      </c>
      <c r="P63" s="14" t="s">
        <v>2230</v>
      </c>
      <c r="Q63" s="14">
        <v>0</v>
      </c>
      <c r="R63" s="14">
        <f>IF(LEN(I63)&gt;=20, "Text too Long", LEN(I63))</f>
        <v>15</v>
      </c>
    </row>
    <row r="64" spans="2:18">
      <c r="B64" s="14">
        <f t="shared" si="0"/>
        <v>14003</v>
      </c>
      <c r="C64" s="14">
        <v>1</v>
      </c>
      <c r="D64" s="14"/>
      <c r="E64" s="14"/>
      <c r="F64" s="14"/>
      <c r="G64" s="14">
        <v>1</v>
      </c>
      <c r="H64" s="14">
        <v>14003</v>
      </c>
      <c r="I64" s="16" t="s">
        <v>114</v>
      </c>
      <c r="J64" s="33" t="s">
        <v>1530</v>
      </c>
      <c r="K64" s="33" t="s">
        <v>2237</v>
      </c>
      <c r="L64" s="33" t="s">
        <v>1531</v>
      </c>
      <c r="M64" s="33" t="s">
        <v>1532</v>
      </c>
      <c r="N64" s="14" t="s">
        <v>2238</v>
      </c>
      <c r="O64" s="14" t="s">
        <v>1533</v>
      </c>
      <c r="P64" s="14" t="s">
        <v>2239</v>
      </c>
      <c r="Q64" s="14">
        <v>0</v>
      </c>
      <c r="R64" s="14">
        <f>IF(LEN(I64)&gt;=333, "Text too Long", LEN(I64))</f>
        <v>50</v>
      </c>
    </row>
    <row r="65" spans="2:18">
      <c r="B65" s="14">
        <f t="shared" si="0"/>
        <v>12004</v>
      </c>
      <c r="C65" s="14">
        <v>1</v>
      </c>
      <c r="D65" s="14"/>
      <c r="E65" s="14"/>
      <c r="F65" s="14"/>
      <c r="G65" s="14">
        <v>1</v>
      </c>
      <c r="H65" s="14">
        <v>12004</v>
      </c>
      <c r="I65" s="16" t="s">
        <v>1509</v>
      </c>
      <c r="J65" s="33" t="s">
        <v>1510</v>
      </c>
      <c r="K65" s="33" t="s">
        <v>1511</v>
      </c>
      <c r="L65" s="33" t="s">
        <v>1512</v>
      </c>
      <c r="M65" s="33" t="s">
        <v>1513</v>
      </c>
      <c r="N65" s="14" t="s">
        <v>1514</v>
      </c>
      <c r="O65" s="14" t="s">
        <v>1515</v>
      </c>
      <c r="P65" s="14" t="s">
        <v>2229</v>
      </c>
      <c r="Q65" s="14">
        <v>0</v>
      </c>
      <c r="R65" s="14">
        <f>IF(LEN(I65)&gt;=10, "Text too Long", LEN(I65))</f>
        <v>9</v>
      </c>
    </row>
    <row r="66" spans="2:18">
      <c r="B66" s="14">
        <f t="shared" si="0"/>
        <v>13004</v>
      </c>
      <c r="C66" s="14">
        <v>1</v>
      </c>
      <c r="D66" s="14"/>
      <c r="E66" s="14"/>
      <c r="F66" s="14"/>
      <c r="G66" s="14">
        <v>1</v>
      </c>
      <c r="H66" s="14">
        <v>13004</v>
      </c>
      <c r="I66" s="16" t="s">
        <v>57</v>
      </c>
      <c r="J66" s="33" t="s">
        <v>1516</v>
      </c>
      <c r="K66" s="33" t="s">
        <v>1517</v>
      </c>
      <c r="L66" s="33" t="s">
        <v>1518</v>
      </c>
      <c r="M66" s="33" t="s">
        <v>1519</v>
      </c>
      <c r="N66" s="14" t="s">
        <v>1520</v>
      </c>
      <c r="O66" s="14" t="s">
        <v>1521</v>
      </c>
      <c r="P66" s="14" t="s">
        <v>2230</v>
      </c>
      <c r="Q66" s="14">
        <v>0</v>
      </c>
      <c r="R66" s="14">
        <f>IF(LEN(I66)&gt;=20, "Text too Long", LEN(I66))</f>
        <v>15</v>
      </c>
    </row>
    <row r="67" spans="2:18">
      <c r="B67" s="14">
        <f t="shared" si="0"/>
        <v>14004</v>
      </c>
      <c r="C67" s="14">
        <v>1</v>
      </c>
      <c r="D67" s="14"/>
      <c r="E67" s="14"/>
      <c r="F67" s="14"/>
      <c r="G67" s="14">
        <v>1</v>
      </c>
      <c r="H67" s="14">
        <v>14004</v>
      </c>
      <c r="I67" s="16" t="s">
        <v>113</v>
      </c>
      <c r="J67" s="33" t="s">
        <v>1534</v>
      </c>
      <c r="K67" s="33" t="s">
        <v>2240</v>
      </c>
      <c r="L67" s="33" t="s">
        <v>1535</v>
      </c>
      <c r="M67" s="33" t="s">
        <v>1536</v>
      </c>
      <c r="N67" s="14" t="s">
        <v>2241</v>
      </c>
      <c r="O67" s="14" t="s">
        <v>1537</v>
      </c>
      <c r="P67" s="14" t="s">
        <v>2242</v>
      </c>
      <c r="Q67" s="14">
        <v>0</v>
      </c>
      <c r="R67" s="14">
        <f>IF(LEN(I67)&gt;=333, "Text too Long", LEN(I67))</f>
        <v>50</v>
      </c>
    </row>
    <row r="68" spans="2:18">
      <c r="B68" s="14">
        <f t="shared" si="0"/>
        <v>12005</v>
      </c>
      <c r="C68" s="14">
        <v>1</v>
      </c>
      <c r="D68" s="14"/>
      <c r="E68" s="14"/>
      <c r="F68" s="14"/>
      <c r="G68" s="14">
        <v>1</v>
      </c>
      <c r="H68" s="14">
        <v>12005</v>
      </c>
      <c r="I68" s="16" t="s">
        <v>1509</v>
      </c>
      <c r="J68" s="33" t="s">
        <v>1510</v>
      </c>
      <c r="K68" s="33" t="s">
        <v>1511</v>
      </c>
      <c r="L68" s="33" t="s">
        <v>1512</v>
      </c>
      <c r="M68" s="33" t="s">
        <v>1513</v>
      </c>
      <c r="N68" s="14" t="s">
        <v>1514</v>
      </c>
      <c r="O68" s="14" t="s">
        <v>1515</v>
      </c>
      <c r="P68" s="14" t="s">
        <v>2229</v>
      </c>
      <c r="Q68" s="14">
        <v>0</v>
      </c>
      <c r="R68" s="14">
        <f>IF(LEN(I68)&gt;=10, "Text too Long", LEN(I68))</f>
        <v>9</v>
      </c>
    </row>
    <row r="69" spans="2:18">
      <c r="B69" s="14">
        <f t="shared" si="0"/>
        <v>13005</v>
      </c>
      <c r="C69" s="14">
        <v>1</v>
      </c>
      <c r="D69" s="14"/>
      <c r="E69" s="14"/>
      <c r="F69" s="14"/>
      <c r="G69" s="14">
        <v>1</v>
      </c>
      <c r="H69" s="14">
        <v>13005</v>
      </c>
      <c r="I69" s="16" t="s">
        <v>57</v>
      </c>
      <c r="J69" s="33" t="s">
        <v>1516</v>
      </c>
      <c r="K69" s="33" t="s">
        <v>1517</v>
      </c>
      <c r="L69" s="33" t="s">
        <v>1518</v>
      </c>
      <c r="M69" s="33" t="s">
        <v>1519</v>
      </c>
      <c r="N69" s="14" t="s">
        <v>1520</v>
      </c>
      <c r="O69" s="14" t="s">
        <v>1521</v>
      </c>
      <c r="P69" s="14" t="s">
        <v>2230</v>
      </c>
      <c r="Q69" s="14">
        <v>0</v>
      </c>
      <c r="R69" s="14">
        <f>IF(LEN(I69)&gt;=20, "Text too Long", LEN(I69))</f>
        <v>15</v>
      </c>
    </row>
    <row r="70" spans="2:18">
      <c r="B70" s="14">
        <f t="shared" si="0"/>
        <v>14005</v>
      </c>
      <c r="C70" s="14">
        <v>1</v>
      </c>
      <c r="D70" s="14"/>
      <c r="E70" s="14"/>
      <c r="F70" s="14"/>
      <c r="G70" s="14">
        <v>1</v>
      </c>
      <c r="H70" s="14">
        <v>14005</v>
      </c>
      <c r="I70" s="16" t="s">
        <v>112</v>
      </c>
      <c r="J70" s="33" t="s">
        <v>1538</v>
      </c>
      <c r="K70" s="33" t="s">
        <v>2243</v>
      </c>
      <c r="L70" s="33" t="s">
        <v>1539</v>
      </c>
      <c r="M70" s="33" t="s">
        <v>1540</v>
      </c>
      <c r="N70" s="14" t="s">
        <v>2244</v>
      </c>
      <c r="O70" s="14" t="s">
        <v>1541</v>
      </c>
      <c r="P70" s="14" t="s">
        <v>2245</v>
      </c>
      <c r="Q70" s="14">
        <v>0</v>
      </c>
      <c r="R70" s="14">
        <f>IF(LEN(I70)&gt;=333, "Text too Long", LEN(I70))</f>
        <v>50</v>
      </c>
    </row>
    <row r="71" spans="2:18">
      <c r="B71" s="14">
        <f t="shared" si="0"/>
        <v>12006</v>
      </c>
      <c r="C71" s="14">
        <v>1</v>
      </c>
      <c r="D71" s="14"/>
      <c r="E71" s="14"/>
      <c r="F71" s="14"/>
      <c r="G71" s="14">
        <v>1</v>
      </c>
      <c r="H71" s="14">
        <v>12006</v>
      </c>
      <c r="I71" s="16" t="s">
        <v>58</v>
      </c>
      <c r="J71" s="33" t="s">
        <v>1542</v>
      </c>
      <c r="K71" s="33" t="s">
        <v>1543</v>
      </c>
      <c r="L71" s="33" t="s">
        <v>1544</v>
      </c>
      <c r="M71" s="33" t="s">
        <v>1545</v>
      </c>
      <c r="N71" s="14" t="s">
        <v>1546</v>
      </c>
      <c r="O71" s="14" t="s">
        <v>1547</v>
      </c>
      <c r="P71" s="14" t="s">
        <v>2246</v>
      </c>
      <c r="Q71" s="14">
        <v>0</v>
      </c>
      <c r="R71" s="14">
        <f>IF(LEN(I71)&gt;=10, "Text too Long", LEN(I71))</f>
        <v>9</v>
      </c>
    </row>
    <row r="72" spans="2:18">
      <c r="B72" s="14">
        <f t="shared" si="0"/>
        <v>13006</v>
      </c>
      <c r="C72" s="14">
        <v>1</v>
      </c>
      <c r="D72" s="14"/>
      <c r="E72" s="14"/>
      <c r="F72" s="14"/>
      <c r="G72" s="14">
        <v>1</v>
      </c>
      <c r="H72" s="14">
        <v>13006</v>
      </c>
      <c r="I72" s="16" t="s">
        <v>59</v>
      </c>
      <c r="J72" s="33" t="s">
        <v>1548</v>
      </c>
      <c r="K72" s="33" t="s">
        <v>1549</v>
      </c>
      <c r="L72" s="33" t="s">
        <v>1550</v>
      </c>
      <c r="M72" s="33" t="s">
        <v>1551</v>
      </c>
      <c r="N72" s="14" t="s">
        <v>1552</v>
      </c>
      <c r="O72" s="14" t="s">
        <v>1553</v>
      </c>
      <c r="P72" s="14" t="s">
        <v>2247</v>
      </c>
      <c r="Q72" s="14">
        <v>0</v>
      </c>
      <c r="R72" s="14">
        <f>IF(LEN(I72)&gt;=20, "Text too Long", LEN(I72))</f>
        <v>12</v>
      </c>
    </row>
    <row r="73" spans="2:18">
      <c r="B73" s="14">
        <f t="shared" si="0"/>
        <v>14006</v>
      </c>
      <c r="C73" s="14">
        <v>1</v>
      </c>
      <c r="D73" s="14"/>
      <c r="E73" s="14"/>
      <c r="F73" s="14"/>
      <c r="G73" s="14">
        <v>1</v>
      </c>
      <c r="H73" s="14">
        <v>14006</v>
      </c>
      <c r="I73" s="16" t="s">
        <v>60</v>
      </c>
      <c r="J73" s="33" t="s">
        <v>1554</v>
      </c>
      <c r="K73" s="33" t="s">
        <v>1555</v>
      </c>
      <c r="L73" s="33" t="s">
        <v>1556</v>
      </c>
      <c r="M73" s="33" t="s">
        <v>1557</v>
      </c>
      <c r="N73" s="14" t="s">
        <v>1558</v>
      </c>
      <c r="O73" s="14" t="s">
        <v>1559</v>
      </c>
      <c r="P73" s="14" t="s">
        <v>2248</v>
      </c>
      <c r="Q73" s="14">
        <v>0</v>
      </c>
      <c r="R73" s="14">
        <f>IF(LEN(I73)&gt;=333, "Text too Long", LEN(I73))</f>
        <v>30</v>
      </c>
    </row>
    <row r="74" spans="2:18">
      <c r="B74" s="14">
        <f t="shared" si="0"/>
        <v>12007</v>
      </c>
      <c r="C74" s="14">
        <v>1</v>
      </c>
      <c r="D74" s="14"/>
      <c r="E74" s="14"/>
      <c r="F74" s="14"/>
      <c r="G74" s="14">
        <v>1</v>
      </c>
      <c r="H74" s="14">
        <v>12007</v>
      </c>
      <c r="I74" s="16" t="s">
        <v>61</v>
      </c>
      <c r="J74" s="33" t="s">
        <v>1560</v>
      </c>
      <c r="K74" s="33" t="s">
        <v>1561</v>
      </c>
      <c r="L74" s="33" t="s">
        <v>1562</v>
      </c>
      <c r="M74" s="33" t="s">
        <v>1563</v>
      </c>
      <c r="N74" s="14" t="s">
        <v>1564</v>
      </c>
      <c r="O74" s="14" t="s">
        <v>1565</v>
      </c>
      <c r="P74" s="14" t="s">
        <v>2249</v>
      </c>
      <c r="Q74" s="14">
        <v>0</v>
      </c>
      <c r="R74" s="14">
        <f>IF(LEN(I74)&gt;=10, "Text too Long", LEN(I74))</f>
        <v>9</v>
      </c>
    </row>
    <row r="75" spans="2:18">
      <c r="B75" s="14">
        <f t="shared" si="0"/>
        <v>13007</v>
      </c>
      <c r="C75" s="14">
        <v>1</v>
      </c>
      <c r="D75" s="14"/>
      <c r="E75" s="14"/>
      <c r="F75" s="14"/>
      <c r="G75" s="14">
        <v>1</v>
      </c>
      <c r="H75" s="14">
        <v>13007</v>
      </c>
      <c r="I75" s="16" t="s">
        <v>62</v>
      </c>
      <c r="J75" s="33" t="s">
        <v>1566</v>
      </c>
      <c r="K75" s="33" t="s">
        <v>1567</v>
      </c>
      <c r="L75" s="33" t="s">
        <v>1568</v>
      </c>
      <c r="M75" s="33" t="s">
        <v>1569</v>
      </c>
      <c r="N75" s="14" t="s">
        <v>1570</v>
      </c>
      <c r="O75" s="14" t="s">
        <v>1571</v>
      </c>
      <c r="P75" s="14" t="s">
        <v>2250</v>
      </c>
      <c r="Q75" s="14">
        <v>0</v>
      </c>
      <c r="R75" s="14">
        <f>IF(LEN(I75)&gt;=20, "Text too Long", LEN(I75))</f>
        <v>12</v>
      </c>
    </row>
    <row r="76" spans="2:18">
      <c r="B76" s="14">
        <f t="shared" si="0"/>
        <v>14007</v>
      </c>
      <c r="C76" s="14">
        <v>1</v>
      </c>
      <c r="D76" s="14"/>
      <c r="E76" s="14"/>
      <c r="F76" s="14"/>
      <c r="G76" s="14">
        <v>1</v>
      </c>
      <c r="H76" s="14">
        <v>14007</v>
      </c>
      <c r="I76" s="16" t="s">
        <v>63</v>
      </c>
      <c r="J76" s="33" t="s">
        <v>1572</v>
      </c>
      <c r="K76" s="33" t="s">
        <v>1573</v>
      </c>
      <c r="L76" s="33" t="s">
        <v>1574</v>
      </c>
      <c r="M76" s="33" t="s">
        <v>1575</v>
      </c>
      <c r="N76" s="14" t="s">
        <v>1576</v>
      </c>
      <c r="O76" s="14" t="s">
        <v>1577</v>
      </c>
      <c r="P76" s="14" t="s">
        <v>2251</v>
      </c>
      <c r="Q76" s="14">
        <v>0</v>
      </c>
      <c r="R76" s="14">
        <f>IF(LEN(I76)&gt;=333, "Text too Long", LEN(I76))</f>
        <v>30</v>
      </c>
    </row>
    <row r="77" spans="2:18">
      <c r="B77" s="14">
        <f t="shared" si="0"/>
        <v>12010</v>
      </c>
      <c r="C77" s="14">
        <v>1</v>
      </c>
      <c r="D77" s="14"/>
      <c r="E77" s="14"/>
      <c r="F77" s="14"/>
      <c r="G77" s="14">
        <v>1</v>
      </c>
      <c r="H77" s="14">
        <v>12010</v>
      </c>
      <c r="I77" s="16" t="s">
        <v>183</v>
      </c>
      <c r="J77" s="33" t="s">
        <v>1578</v>
      </c>
      <c r="K77" s="33" t="s">
        <v>1579</v>
      </c>
      <c r="L77" s="33" t="s">
        <v>3339</v>
      </c>
      <c r="M77" s="33" t="s">
        <v>1580</v>
      </c>
      <c r="N77" s="14" t="s">
        <v>2252</v>
      </c>
      <c r="O77" s="14" t="s">
        <v>2253</v>
      </c>
      <c r="P77" s="14" t="s">
        <v>1581</v>
      </c>
      <c r="Q77" s="14">
        <v>0</v>
      </c>
      <c r="R77" s="14">
        <f>IF(LEN(I77)&gt;=10, "Text too Long", LEN(I77))</f>
        <v>8</v>
      </c>
    </row>
    <row r="78" spans="2:18">
      <c r="B78" s="14">
        <f t="shared" si="0"/>
        <v>13010</v>
      </c>
      <c r="C78" s="14">
        <v>1</v>
      </c>
      <c r="D78" s="14"/>
      <c r="E78" s="14"/>
      <c r="F78" s="14"/>
      <c r="G78" s="14">
        <v>1</v>
      </c>
      <c r="H78" s="14">
        <v>13010</v>
      </c>
      <c r="I78" s="16" t="s">
        <v>184</v>
      </c>
      <c r="J78" s="33" t="s">
        <v>1582</v>
      </c>
      <c r="K78" s="33" t="s">
        <v>1583</v>
      </c>
      <c r="L78" s="33" t="s">
        <v>3340</v>
      </c>
      <c r="M78" s="33" t="s">
        <v>1584</v>
      </c>
      <c r="N78" s="14" t="s">
        <v>2254</v>
      </c>
      <c r="O78" s="14" t="s">
        <v>2255</v>
      </c>
      <c r="P78" s="14" t="s">
        <v>1585</v>
      </c>
      <c r="Q78" s="14">
        <v>0</v>
      </c>
      <c r="R78" s="14">
        <f>IF(LEN(I78)&gt;=20, "Text too Long", LEN(I78))</f>
        <v>16</v>
      </c>
    </row>
    <row r="79" spans="2:18">
      <c r="B79" s="14">
        <f t="shared" si="0"/>
        <v>14010</v>
      </c>
      <c r="C79" s="14">
        <v>1</v>
      </c>
      <c r="D79" s="14"/>
      <c r="E79" s="14"/>
      <c r="F79" s="14"/>
      <c r="G79" s="14">
        <v>1</v>
      </c>
      <c r="H79" s="14">
        <v>14010</v>
      </c>
      <c r="I79" s="16" t="s">
        <v>254</v>
      </c>
      <c r="J79" s="33" t="s">
        <v>1586</v>
      </c>
      <c r="K79" s="33" t="s">
        <v>3341</v>
      </c>
      <c r="L79" s="33" t="s">
        <v>3342</v>
      </c>
      <c r="M79" s="33" t="s">
        <v>1587</v>
      </c>
      <c r="N79" s="14" t="s">
        <v>1588</v>
      </c>
      <c r="O79" s="14" t="s">
        <v>2256</v>
      </c>
      <c r="P79" s="14" t="s">
        <v>2257</v>
      </c>
      <c r="Q79" s="14">
        <v>0</v>
      </c>
      <c r="R79" s="14">
        <f>IF(LEN(I79)&gt;=333, "Text too Long", LEN(I79))</f>
        <v>124</v>
      </c>
    </row>
    <row r="80" spans="2:18">
      <c r="B80" s="14">
        <f t="shared" si="0"/>
        <v>12011</v>
      </c>
      <c r="C80" s="14">
        <v>1</v>
      </c>
      <c r="D80" s="14"/>
      <c r="E80" s="14"/>
      <c r="F80" s="14"/>
      <c r="G80" s="14">
        <v>1</v>
      </c>
      <c r="H80" s="14">
        <v>12011</v>
      </c>
      <c r="I80" s="16" t="s">
        <v>182</v>
      </c>
      <c r="J80" s="33" t="s">
        <v>1589</v>
      </c>
      <c r="K80" s="33" t="s">
        <v>1590</v>
      </c>
      <c r="L80" s="33" t="s">
        <v>1591</v>
      </c>
      <c r="M80" s="33" t="s">
        <v>1592</v>
      </c>
      <c r="N80" s="14" t="s">
        <v>2258</v>
      </c>
      <c r="O80" s="14" t="s">
        <v>2259</v>
      </c>
      <c r="P80" s="14" t="s">
        <v>1593</v>
      </c>
      <c r="Q80" s="14">
        <v>0</v>
      </c>
      <c r="R80" s="14">
        <f>IF(LEN(I80)&gt;=10, "Text too Long", LEN(I80))</f>
        <v>4</v>
      </c>
    </row>
    <row r="81" spans="2:18">
      <c r="B81" s="14">
        <f t="shared" si="0"/>
        <v>13011</v>
      </c>
      <c r="C81" s="14">
        <v>1</v>
      </c>
      <c r="D81" s="14"/>
      <c r="E81" s="14"/>
      <c r="F81" s="14"/>
      <c r="G81" s="14">
        <v>1</v>
      </c>
      <c r="H81" s="14">
        <v>13011</v>
      </c>
      <c r="I81" s="16" t="s">
        <v>165</v>
      </c>
      <c r="J81" s="33" t="s">
        <v>1594</v>
      </c>
      <c r="K81" s="33" t="s">
        <v>1595</v>
      </c>
      <c r="L81" s="33" t="s">
        <v>1596</v>
      </c>
      <c r="M81" s="33" t="s">
        <v>1597</v>
      </c>
      <c r="N81" s="14" t="s">
        <v>2260</v>
      </c>
      <c r="O81" s="14" t="s">
        <v>3343</v>
      </c>
      <c r="P81" s="14" t="s">
        <v>1598</v>
      </c>
      <c r="Q81" s="14">
        <v>0</v>
      </c>
      <c r="R81" s="14">
        <f>IF(LEN(I81)&gt;=20, "Text too Long", LEN(I81))</f>
        <v>12</v>
      </c>
    </row>
    <row r="82" spans="2:18">
      <c r="B82" s="14">
        <f t="shared" si="0"/>
        <v>14011</v>
      </c>
      <c r="C82" s="14">
        <v>1</v>
      </c>
      <c r="D82" s="14"/>
      <c r="E82" s="14"/>
      <c r="F82" s="14"/>
      <c r="G82" s="14">
        <v>1</v>
      </c>
      <c r="H82" s="14">
        <v>14011</v>
      </c>
      <c r="I82" s="16" t="s">
        <v>258</v>
      </c>
      <c r="J82" s="33" t="s">
        <v>1599</v>
      </c>
      <c r="K82" s="33" t="s">
        <v>1600</v>
      </c>
      <c r="L82" s="33" t="s">
        <v>1601</v>
      </c>
      <c r="M82" s="33" t="s">
        <v>1602</v>
      </c>
      <c r="N82" s="14" t="s">
        <v>1603</v>
      </c>
      <c r="O82" s="14" t="s">
        <v>2261</v>
      </c>
      <c r="P82" s="14" t="s">
        <v>3344</v>
      </c>
      <c r="Q82" s="14">
        <v>0</v>
      </c>
      <c r="R82" s="14">
        <f>IF(LEN(I82)&gt;=333, "Text too Long", LEN(I82))</f>
        <v>190</v>
      </c>
    </row>
    <row r="83" spans="2:18">
      <c r="B83" s="20">
        <f t="shared" si="0"/>
        <v>12012</v>
      </c>
      <c r="C83" s="20">
        <v>1</v>
      </c>
      <c r="D83" s="20"/>
      <c r="E83" s="20"/>
      <c r="F83" s="20"/>
      <c r="G83" s="20">
        <v>1</v>
      </c>
      <c r="H83" s="20">
        <v>12012</v>
      </c>
      <c r="I83" s="37" t="s">
        <v>166</v>
      </c>
      <c r="J83" s="38" t="s">
        <v>2262</v>
      </c>
      <c r="K83" s="38" t="s">
        <v>2263</v>
      </c>
      <c r="L83" s="38" t="s">
        <v>2264</v>
      </c>
      <c r="M83" s="38" t="s">
        <v>2265</v>
      </c>
      <c r="N83" s="14" t="s">
        <v>2266</v>
      </c>
      <c r="O83" s="14" t="s">
        <v>2267</v>
      </c>
      <c r="P83" s="14" t="s">
        <v>2268</v>
      </c>
      <c r="Q83" s="20">
        <v>0</v>
      </c>
      <c r="R83" s="20">
        <f>IF(LEN(I83)&gt;=10, "Text too Long", LEN(I83))</f>
        <v>8</v>
      </c>
    </row>
    <row r="84" spans="2:18">
      <c r="B84" s="20">
        <f t="shared" si="0"/>
        <v>13012</v>
      </c>
      <c r="C84" s="20">
        <v>1</v>
      </c>
      <c r="D84" s="20"/>
      <c r="E84" s="20"/>
      <c r="F84" s="20"/>
      <c r="G84" s="20">
        <v>1</v>
      </c>
      <c r="H84" s="20">
        <v>13012</v>
      </c>
      <c r="I84" s="37" t="s">
        <v>167</v>
      </c>
      <c r="J84" s="38" t="s">
        <v>1604</v>
      </c>
      <c r="K84" s="38" t="s">
        <v>1605</v>
      </c>
      <c r="L84" s="38" t="s">
        <v>1606</v>
      </c>
      <c r="M84" s="38" t="s">
        <v>1607</v>
      </c>
      <c r="N84" s="14" t="s">
        <v>2269</v>
      </c>
      <c r="O84" s="14" t="s">
        <v>2270</v>
      </c>
      <c r="P84" s="14" t="s">
        <v>1608</v>
      </c>
      <c r="Q84" s="20">
        <v>0</v>
      </c>
      <c r="R84" s="20">
        <f>IF(LEN(I84)&gt;=20, "Text too Long", LEN(I84))</f>
        <v>14</v>
      </c>
    </row>
    <row r="85" spans="2:18">
      <c r="B85" s="20">
        <f t="shared" si="0"/>
        <v>14012</v>
      </c>
      <c r="C85" s="20">
        <v>1</v>
      </c>
      <c r="D85" s="20"/>
      <c r="E85" s="20"/>
      <c r="F85" s="20"/>
      <c r="G85" s="20">
        <v>1</v>
      </c>
      <c r="H85" s="20">
        <v>14012</v>
      </c>
      <c r="I85" s="37" t="s">
        <v>168</v>
      </c>
      <c r="J85" s="38" t="s">
        <v>356</v>
      </c>
      <c r="K85" s="38" t="s">
        <v>354</v>
      </c>
      <c r="L85" s="38" t="s">
        <v>355</v>
      </c>
      <c r="M85" s="38" t="s">
        <v>800</v>
      </c>
      <c r="N85" s="14" t="s">
        <v>627</v>
      </c>
      <c r="O85" s="14" t="s">
        <v>628</v>
      </c>
      <c r="P85" s="14" t="s">
        <v>629</v>
      </c>
      <c r="Q85" s="20">
        <v>0</v>
      </c>
      <c r="R85" s="20">
        <f>IF(LEN(I85)&gt;=333, "Text too Long", LEN(I85))</f>
        <v>41</v>
      </c>
    </row>
    <row r="86" spans="2:18">
      <c r="B86" s="14">
        <f t="shared" si="0"/>
        <v>12013</v>
      </c>
      <c r="C86" s="14">
        <v>1</v>
      </c>
      <c r="D86" s="14"/>
      <c r="E86" s="14"/>
      <c r="F86" s="14"/>
      <c r="G86" s="14">
        <v>1</v>
      </c>
      <c r="H86" s="14">
        <v>12013</v>
      </c>
      <c r="I86" s="16" t="s">
        <v>186</v>
      </c>
      <c r="J86" s="33" t="s">
        <v>2271</v>
      </c>
      <c r="K86" s="33" t="s">
        <v>2272</v>
      </c>
      <c r="L86" s="33" t="s">
        <v>2273</v>
      </c>
      <c r="M86" s="33" t="s">
        <v>2274</v>
      </c>
      <c r="N86" s="14" t="s">
        <v>2275</v>
      </c>
      <c r="O86" s="14" t="s">
        <v>2276</v>
      </c>
      <c r="P86" s="14" t="s">
        <v>2277</v>
      </c>
      <c r="Q86" s="14">
        <v>0</v>
      </c>
      <c r="R86" s="14">
        <f>IF(LEN(I86)&gt;=10, "Text too Long", LEN(I86))</f>
        <v>4</v>
      </c>
    </row>
    <row r="87" spans="2:18">
      <c r="B87" s="14">
        <f t="shared" si="0"/>
        <v>13013</v>
      </c>
      <c r="C87" s="14">
        <v>1</v>
      </c>
      <c r="D87" s="14"/>
      <c r="E87" s="14"/>
      <c r="F87" s="14"/>
      <c r="G87" s="14">
        <v>1</v>
      </c>
      <c r="H87" s="14">
        <v>13013</v>
      </c>
      <c r="I87" s="16" t="s">
        <v>169</v>
      </c>
      <c r="J87" s="33" t="s">
        <v>1609</v>
      </c>
      <c r="K87" s="33" t="s">
        <v>1610</v>
      </c>
      <c r="L87" s="33" t="s">
        <v>1611</v>
      </c>
      <c r="M87" s="33" t="s">
        <v>1612</v>
      </c>
      <c r="N87" s="14" t="s">
        <v>2278</v>
      </c>
      <c r="O87" s="14" t="s">
        <v>2279</v>
      </c>
      <c r="P87" s="14" t="s">
        <v>1613</v>
      </c>
      <c r="Q87" s="14">
        <v>0</v>
      </c>
      <c r="R87" s="14">
        <f>IF(LEN(I87)&gt;=20, "Text too Long", LEN(I87))</f>
        <v>11</v>
      </c>
    </row>
    <row r="88" spans="2:18">
      <c r="B88" s="14">
        <f t="shared" si="0"/>
        <v>14013</v>
      </c>
      <c r="C88" s="14">
        <v>1</v>
      </c>
      <c r="D88" s="14"/>
      <c r="E88" s="14"/>
      <c r="F88" s="14"/>
      <c r="G88" s="14">
        <v>1</v>
      </c>
      <c r="H88" s="14">
        <v>14013</v>
      </c>
      <c r="I88" s="16" t="s">
        <v>185</v>
      </c>
      <c r="J88" s="33" t="s">
        <v>2280</v>
      </c>
      <c r="K88" s="33" t="s">
        <v>2281</v>
      </c>
      <c r="L88" s="33" t="s">
        <v>2282</v>
      </c>
      <c r="M88" s="33" t="s">
        <v>2283</v>
      </c>
      <c r="N88" s="14" t="s">
        <v>2284</v>
      </c>
      <c r="O88" s="14" t="s">
        <v>2285</v>
      </c>
      <c r="P88" s="14" t="s">
        <v>2286</v>
      </c>
      <c r="Q88" s="14">
        <v>0</v>
      </c>
      <c r="R88" s="14">
        <f>IF(LEN(I88)&gt;=333, "Text too Long", LEN(I88))</f>
        <v>93</v>
      </c>
    </row>
    <row r="89" spans="2:18">
      <c r="B89" s="14">
        <f t="shared" si="0"/>
        <v>12014</v>
      </c>
      <c r="C89" s="14">
        <v>1</v>
      </c>
      <c r="D89" s="14"/>
      <c r="E89" s="14"/>
      <c r="F89" s="14"/>
      <c r="G89" s="14">
        <v>1</v>
      </c>
      <c r="H89" s="14">
        <v>12014</v>
      </c>
      <c r="I89" s="16" t="s">
        <v>187</v>
      </c>
      <c r="J89" s="33" t="s">
        <v>1614</v>
      </c>
      <c r="K89" s="33" t="s">
        <v>1615</v>
      </c>
      <c r="L89" s="33" t="s">
        <v>1616</v>
      </c>
      <c r="M89" s="33" t="s">
        <v>1617</v>
      </c>
      <c r="N89" s="14" t="s">
        <v>2287</v>
      </c>
      <c r="O89" s="14" t="s">
        <v>2288</v>
      </c>
      <c r="P89" s="14" t="s">
        <v>1618</v>
      </c>
      <c r="Q89" s="14">
        <v>0</v>
      </c>
      <c r="R89" s="14">
        <f>IF(LEN(I89)&gt;=10, "Text too Long", LEN(I89))</f>
        <v>4</v>
      </c>
    </row>
    <row r="90" spans="2:18">
      <c r="B90" s="14">
        <f t="shared" si="0"/>
        <v>13014</v>
      </c>
      <c r="C90" s="14">
        <v>1</v>
      </c>
      <c r="D90" s="14"/>
      <c r="E90" s="14"/>
      <c r="F90" s="14"/>
      <c r="G90" s="14">
        <v>1</v>
      </c>
      <c r="H90" s="14">
        <v>13014</v>
      </c>
      <c r="I90" s="16" t="s">
        <v>170</v>
      </c>
      <c r="J90" s="33" t="s">
        <v>1619</v>
      </c>
      <c r="K90" s="33" t="s">
        <v>1620</v>
      </c>
      <c r="L90" s="33" t="s">
        <v>1621</v>
      </c>
      <c r="M90" s="33" t="s">
        <v>1622</v>
      </c>
      <c r="N90" s="14" t="s">
        <v>2289</v>
      </c>
      <c r="O90" s="14" t="s">
        <v>2290</v>
      </c>
      <c r="P90" s="14" t="s">
        <v>1623</v>
      </c>
      <c r="Q90" s="14">
        <v>0</v>
      </c>
      <c r="R90" s="14">
        <f>IF(LEN(I90)&gt;=20, "Text too Long", LEN(I90))</f>
        <v>12</v>
      </c>
    </row>
    <row r="91" spans="2:18">
      <c r="B91" s="14">
        <f t="shared" si="0"/>
        <v>14014</v>
      </c>
      <c r="C91" s="14">
        <v>1</v>
      </c>
      <c r="D91" s="14"/>
      <c r="E91" s="14"/>
      <c r="F91" s="14"/>
      <c r="G91" s="14">
        <v>1</v>
      </c>
      <c r="H91" s="14">
        <v>14014</v>
      </c>
      <c r="I91" s="16" t="s">
        <v>188</v>
      </c>
      <c r="J91" s="33" t="s">
        <v>1624</v>
      </c>
      <c r="K91" s="33" t="s">
        <v>1625</v>
      </c>
      <c r="L91" s="33" t="s">
        <v>1626</v>
      </c>
      <c r="M91" s="33" t="s">
        <v>1627</v>
      </c>
      <c r="N91" s="14" t="s">
        <v>2291</v>
      </c>
      <c r="O91" s="14" t="s">
        <v>2292</v>
      </c>
      <c r="P91" s="14" t="s">
        <v>1628</v>
      </c>
      <c r="Q91" s="14">
        <v>0</v>
      </c>
      <c r="R91" s="14">
        <f>IF(LEN(I91)&gt;=333, "Text too Long", LEN(I91))</f>
        <v>87</v>
      </c>
    </row>
    <row r="92" spans="2:18">
      <c r="B92" s="14">
        <f t="shared" si="0"/>
        <v>12015</v>
      </c>
      <c r="C92" s="14">
        <v>1</v>
      </c>
      <c r="D92" s="14"/>
      <c r="E92" s="14"/>
      <c r="F92" s="14"/>
      <c r="G92" s="14">
        <v>1</v>
      </c>
      <c r="H92" s="14">
        <v>12015</v>
      </c>
      <c r="I92" s="16" t="s">
        <v>109</v>
      </c>
      <c r="J92" s="33" t="s">
        <v>2293</v>
      </c>
      <c r="K92" s="33" t="s">
        <v>1629</v>
      </c>
      <c r="L92" s="33" t="s">
        <v>1630</v>
      </c>
      <c r="M92" s="33" t="s">
        <v>1631</v>
      </c>
      <c r="N92" s="14" t="s">
        <v>1632</v>
      </c>
      <c r="O92" s="14" t="s">
        <v>1633</v>
      </c>
      <c r="P92" s="14" t="s">
        <v>1634</v>
      </c>
      <c r="Q92" s="14">
        <v>0</v>
      </c>
      <c r="R92" s="14">
        <f>IF(LEN(I92)&gt;=10, "Text too Long", LEN(I92))</f>
        <v>8</v>
      </c>
    </row>
    <row r="93" spans="2:18">
      <c r="B93" s="14">
        <f t="shared" si="0"/>
        <v>13015</v>
      </c>
      <c r="C93" s="14">
        <v>1</v>
      </c>
      <c r="D93" s="14"/>
      <c r="E93" s="14"/>
      <c r="F93" s="14"/>
      <c r="G93" s="14">
        <v>1</v>
      </c>
      <c r="H93" s="14">
        <v>13015</v>
      </c>
      <c r="I93" s="16" t="s">
        <v>110</v>
      </c>
      <c r="J93" s="33" t="s">
        <v>1635</v>
      </c>
      <c r="K93" s="33" t="s">
        <v>3107</v>
      </c>
      <c r="L93" s="33" t="s">
        <v>3108</v>
      </c>
      <c r="M93" s="33" t="s">
        <v>3109</v>
      </c>
      <c r="N93" s="14" t="s">
        <v>3110</v>
      </c>
      <c r="O93" s="14" t="s">
        <v>3111</v>
      </c>
      <c r="P93" s="14" t="s">
        <v>3112</v>
      </c>
      <c r="Q93" s="14">
        <v>0</v>
      </c>
      <c r="R93" s="14">
        <f>IF(LEN(I93)&gt;=20, "Text too Long", LEN(I93))</f>
        <v>15</v>
      </c>
    </row>
    <row r="94" spans="2:18">
      <c r="B94" s="14">
        <f t="shared" si="0"/>
        <v>14015</v>
      </c>
      <c r="C94" s="14">
        <v>1</v>
      </c>
      <c r="D94" s="14"/>
      <c r="E94" s="14"/>
      <c r="F94" s="14"/>
      <c r="G94" s="14">
        <v>1</v>
      </c>
      <c r="H94" s="14">
        <v>14015</v>
      </c>
      <c r="I94" s="16" t="s">
        <v>111</v>
      </c>
      <c r="J94" s="33" t="s">
        <v>3113</v>
      </c>
      <c r="K94" s="33" t="s">
        <v>3114</v>
      </c>
      <c r="L94" s="33" t="s">
        <v>3115</v>
      </c>
      <c r="M94" s="33" t="s">
        <v>3116</v>
      </c>
      <c r="N94" s="14" t="s">
        <v>3117</v>
      </c>
      <c r="O94" s="14" t="s">
        <v>3118</v>
      </c>
      <c r="P94" s="14" t="s">
        <v>3119</v>
      </c>
      <c r="Q94" s="14">
        <v>0</v>
      </c>
      <c r="R94" s="14">
        <f>IF(LEN(I94)&gt;=333, "Text too Long", LEN(I94))</f>
        <v>67</v>
      </c>
    </row>
    <row r="95" spans="2:18">
      <c r="B95" s="14">
        <f t="shared" si="0"/>
        <v>12016</v>
      </c>
      <c r="C95" s="14">
        <v>1</v>
      </c>
      <c r="D95" s="14"/>
      <c r="E95" s="14"/>
      <c r="F95" s="14"/>
      <c r="G95" s="14">
        <v>1</v>
      </c>
      <c r="H95" s="14">
        <v>12016</v>
      </c>
      <c r="I95" s="16" t="s">
        <v>122</v>
      </c>
      <c r="J95" s="33" t="s">
        <v>1636</v>
      </c>
      <c r="K95" s="33" t="s">
        <v>3345</v>
      </c>
      <c r="L95" s="33" t="s">
        <v>1637</v>
      </c>
      <c r="M95" s="33" t="s">
        <v>1638</v>
      </c>
      <c r="N95" s="14" t="s">
        <v>1639</v>
      </c>
      <c r="O95" s="14" t="s">
        <v>1640</v>
      </c>
      <c r="P95" s="14" t="s">
        <v>1641</v>
      </c>
      <c r="Q95" s="14">
        <v>0</v>
      </c>
      <c r="R95" s="14">
        <f>IF(LEN(I95)&gt;=10, "Text too Long", LEN(I95))</f>
        <v>5</v>
      </c>
    </row>
    <row r="96" spans="2:18">
      <c r="B96" s="14">
        <f t="shared" si="0"/>
        <v>13016</v>
      </c>
      <c r="C96" s="14">
        <v>1</v>
      </c>
      <c r="D96" s="14"/>
      <c r="E96" s="14"/>
      <c r="F96" s="14"/>
      <c r="G96" s="14">
        <v>1</v>
      </c>
      <c r="H96" s="14">
        <v>13016</v>
      </c>
      <c r="I96" s="16" t="s">
        <v>123</v>
      </c>
      <c r="J96" s="33" t="s">
        <v>1642</v>
      </c>
      <c r="K96" s="33" t="s">
        <v>1643</v>
      </c>
      <c r="L96" s="33" t="s">
        <v>1644</v>
      </c>
      <c r="M96" s="33" t="s">
        <v>1645</v>
      </c>
      <c r="N96" s="14" t="s">
        <v>1646</v>
      </c>
      <c r="O96" s="14" t="s">
        <v>2294</v>
      </c>
      <c r="P96" s="14" t="s">
        <v>2295</v>
      </c>
      <c r="Q96" s="14">
        <v>0</v>
      </c>
      <c r="R96" s="14">
        <f>IF(LEN(I96)&gt;=20, "Text too Long", LEN(I96))</f>
        <v>10</v>
      </c>
    </row>
    <row r="97" spans="2:18">
      <c r="B97" s="14">
        <f t="shared" si="0"/>
        <v>14016</v>
      </c>
      <c r="C97" s="14">
        <v>1</v>
      </c>
      <c r="D97" s="14"/>
      <c r="E97" s="14"/>
      <c r="F97" s="14"/>
      <c r="G97" s="14">
        <v>1</v>
      </c>
      <c r="H97" s="14">
        <v>14016</v>
      </c>
      <c r="I97" s="16" t="s">
        <v>3821</v>
      </c>
      <c r="J97" s="33" t="s">
        <v>1647</v>
      </c>
      <c r="K97" s="33" t="s">
        <v>1648</v>
      </c>
      <c r="L97" s="33" t="s">
        <v>1649</v>
      </c>
      <c r="M97" s="33" t="s">
        <v>1650</v>
      </c>
      <c r="N97" s="14" t="s">
        <v>1651</v>
      </c>
      <c r="O97" s="14" t="s">
        <v>1652</v>
      </c>
      <c r="P97" s="14" t="s">
        <v>1653</v>
      </c>
      <c r="Q97" s="14">
        <v>0</v>
      </c>
      <c r="R97" s="14">
        <f>IF(LEN(I97)&gt;=333, "Text too Long", LEN(I97))</f>
        <v>102</v>
      </c>
    </row>
    <row r="98" spans="2:18">
      <c r="B98" s="14">
        <f t="shared" si="0"/>
        <v>12017</v>
      </c>
      <c r="C98" s="14">
        <v>1</v>
      </c>
      <c r="D98" s="14"/>
      <c r="E98" s="14"/>
      <c r="F98" s="14"/>
      <c r="G98" s="14">
        <v>1</v>
      </c>
      <c r="H98" s="14">
        <v>12017</v>
      </c>
      <c r="I98" s="16" t="s">
        <v>178</v>
      </c>
      <c r="J98" s="33" t="s">
        <v>360</v>
      </c>
      <c r="K98" s="33" t="s">
        <v>357</v>
      </c>
      <c r="L98" s="33" t="s">
        <v>358</v>
      </c>
      <c r="M98" s="33" t="s">
        <v>359</v>
      </c>
      <c r="N98" s="14" t="s">
        <v>630</v>
      </c>
      <c r="O98" s="14" t="s">
        <v>631</v>
      </c>
      <c r="P98" s="14" t="s">
        <v>632</v>
      </c>
      <c r="Q98" s="14">
        <v>0</v>
      </c>
      <c r="R98" s="14">
        <f>IF(LEN(I98)&gt;=333, "Text too Long", LEN(I98))</f>
        <v>9</v>
      </c>
    </row>
    <row r="99" spans="2:18">
      <c r="B99" s="14">
        <f t="shared" si="0"/>
        <v>13017</v>
      </c>
      <c r="C99" s="14">
        <v>1</v>
      </c>
      <c r="D99" s="14"/>
      <c r="E99" s="14"/>
      <c r="F99" s="14"/>
      <c r="G99" s="14">
        <v>1</v>
      </c>
      <c r="H99" s="14">
        <v>13017</v>
      </c>
      <c r="I99" s="16" t="s">
        <v>179</v>
      </c>
      <c r="J99" s="33" t="s">
        <v>363</v>
      </c>
      <c r="K99" s="33" t="s">
        <v>361</v>
      </c>
      <c r="L99" s="33" t="s">
        <v>362</v>
      </c>
      <c r="M99" s="33" t="s">
        <v>801</v>
      </c>
      <c r="N99" s="14" t="s">
        <v>633</v>
      </c>
      <c r="O99" s="14" t="s">
        <v>634</v>
      </c>
      <c r="P99" s="14" t="s">
        <v>635</v>
      </c>
      <c r="Q99" s="14">
        <v>0</v>
      </c>
      <c r="R99" s="14">
        <f>IF(LEN(I99)&gt;=333, "Text too Long", LEN(I99))</f>
        <v>16</v>
      </c>
    </row>
    <row r="100" spans="2:18">
      <c r="B100" s="14">
        <f t="shared" si="0"/>
        <v>14017</v>
      </c>
      <c r="C100" s="14">
        <v>1</v>
      </c>
      <c r="D100" s="14"/>
      <c r="E100" s="14"/>
      <c r="F100" s="14"/>
      <c r="G100" s="14">
        <v>1</v>
      </c>
      <c r="H100" s="14">
        <v>14017</v>
      </c>
      <c r="I100" s="16" t="s">
        <v>180</v>
      </c>
      <c r="J100" s="33" t="s">
        <v>2296</v>
      </c>
      <c r="K100" s="33" t="s">
        <v>2297</v>
      </c>
      <c r="L100" s="33" t="s">
        <v>2298</v>
      </c>
      <c r="M100" s="33" t="s">
        <v>2299</v>
      </c>
      <c r="N100" s="14" t="s">
        <v>2300</v>
      </c>
      <c r="O100" s="14" t="s">
        <v>2301</v>
      </c>
      <c r="P100" s="14" t="s">
        <v>2302</v>
      </c>
      <c r="Q100" s="14">
        <v>0</v>
      </c>
      <c r="R100" s="14">
        <f>IF(LEN(I100)&gt;=333, "Text too Long", LEN(I100))</f>
        <v>81</v>
      </c>
    </row>
    <row r="101" spans="2:18">
      <c r="B101" s="14">
        <v>12018</v>
      </c>
      <c r="C101" s="14">
        <v>1</v>
      </c>
      <c r="D101" s="14"/>
      <c r="E101" s="14"/>
      <c r="F101" s="14"/>
      <c r="G101" s="14">
        <v>1</v>
      </c>
      <c r="H101" s="14">
        <v>12018</v>
      </c>
      <c r="I101" s="16" t="s">
        <v>1654</v>
      </c>
      <c r="J101" s="33" t="s">
        <v>2303</v>
      </c>
      <c r="K101" s="33" t="s">
        <v>1655</v>
      </c>
      <c r="L101" s="33" t="s">
        <v>1655</v>
      </c>
      <c r="M101" s="33" t="s">
        <v>1656</v>
      </c>
      <c r="N101" s="14" t="s">
        <v>2304</v>
      </c>
      <c r="O101" s="14" t="s">
        <v>2305</v>
      </c>
      <c r="P101" s="14" t="s">
        <v>1657</v>
      </c>
      <c r="Q101" s="14">
        <v>0</v>
      </c>
      <c r="R101" s="14">
        <v>4</v>
      </c>
    </row>
    <row r="102" spans="2:18">
      <c r="B102" s="14">
        <v>13018</v>
      </c>
      <c r="C102" s="14">
        <v>1</v>
      </c>
      <c r="D102" s="14"/>
      <c r="E102" s="14"/>
      <c r="F102" s="14"/>
      <c r="G102" s="14">
        <v>1</v>
      </c>
      <c r="H102" s="14">
        <v>13018</v>
      </c>
      <c r="I102" s="16" t="s">
        <v>1658</v>
      </c>
      <c r="J102" s="33" t="s">
        <v>2306</v>
      </c>
      <c r="K102" s="33" t="s">
        <v>1659</v>
      </c>
      <c r="L102" s="33" t="s">
        <v>1659</v>
      </c>
      <c r="M102" s="33" t="s">
        <v>1660</v>
      </c>
      <c r="N102" s="14" t="s">
        <v>2307</v>
      </c>
      <c r="O102" s="14" t="s">
        <v>2308</v>
      </c>
      <c r="P102" s="14" t="s">
        <v>1661</v>
      </c>
      <c r="Q102" s="14">
        <v>0</v>
      </c>
      <c r="R102" s="14">
        <v>12</v>
      </c>
    </row>
    <row r="103" spans="2:18">
      <c r="B103" s="14">
        <v>14018</v>
      </c>
      <c r="C103" s="14">
        <v>1</v>
      </c>
      <c r="D103" s="14"/>
      <c r="E103" s="14"/>
      <c r="F103" s="14"/>
      <c r="G103" s="14">
        <v>1</v>
      </c>
      <c r="H103" s="14">
        <v>14018</v>
      </c>
      <c r="I103" s="16" t="s">
        <v>1662</v>
      </c>
      <c r="J103" s="33" t="s">
        <v>2309</v>
      </c>
      <c r="K103" s="33" t="s">
        <v>1663</v>
      </c>
      <c r="L103" s="33" t="s">
        <v>1664</v>
      </c>
      <c r="M103" s="33" t="s">
        <v>1665</v>
      </c>
      <c r="N103" s="14" t="s">
        <v>2310</v>
      </c>
      <c r="O103" s="14" t="s">
        <v>2311</v>
      </c>
      <c r="P103" s="14" t="s">
        <v>1666</v>
      </c>
      <c r="Q103" s="14">
        <v>0</v>
      </c>
      <c r="R103" s="14">
        <v>79</v>
      </c>
    </row>
    <row r="104" spans="2:18">
      <c r="B104" s="88">
        <v>12019</v>
      </c>
      <c r="C104" s="88">
        <v>1</v>
      </c>
      <c r="D104" s="88"/>
      <c r="E104" s="88"/>
      <c r="F104" s="88"/>
      <c r="G104" s="88">
        <v>1</v>
      </c>
      <c r="H104" s="88">
        <v>12019</v>
      </c>
      <c r="I104" s="89" t="s">
        <v>1149</v>
      </c>
      <c r="J104" s="90" t="s">
        <v>1161</v>
      </c>
      <c r="K104" s="90" t="s">
        <v>1162</v>
      </c>
      <c r="L104" s="90" t="s">
        <v>1163</v>
      </c>
      <c r="M104" s="90" t="s">
        <v>1163</v>
      </c>
      <c r="N104" s="88" t="s">
        <v>1164</v>
      </c>
      <c r="O104" s="88" t="s">
        <v>1165</v>
      </c>
      <c r="P104" s="88" t="s">
        <v>1166</v>
      </c>
      <c r="Q104" s="88">
        <v>0</v>
      </c>
      <c r="R104" s="88">
        <f>IF(LEN(I104)&gt;=10, "Text too Long", LEN(I104))</f>
        <v>2</v>
      </c>
    </row>
    <row r="105" spans="2:18">
      <c r="B105" s="102">
        <v>13019</v>
      </c>
      <c r="C105" s="102">
        <v>1</v>
      </c>
      <c r="D105" s="102"/>
      <c r="E105" s="102"/>
      <c r="F105" s="102"/>
      <c r="G105" s="102">
        <v>1</v>
      </c>
      <c r="H105" s="102">
        <v>13019</v>
      </c>
      <c r="I105" s="123" t="s">
        <v>1152</v>
      </c>
      <c r="J105" s="124" t="s">
        <v>1167</v>
      </c>
      <c r="K105" s="124" t="s">
        <v>1168</v>
      </c>
      <c r="L105" s="124" t="s">
        <v>1169</v>
      </c>
      <c r="M105" s="124" t="s">
        <v>1170</v>
      </c>
      <c r="N105" s="102" t="s">
        <v>1171</v>
      </c>
      <c r="O105" s="102" t="s">
        <v>1172</v>
      </c>
      <c r="P105" s="102" t="s">
        <v>1173</v>
      </c>
      <c r="Q105" s="102">
        <v>0</v>
      </c>
      <c r="R105" s="102">
        <f>IF(LEN(I105)&gt;=20, "Text too Long", LEN(I105))</f>
        <v>7</v>
      </c>
    </row>
    <row r="106" spans="2:18">
      <c r="B106" s="75">
        <v>14019</v>
      </c>
      <c r="C106" s="75">
        <v>1</v>
      </c>
      <c r="D106" s="75"/>
      <c r="E106" s="75"/>
      <c r="F106" s="75"/>
      <c r="G106" s="75">
        <v>1</v>
      </c>
      <c r="H106" s="75">
        <v>14019</v>
      </c>
      <c r="I106" s="74" t="s">
        <v>1667</v>
      </c>
      <c r="J106" s="125" t="s">
        <v>1668</v>
      </c>
      <c r="K106" s="125" t="s">
        <v>2312</v>
      </c>
      <c r="L106" s="125" t="s">
        <v>1669</v>
      </c>
      <c r="M106" s="125" t="s">
        <v>2313</v>
      </c>
      <c r="N106" s="75" t="s">
        <v>3346</v>
      </c>
      <c r="O106" s="75" t="s">
        <v>1670</v>
      </c>
      <c r="P106" s="75" t="s">
        <v>1671</v>
      </c>
      <c r="Q106" s="75">
        <v>0</v>
      </c>
      <c r="R106" s="75">
        <f>IF(LEN(I106)&gt;=333, "Text too Long", LEN(I106))</f>
        <v>112</v>
      </c>
    </row>
    <row r="107" spans="2:18">
      <c r="B107" s="88">
        <v>12020</v>
      </c>
      <c r="C107" s="88">
        <v>1</v>
      </c>
      <c r="D107" s="88"/>
      <c r="E107" s="88"/>
      <c r="F107" s="88"/>
      <c r="G107" s="88">
        <v>1</v>
      </c>
      <c r="H107" s="88">
        <v>12020</v>
      </c>
      <c r="I107" s="89" t="s">
        <v>1149</v>
      </c>
      <c r="J107" s="90" t="s">
        <v>1161</v>
      </c>
      <c r="K107" s="90" t="s">
        <v>1162</v>
      </c>
      <c r="L107" s="90" t="s">
        <v>1163</v>
      </c>
      <c r="M107" s="90" t="s">
        <v>1163</v>
      </c>
      <c r="N107" s="88" t="s">
        <v>1164</v>
      </c>
      <c r="O107" s="88" t="s">
        <v>1165</v>
      </c>
      <c r="P107" s="88" t="s">
        <v>1166</v>
      </c>
      <c r="Q107" s="88">
        <v>0</v>
      </c>
      <c r="R107" s="88">
        <f>IF(LEN(I107)&gt;=10, "Text too Long", LEN(I107))</f>
        <v>2</v>
      </c>
    </row>
    <row r="108" spans="2:18">
      <c r="B108" s="102">
        <v>13020</v>
      </c>
      <c r="C108" s="102">
        <v>1</v>
      </c>
      <c r="D108" s="102"/>
      <c r="E108" s="102"/>
      <c r="F108" s="102"/>
      <c r="G108" s="102">
        <v>1</v>
      </c>
      <c r="H108" s="102">
        <v>13020</v>
      </c>
      <c r="I108" s="123" t="s">
        <v>1153</v>
      </c>
      <c r="J108" s="124" t="s">
        <v>364</v>
      </c>
      <c r="K108" s="124" t="s">
        <v>1174</v>
      </c>
      <c r="L108" s="124" t="s">
        <v>1175</v>
      </c>
      <c r="M108" s="124" t="s">
        <v>1176</v>
      </c>
      <c r="N108" s="102" t="s">
        <v>1177</v>
      </c>
      <c r="O108" s="102" t="s">
        <v>1178</v>
      </c>
      <c r="P108" s="102" t="s">
        <v>1179</v>
      </c>
      <c r="Q108" s="102">
        <v>0</v>
      </c>
      <c r="R108" s="102">
        <f>IF(LEN(I108)&gt;=20, "Text too Long", LEN(I108))</f>
        <v>7</v>
      </c>
    </row>
    <row r="109" spans="2:18">
      <c r="B109" s="75">
        <v>14020</v>
      </c>
      <c r="C109" s="75">
        <v>1</v>
      </c>
      <c r="D109" s="75"/>
      <c r="E109" s="75"/>
      <c r="F109" s="75"/>
      <c r="G109" s="75">
        <v>1</v>
      </c>
      <c r="H109" s="75">
        <v>14020</v>
      </c>
      <c r="I109" s="74" t="s">
        <v>1672</v>
      </c>
      <c r="J109" s="125" t="s">
        <v>1673</v>
      </c>
      <c r="K109" s="125" t="s">
        <v>2314</v>
      </c>
      <c r="L109" s="125" t="s">
        <v>2315</v>
      </c>
      <c r="M109" s="125" t="s">
        <v>2316</v>
      </c>
      <c r="N109" s="75" t="s">
        <v>2317</v>
      </c>
      <c r="O109" s="75" t="s">
        <v>2318</v>
      </c>
      <c r="P109" s="75" t="s">
        <v>1674</v>
      </c>
      <c r="Q109" s="75">
        <v>0</v>
      </c>
      <c r="R109" s="75">
        <f>IF(LEN(I109)&gt;=333, "Text too Long", LEN(I109))</f>
        <v>110</v>
      </c>
    </row>
    <row r="110" spans="2:18">
      <c r="B110" s="88">
        <v>12021</v>
      </c>
      <c r="C110" s="88">
        <v>1</v>
      </c>
      <c r="D110" s="88"/>
      <c r="E110" s="88"/>
      <c r="F110" s="88"/>
      <c r="G110" s="88">
        <v>1</v>
      </c>
      <c r="H110" s="88">
        <v>12021</v>
      </c>
      <c r="I110" s="89" t="s">
        <v>1149</v>
      </c>
      <c r="J110" s="90" t="s">
        <v>1161</v>
      </c>
      <c r="K110" s="90" t="s">
        <v>1162</v>
      </c>
      <c r="L110" s="90" t="s">
        <v>1163</v>
      </c>
      <c r="M110" s="90" t="s">
        <v>1163</v>
      </c>
      <c r="N110" s="88" t="s">
        <v>1164</v>
      </c>
      <c r="O110" s="88" t="s">
        <v>1165</v>
      </c>
      <c r="P110" s="88" t="s">
        <v>1166</v>
      </c>
      <c r="Q110" s="88">
        <v>0</v>
      </c>
      <c r="R110" s="88">
        <f>IF(LEN(I110)&gt;=10, "Text too Long", LEN(I110))</f>
        <v>2</v>
      </c>
    </row>
    <row r="111" spans="2:18">
      <c r="B111" s="102">
        <v>13021</v>
      </c>
      <c r="C111" s="102">
        <v>1</v>
      </c>
      <c r="D111" s="102"/>
      <c r="E111" s="102"/>
      <c r="F111" s="102"/>
      <c r="G111" s="102">
        <v>1</v>
      </c>
      <c r="H111" s="102">
        <v>13021</v>
      </c>
      <c r="I111" s="123" t="s">
        <v>3347</v>
      </c>
      <c r="J111" s="124" t="s">
        <v>3348</v>
      </c>
      <c r="K111" s="124" t="s">
        <v>3349</v>
      </c>
      <c r="L111" s="124" t="s">
        <v>3350</v>
      </c>
      <c r="M111" s="124" t="s">
        <v>3351</v>
      </c>
      <c r="N111" s="102" t="s">
        <v>3352</v>
      </c>
      <c r="O111" s="102" t="s">
        <v>3353</v>
      </c>
      <c r="P111" s="102" t="s">
        <v>3354</v>
      </c>
      <c r="Q111" s="102">
        <v>0</v>
      </c>
      <c r="R111" s="102">
        <f>IF(LEN(I111)&gt;=20, "Text too Long", LEN(I111))</f>
        <v>7</v>
      </c>
    </row>
    <row r="112" spans="2:18">
      <c r="B112" s="75">
        <v>14021</v>
      </c>
      <c r="C112" s="75">
        <v>1</v>
      </c>
      <c r="D112" s="75"/>
      <c r="E112" s="75"/>
      <c r="F112" s="75"/>
      <c r="G112" s="75">
        <v>1</v>
      </c>
      <c r="H112" s="75">
        <v>14021</v>
      </c>
      <c r="I112" s="74" t="s">
        <v>1675</v>
      </c>
      <c r="J112" s="125" t="s">
        <v>3355</v>
      </c>
      <c r="K112" s="125" t="s">
        <v>2319</v>
      </c>
      <c r="L112" s="125" t="s">
        <v>2320</v>
      </c>
      <c r="M112" s="125" t="s">
        <v>2321</v>
      </c>
      <c r="N112" s="75" t="s">
        <v>1676</v>
      </c>
      <c r="O112" s="75" t="s">
        <v>3356</v>
      </c>
      <c r="P112" s="75" t="s">
        <v>1677</v>
      </c>
      <c r="Q112" s="75">
        <v>0</v>
      </c>
      <c r="R112" s="75">
        <f>IF(LEN(I112)&gt;=333, "Text too Long", LEN(I112))</f>
        <v>106</v>
      </c>
    </row>
    <row r="113" spans="2:18">
      <c r="B113" s="14">
        <f t="shared" si="0"/>
        <v>12025</v>
      </c>
      <c r="C113" s="14">
        <v>1</v>
      </c>
      <c r="D113" s="14"/>
      <c r="E113" s="14"/>
      <c r="F113" s="14"/>
      <c r="G113" s="14">
        <v>1</v>
      </c>
      <c r="H113" s="53">
        <v>12025</v>
      </c>
      <c r="I113" s="16" t="s">
        <v>1678</v>
      </c>
      <c r="J113" s="33" t="s">
        <v>1679</v>
      </c>
      <c r="K113" s="33" t="s">
        <v>1680</v>
      </c>
      <c r="L113" s="33" t="s">
        <v>1681</v>
      </c>
      <c r="M113" s="33" t="s">
        <v>1682</v>
      </c>
      <c r="N113" s="14" t="s">
        <v>1683</v>
      </c>
      <c r="O113" s="14" t="s">
        <v>2322</v>
      </c>
      <c r="P113" s="14" t="s">
        <v>2323</v>
      </c>
      <c r="Q113" s="14">
        <v>0</v>
      </c>
      <c r="R113" s="14">
        <f>IF(LEN(I113)&gt;=10, "Text too Long", LEN(I113))</f>
        <v>5</v>
      </c>
    </row>
    <row r="114" spans="2:18">
      <c r="B114" s="14">
        <f t="shared" si="0"/>
        <v>13025</v>
      </c>
      <c r="C114" s="14">
        <v>1</v>
      </c>
      <c r="D114" s="14"/>
      <c r="E114" s="14"/>
      <c r="F114" s="14"/>
      <c r="G114" s="14">
        <v>1</v>
      </c>
      <c r="H114" s="53">
        <v>13025</v>
      </c>
      <c r="I114" s="16" t="s">
        <v>1684</v>
      </c>
      <c r="J114" s="33" t="s">
        <v>1685</v>
      </c>
      <c r="K114" s="33" t="s">
        <v>1686</v>
      </c>
      <c r="L114" s="33" t="s">
        <v>1687</v>
      </c>
      <c r="M114" s="33" t="s">
        <v>1688</v>
      </c>
      <c r="N114" s="14" t="s">
        <v>1689</v>
      </c>
      <c r="O114" s="14" t="s">
        <v>1690</v>
      </c>
      <c r="P114" s="14" t="s">
        <v>2324</v>
      </c>
      <c r="Q114" s="14">
        <v>0</v>
      </c>
      <c r="R114" s="14">
        <f>IF(LEN(I114)&gt;=20, "Text too Long", LEN(I114))</f>
        <v>12</v>
      </c>
    </row>
    <row r="115" spans="2:18">
      <c r="B115" s="14">
        <f t="shared" si="0"/>
        <v>14025</v>
      </c>
      <c r="C115" s="14">
        <v>1</v>
      </c>
      <c r="D115" s="14"/>
      <c r="E115" s="14"/>
      <c r="F115" s="14"/>
      <c r="G115" s="14">
        <v>1</v>
      </c>
      <c r="H115" s="53">
        <v>14025</v>
      </c>
      <c r="I115" s="16" t="s">
        <v>847</v>
      </c>
      <c r="J115" s="33" t="s">
        <v>2325</v>
      </c>
      <c r="K115" s="33" t="s">
        <v>2326</v>
      </c>
      <c r="L115" s="33" t="s">
        <v>2327</v>
      </c>
      <c r="M115" s="33" t="s">
        <v>1691</v>
      </c>
      <c r="N115" s="14" t="s">
        <v>1692</v>
      </c>
      <c r="O115" s="14" t="s">
        <v>1693</v>
      </c>
      <c r="P115" s="14" t="s">
        <v>1694</v>
      </c>
      <c r="Q115" s="14">
        <v>0</v>
      </c>
      <c r="R115" s="14">
        <f>IF(LEN(I115)&gt;=333, "Text too Long", LEN(I115))</f>
        <v>52</v>
      </c>
    </row>
    <row r="116" spans="2:18">
      <c r="B116" s="14">
        <f t="shared" ref="B116:B118" si="7">H116</f>
        <v>12026</v>
      </c>
      <c r="C116" s="14">
        <v>1</v>
      </c>
      <c r="D116" s="14"/>
      <c r="E116" s="14"/>
      <c r="F116" s="14"/>
      <c r="G116" s="14">
        <v>1</v>
      </c>
      <c r="H116" s="53">
        <v>12026</v>
      </c>
      <c r="I116" s="16" t="s">
        <v>845</v>
      </c>
      <c r="J116" s="59" t="s">
        <v>1695</v>
      </c>
      <c r="K116" s="59" t="s">
        <v>1696</v>
      </c>
      <c r="L116" s="59" t="s">
        <v>1697</v>
      </c>
      <c r="M116" s="59" t="s">
        <v>1698</v>
      </c>
      <c r="N116" s="59" t="s">
        <v>1699</v>
      </c>
      <c r="O116" s="59" t="s">
        <v>2328</v>
      </c>
      <c r="P116" s="59" t="s">
        <v>2329</v>
      </c>
      <c r="Q116" s="14">
        <v>0</v>
      </c>
      <c r="R116" s="14">
        <f>IF(LEN(I116)&gt;=10, "Text too Long", LEN(I116))</f>
        <v>5</v>
      </c>
    </row>
    <row r="117" spans="2:18">
      <c r="B117" s="14">
        <f t="shared" si="7"/>
        <v>13026</v>
      </c>
      <c r="C117" s="14">
        <v>1</v>
      </c>
      <c r="D117" s="14"/>
      <c r="E117" s="14"/>
      <c r="F117" s="14"/>
      <c r="G117" s="14">
        <v>1</v>
      </c>
      <c r="H117" s="53">
        <v>13026</v>
      </c>
      <c r="I117" s="16" t="s">
        <v>846</v>
      </c>
      <c r="J117" s="59" t="s">
        <v>1700</v>
      </c>
      <c r="K117" s="59" t="s">
        <v>2330</v>
      </c>
      <c r="L117" s="59" t="s">
        <v>1701</v>
      </c>
      <c r="M117" s="59" t="s">
        <v>1702</v>
      </c>
      <c r="N117" s="59" t="s">
        <v>1703</v>
      </c>
      <c r="O117" s="59" t="s">
        <v>1704</v>
      </c>
      <c r="P117" s="59" t="s">
        <v>2331</v>
      </c>
      <c r="Q117" s="14">
        <v>0</v>
      </c>
      <c r="R117" s="14">
        <f>IF(LEN(I117)&gt;=20, "Text too Long", LEN(I117))</f>
        <v>12</v>
      </c>
    </row>
    <row r="118" spans="2:18">
      <c r="B118" s="14">
        <f t="shared" si="7"/>
        <v>14026</v>
      </c>
      <c r="C118" s="14">
        <v>1</v>
      </c>
      <c r="D118" s="14"/>
      <c r="E118" s="14"/>
      <c r="F118" s="14"/>
      <c r="G118" s="14">
        <v>1</v>
      </c>
      <c r="H118" s="53">
        <v>14026</v>
      </c>
      <c r="I118" s="16" t="s">
        <v>847</v>
      </c>
      <c r="J118" s="59" t="s">
        <v>2325</v>
      </c>
      <c r="K118" s="59" t="s">
        <v>2326</v>
      </c>
      <c r="L118" s="59" t="s">
        <v>2327</v>
      </c>
      <c r="M118" s="59" t="s">
        <v>1691</v>
      </c>
      <c r="N118" s="59" t="s">
        <v>1692</v>
      </c>
      <c r="O118" s="59" t="s">
        <v>1693</v>
      </c>
      <c r="P118" s="59" t="s">
        <v>1694</v>
      </c>
      <c r="Q118" s="14">
        <v>0</v>
      </c>
      <c r="R118" s="14">
        <f>IF(LEN(I118)&gt;=333, "Text too Long", LEN(I118))</f>
        <v>52</v>
      </c>
    </row>
    <row r="119" spans="2:18">
      <c r="B119" s="14">
        <f t="shared" si="0"/>
        <v>15001</v>
      </c>
      <c r="C119" s="14">
        <v>1</v>
      </c>
      <c r="D119" s="14"/>
      <c r="E119" s="14"/>
      <c r="F119" s="14"/>
      <c r="G119" s="14">
        <v>1</v>
      </c>
      <c r="H119" s="14">
        <v>15001</v>
      </c>
      <c r="I119" s="16" t="s">
        <v>68</v>
      </c>
      <c r="J119" s="33" t="s">
        <v>2332</v>
      </c>
      <c r="K119" s="33" t="s">
        <v>2333</v>
      </c>
      <c r="L119" s="33" t="s">
        <v>2334</v>
      </c>
      <c r="M119" s="33" t="s">
        <v>2335</v>
      </c>
      <c r="N119" s="14" t="s">
        <v>2336</v>
      </c>
      <c r="O119" s="14" t="s">
        <v>2337</v>
      </c>
      <c r="P119" s="14" t="s">
        <v>2338</v>
      </c>
      <c r="Q119" s="14">
        <v>0</v>
      </c>
      <c r="R119" s="14">
        <f>IF(LEN(I119)&gt;=10, "Text too Long", LEN(I119))</f>
        <v>5</v>
      </c>
    </row>
    <row r="120" spans="2:18">
      <c r="B120" s="14">
        <f t="shared" si="0"/>
        <v>16001</v>
      </c>
      <c r="C120" s="14">
        <v>1</v>
      </c>
      <c r="D120" s="14"/>
      <c r="E120" s="14"/>
      <c r="F120" s="14"/>
      <c r="G120" s="14">
        <v>1</v>
      </c>
      <c r="H120" s="14">
        <v>16001</v>
      </c>
      <c r="I120" s="16" t="s">
        <v>210</v>
      </c>
      <c r="J120" s="33" t="s">
        <v>370</v>
      </c>
      <c r="K120" s="33" t="s">
        <v>368</v>
      </c>
      <c r="L120" s="33" t="s">
        <v>369</v>
      </c>
      <c r="M120" s="33" t="s">
        <v>802</v>
      </c>
      <c r="N120" s="14" t="s">
        <v>639</v>
      </c>
      <c r="O120" s="14" t="s">
        <v>640</v>
      </c>
      <c r="P120" s="14" t="s">
        <v>641</v>
      </c>
      <c r="Q120" s="14">
        <v>0</v>
      </c>
      <c r="R120" s="14">
        <f>IF(LEN(I120)&gt;=20, "Text too Long", LEN(I120))</f>
        <v>15</v>
      </c>
    </row>
    <row r="121" spans="2:18">
      <c r="B121" s="14">
        <f t="shared" si="0"/>
        <v>17001</v>
      </c>
      <c r="C121" s="14">
        <v>1</v>
      </c>
      <c r="D121" s="14"/>
      <c r="E121" s="14"/>
      <c r="F121" s="14"/>
      <c r="G121" s="14">
        <v>1</v>
      </c>
      <c r="H121" s="14">
        <v>17001</v>
      </c>
      <c r="I121" s="16" t="s">
        <v>211</v>
      </c>
      <c r="J121" s="33" t="s">
        <v>373</v>
      </c>
      <c r="K121" s="33" t="s">
        <v>371</v>
      </c>
      <c r="L121" s="33" t="s">
        <v>372</v>
      </c>
      <c r="M121" s="33" t="s">
        <v>803</v>
      </c>
      <c r="N121" s="14" t="s">
        <v>642</v>
      </c>
      <c r="O121" s="14" t="s">
        <v>643</v>
      </c>
      <c r="P121" s="14" t="s">
        <v>644</v>
      </c>
      <c r="Q121" s="14">
        <v>0</v>
      </c>
      <c r="R121" s="14">
        <f>IF(LEN(I121)&gt;=333, "Text too Long", LEN(I121))</f>
        <v>106</v>
      </c>
    </row>
    <row r="122" spans="2:18">
      <c r="B122" s="14">
        <f t="shared" si="0"/>
        <v>15002</v>
      </c>
      <c r="C122" s="14">
        <v>1</v>
      </c>
      <c r="D122" s="14"/>
      <c r="E122" s="14"/>
      <c r="F122" s="14"/>
      <c r="G122" s="14">
        <v>1</v>
      </c>
      <c r="H122" s="14">
        <v>15002</v>
      </c>
      <c r="I122" s="16" t="s">
        <v>212</v>
      </c>
      <c r="J122" s="33" t="s">
        <v>377</v>
      </c>
      <c r="K122" s="33" t="s">
        <v>374</v>
      </c>
      <c r="L122" s="33" t="s">
        <v>375</v>
      </c>
      <c r="M122" s="33" t="s">
        <v>376</v>
      </c>
      <c r="N122" s="14" t="s">
        <v>645</v>
      </c>
      <c r="O122" s="14" t="s">
        <v>646</v>
      </c>
      <c r="P122" s="14" t="s">
        <v>647</v>
      </c>
      <c r="Q122" s="14">
        <v>0</v>
      </c>
      <c r="R122" s="14">
        <f>IF(LEN(I122)&gt;=10, "Text too Long", LEN(I122))</f>
        <v>7</v>
      </c>
    </row>
    <row r="123" spans="2:18">
      <c r="B123" s="14">
        <f t="shared" si="0"/>
        <v>16002</v>
      </c>
      <c r="C123" s="14">
        <v>1</v>
      </c>
      <c r="D123" s="14"/>
      <c r="E123" s="14"/>
      <c r="F123" s="14"/>
      <c r="G123" s="14">
        <v>1</v>
      </c>
      <c r="H123" s="14">
        <v>16002</v>
      </c>
      <c r="I123" s="16" t="s">
        <v>84</v>
      </c>
      <c r="J123" s="33" t="s">
        <v>380</v>
      </c>
      <c r="K123" s="33" t="s">
        <v>378</v>
      </c>
      <c r="L123" s="33" t="s">
        <v>379</v>
      </c>
      <c r="M123" s="33" t="s">
        <v>804</v>
      </c>
      <c r="N123" s="14" t="s">
        <v>648</v>
      </c>
      <c r="O123" s="14" t="s">
        <v>649</v>
      </c>
      <c r="P123" s="14" t="s">
        <v>650</v>
      </c>
      <c r="Q123" s="14">
        <v>0</v>
      </c>
      <c r="R123" s="14">
        <f>IF(LEN(I123)&gt;=20, "Text too Long", LEN(I123))</f>
        <v>16</v>
      </c>
    </row>
    <row r="124" spans="2:18">
      <c r="B124" s="14">
        <f t="shared" si="0"/>
        <v>17002</v>
      </c>
      <c r="C124" s="14">
        <v>1</v>
      </c>
      <c r="D124" s="14"/>
      <c r="E124" s="14"/>
      <c r="F124" s="14"/>
      <c r="G124" s="14">
        <v>1</v>
      </c>
      <c r="H124" s="14">
        <v>17002</v>
      </c>
      <c r="I124" s="16" t="s">
        <v>213</v>
      </c>
      <c r="J124" s="33" t="s">
        <v>2339</v>
      </c>
      <c r="K124" s="33" t="s">
        <v>2340</v>
      </c>
      <c r="L124" s="33" t="s">
        <v>2341</v>
      </c>
      <c r="M124" s="33" t="s">
        <v>2342</v>
      </c>
      <c r="N124" s="14" t="s">
        <v>2343</v>
      </c>
      <c r="O124" s="14" t="s">
        <v>2344</v>
      </c>
      <c r="P124" s="14" t="s">
        <v>2345</v>
      </c>
      <c r="Q124" s="14">
        <v>0</v>
      </c>
      <c r="R124" s="14">
        <f>IF(LEN(I124)&gt;=333, "Text too Long", LEN(I124))</f>
        <v>93</v>
      </c>
    </row>
    <row r="125" spans="2:18">
      <c r="B125" s="14">
        <f t="shared" si="0"/>
        <v>15003</v>
      </c>
      <c r="C125" s="14">
        <v>1</v>
      </c>
      <c r="D125" s="14"/>
      <c r="E125" s="14"/>
      <c r="F125" s="14"/>
      <c r="G125" s="14">
        <v>1</v>
      </c>
      <c r="H125" s="14">
        <v>15003</v>
      </c>
      <c r="I125" s="16" t="s">
        <v>214</v>
      </c>
      <c r="J125" s="33" t="s">
        <v>383</v>
      </c>
      <c r="K125" s="33" t="s">
        <v>381</v>
      </c>
      <c r="L125" s="33" t="s">
        <v>382</v>
      </c>
      <c r="M125" s="33" t="s">
        <v>568</v>
      </c>
      <c r="N125" s="14" t="s">
        <v>651</v>
      </c>
      <c r="O125" s="14" t="s">
        <v>652</v>
      </c>
      <c r="P125" s="14" t="s">
        <v>653</v>
      </c>
      <c r="Q125" s="14">
        <v>0</v>
      </c>
      <c r="R125" s="14">
        <f>IF(LEN(I125)&gt;=10, "Text too Long", LEN(I125))</f>
        <v>7</v>
      </c>
    </row>
    <row r="126" spans="2:18">
      <c r="B126" s="14">
        <f t="shared" si="0"/>
        <v>16003</v>
      </c>
      <c r="C126" s="14">
        <v>1</v>
      </c>
      <c r="D126" s="14"/>
      <c r="E126" s="14"/>
      <c r="F126" s="14"/>
      <c r="G126" s="14">
        <v>1</v>
      </c>
      <c r="H126" s="14">
        <v>16003</v>
      </c>
      <c r="I126" s="16" t="s">
        <v>85</v>
      </c>
      <c r="J126" s="33" t="s">
        <v>386</v>
      </c>
      <c r="K126" s="33" t="s">
        <v>384</v>
      </c>
      <c r="L126" s="33" t="s">
        <v>385</v>
      </c>
      <c r="M126" s="33" t="s">
        <v>805</v>
      </c>
      <c r="N126" s="14" t="s">
        <v>654</v>
      </c>
      <c r="O126" s="14" t="s">
        <v>655</v>
      </c>
      <c r="P126" s="14" t="s">
        <v>656</v>
      </c>
      <c r="Q126" s="14">
        <v>0</v>
      </c>
      <c r="R126" s="14">
        <f>IF(LEN(I126)&gt;=20, "Text too Long", LEN(I126))</f>
        <v>12</v>
      </c>
    </row>
    <row r="127" spans="2:18">
      <c r="B127" s="14">
        <f t="shared" si="0"/>
        <v>17003</v>
      </c>
      <c r="C127" s="14">
        <v>1</v>
      </c>
      <c r="D127" s="14"/>
      <c r="E127" s="14"/>
      <c r="F127" s="14"/>
      <c r="G127" s="14">
        <v>1</v>
      </c>
      <c r="H127" s="14">
        <v>17003</v>
      </c>
      <c r="I127" s="16" t="s">
        <v>129</v>
      </c>
      <c r="J127" s="33" t="s">
        <v>2346</v>
      </c>
      <c r="K127" s="33" t="s">
        <v>3357</v>
      </c>
      <c r="L127" s="33" t="s">
        <v>2347</v>
      </c>
      <c r="M127" s="33" t="s">
        <v>2348</v>
      </c>
      <c r="N127" s="14" t="s">
        <v>2349</v>
      </c>
      <c r="O127" s="14" t="s">
        <v>2350</v>
      </c>
      <c r="P127" s="14" t="s">
        <v>2351</v>
      </c>
      <c r="Q127" s="14">
        <v>0</v>
      </c>
      <c r="R127" s="14">
        <f>IF(LEN(I127)&gt;=333, "Text too Long", LEN(I127))</f>
        <v>108</v>
      </c>
    </row>
    <row r="128" spans="2:18">
      <c r="B128" s="14">
        <f t="shared" si="0"/>
        <v>15004</v>
      </c>
      <c r="C128" s="14">
        <v>1</v>
      </c>
      <c r="D128" s="14"/>
      <c r="E128" s="14"/>
      <c r="F128" s="14"/>
      <c r="G128" s="14">
        <v>1</v>
      </c>
      <c r="H128" s="14">
        <v>15004</v>
      </c>
      <c r="I128" s="16" t="s">
        <v>215</v>
      </c>
      <c r="J128" s="33" t="s">
        <v>390</v>
      </c>
      <c r="K128" s="33" t="s">
        <v>387</v>
      </c>
      <c r="L128" s="33" t="s">
        <v>388</v>
      </c>
      <c r="M128" s="33" t="s">
        <v>389</v>
      </c>
      <c r="N128" s="14" t="s">
        <v>657</v>
      </c>
      <c r="O128" s="14" t="s">
        <v>658</v>
      </c>
      <c r="P128" s="14" t="s">
        <v>659</v>
      </c>
      <c r="Q128" s="14">
        <v>0</v>
      </c>
      <c r="R128" s="14">
        <f>IF(LEN(I128)&gt;=10, "Text too Long", LEN(I128))</f>
        <v>7</v>
      </c>
    </row>
    <row r="129" spans="2:18">
      <c r="B129" s="14">
        <f t="shared" si="0"/>
        <v>16004</v>
      </c>
      <c r="C129" s="14">
        <v>1</v>
      </c>
      <c r="D129" s="14"/>
      <c r="E129" s="14"/>
      <c r="F129" s="14"/>
      <c r="G129" s="14">
        <v>1</v>
      </c>
      <c r="H129" s="14">
        <v>16004</v>
      </c>
      <c r="I129" s="16" t="s">
        <v>86</v>
      </c>
      <c r="J129" s="33" t="s">
        <v>393</v>
      </c>
      <c r="K129" s="33" t="s">
        <v>391</v>
      </c>
      <c r="L129" s="33" t="s">
        <v>392</v>
      </c>
      <c r="M129" s="33" t="s">
        <v>806</v>
      </c>
      <c r="N129" s="14" t="s">
        <v>660</v>
      </c>
      <c r="O129" s="14" t="s">
        <v>661</v>
      </c>
      <c r="P129" s="14" t="s">
        <v>662</v>
      </c>
      <c r="Q129" s="14">
        <v>0</v>
      </c>
      <c r="R129" s="14">
        <f>IF(LEN(I129)&gt;=20, "Text too Long", LEN(I129))</f>
        <v>13</v>
      </c>
    </row>
    <row r="130" spans="2:18">
      <c r="B130" s="14">
        <f t="shared" si="0"/>
        <v>17004</v>
      </c>
      <c r="C130" s="14">
        <v>1</v>
      </c>
      <c r="D130" s="14"/>
      <c r="E130" s="14"/>
      <c r="F130" s="14"/>
      <c r="G130" s="14">
        <v>1</v>
      </c>
      <c r="H130" s="14">
        <v>17004</v>
      </c>
      <c r="I130" s="16" t="s">
        <v>216</v>
      </c>
      <c r="J130" s="33" t="s">
        <v>2352</v>
      </c>
      <c r="K130" s="33" t="s">
        <v>3358</v>
      </c>
      <c r="L130" s="33" t="s">
        <v>2353</v>
      </c>
      <c r="M130" s="33" t="s">
        <v>2354</v>
      </c>
      <c r="N130" s="14" t="s">
        <v>2355</v>
      </c>
      <c r="O130" s="14" t="s">
        <v>2356</v>
      </c>
      <c r="P130" s="14" t="s">
        <v>2357</v>
      </c>
      <c r="Q130" s="14">
        <v>0</v>
      </c>
      <c r="R130" s="14">
        <f>IF(LEN(I130)&gt;=333, "Text too Long", LEN(I130))</f>
        <v>108</v>
      </c>
    </row>
    <row r="131" spans="2:18">
      <c r="B131" s="14">
        <f t="shared" si="0"/>
        <v>15005</v>
      </c>
      <c r="C131" s="14">
        <v>1</v>
      </c>
      <c r="D131" s="14"/>
      <c r="E131" s="14"/>
      <c r="F131" s="14"/>
      <c r="G131" s="14">
        <v>1</v>
      </c>
      <c r="H131" s="14">
        <v>15005</v>
      </c>
      <c r="I131" s="16" t="s">
        <v>69</v>
      </c>
      <c r="J131" s="33" t="s">
        <v>396</v>
      </c>
      <c r="K131" s="33" t="s">
        <v>394</v>
      </c>
      <c r="L131" s="33" t="s">
        <v>395</v>
      </c>
      <c r="M131" s="33" t="s">
        <v>394</v>
      </c>
      <c r="N131" s="14" t="s">
        <v>663</v>
      </c>
      <c r="O131" s="14" t="s">
        <v>664</v>
      </c>
      <c r="P131" s="14" t="s">
        <v>665</v>
      </c>
      <c r="Q131" s="14">
        <v>0</v>
      </c>
      <c r="R131" s="14">
        <f>IF(LEN(I131)&gt;=10, "Text too Long", LEN(I131))</f>
        <v>5</v>
      </c>
    </row>
    <row r="132" spans="2:18">
      <c r="B132" s="14">
        <f t="shared" si="0"/>
        <v>16005</v>
      </c>
      <c r="C132" s="14">
        <v>1</v>
      </c>
      <c r="D132" s="14"/>
      <c r="E132" s="14"/>
      <c r="F132" s="14"/>
      <c r="G132" s="14">
        <v>1</v>
      </c>
      <c r="H132" s="14">
        <v>16005</v>
      </c>
      <c r="I132" s="16" t="s">
        <v>220</v>
      </c>
      <c r="J132" s="33" t="s">
        <v>399</v>
      </c>
      <c r="K132" s="33" t="s">
        <v>397</v>
      </c>
      <c r="L132" s="33" t="s">
        <v>398</v>
      </c>
      <c r="M132" s="33" t="s">
        <v>807</v>
      </c>
      <c r="N132" s="14" t="s">
        <v>666</v>
      </c>
      <c r="O132" s="14" t="s">
        <v>667</v>
      </c>
      <c r="P132" s="14" t="s">
        <v>668</v>
      </c>
      <c r="Q132" s="14">
        <v>0</v>
      </c>
      <c r="R132" s="14">
        <f>IF(LEN(I132)&gt;=20, "Text too Long", LEN(I132))</f>
        <v>16</v>
      </c>
    </row>
    <row r="133" spans="2:18">
      <c r="B133" s="14">
        <f t="shared" si="0"/>
        <v>17005</v>
      </c>
      <c r="C133" s="14">
        <v>1</v>
      </c>
      <c r="D133" s="14"/>
      <c r="E133" s="14"/>
      <c r="F133" s="14"/>
      <c r="G133" s="14">
        <v>1</v>
      </c>
      <c r="H133" s="14">
        <v>17005</v>
      </c>
      <c r="I133" s="16" t="s">
        <v>217</v>
      </c>
      <c r="J133" s="33" t="s">
        <v>527</v>
      </c>
      <c r="K133" s="33" t="s">
        <v>400</v>
      </c>
      <c r="L133" s="33" t="s">
        <v>401</v>
      </c>
      <c r="M133" s="33" t="s">
        <v>808</v>
      </c>
      <c r="N133" s="14" t="s">
        <v>669</v>
      </c>
      <c r="O133" s="14" t="s">
        <v>670</v>
      </c>
      <c r="P133" s="14" t="s">
        <v>671</v>
      </c>
      <c r="Q133" s="14">
        <v>0</v>
      </c>
      <c r="R133" s="14">
        <f>IF(LEN(I133)&gt;=333, "Text too Long", LEN(I133))</f>
        <v>78</v>
      </c>
    </row>
    <row r="134" spans="2:18">
      <c r="B134" s="14">
        <f t="shared" si="0"/>
        <v>15006</v>
      </c>
      <c r="C134" s="14">
        <v>1</v>
      </c>
      <c r="D134" s="14"/>
      <c r="E134" s="14"/>
      <c r="F134" s="14"/>
      <c r="G134" s="14">
        <v>1</v>
      </c>
      <c r="H134" s="14">
        <v>15006</v>
      </c>
      <c r="I134" s="16" t="s">
        <v>218</v>
      </c>
      <c r="J134" s="33" t="s">
        <v>405</v>
      </c>
      <c r="K134" s="33" t="s">
        <v>402</v>
      </c>
      <c r="L134" s="33" t="s">
        <v>403</v>
      </c>
      <c r="M134" s="33" t="s">
        <v>404</v>
      </c>
      <c r="N134" s="14" t="s">
        <v>672</v>
      </c>
      <c r="O134" s="14" t="s">
        <v>673</v>
      </c>
      <c r="P134" s="14" t="s">
        <v>674</v>
      </c>
      <c r="Q134" s="14">
        <v>0</v>
      </c>
      <c r="R134" s="14">
        <f>IF(LEN(I134)&gt;=10, "Text too Long", LEN(I134))</f>
        <v>7</v>
      </c>
    </row>
    <row r="135" spans="2:18">
      <c r="B135" s="14">
        <f t="shared" si="0"/>
        <v>16006</v>
      </c>
      <c r="C135" s="14">
        <v>1</v>
      </c>
      <c r="D135" s="14"/>
      <c r="E135" s="14"/>
      <c r="F135" s="14"/>
      <c r="G135" s="14">
        <v>1</v>
      </c>
      <c r="H135" s="14">
        <v>16006</v>
      </c>
      <c r="I135" s="16" t="s">
        <v>219</v>
      </c>
      <c r="J135" s="33" t="s">
        <v>3359</v>
      </c>
      <c r="K135" s="33" t="s">
        <v>3360</v>
      </c>
      <c r="L135" s="33" t="s">
        <v>3361</v>
      </c>
      <c r="M135" s="33" t="s">
        <v>3362</v>
      </c>
      <c r="N135" s="14" t="s">
        <v>3363</v>
      </c>
      <c r="O135" s="14" t="s">
        <v>3364</v>
      </c>
      <c r="P135" s="14" t="s">
        <v>3365</v>
      </c>
      <c r="Q135" s="14">
        <v>0</v>
      </c>
      <c r="R135" s="14">
        <f>IF(LEN(I135)&gt;=20, "Text too Long", LEN(I135))</f>
        <v>16</v>
      </c>
    </row>
    <row r="136" spans="2:18">
      <c r="B136" s="14">
        <f t="shared" ref="B136:B308" si="8">H136</f>
        <v>17006</v>
      </c>
      <c r="C136" s="14">
        <v>1</v>
      </c>
      <c r="D136" s="14"/>
      <c r="E136" s="14"/>
      <c r="F136" s="14"/>
      <c r="G136" s="14">
        <v>1</v>
      </c>
      <c r="H136" s="14">
        <v>17006</v>
      </c>
      <c r="I136" s="16" t="s">
        <v>221</v>
      </c>
      <c r="J136" s="33" t="s">
        <v>1705</v>
      </c>
      <c r="K136" s="33" t="s">
        <v>1706</v>
      </c>
      <c r="L136" s="33" t="s">
        <v>2358</v>
      </c>
      <c r="M136" s="33" t="s">
        <v>1707</v>
      </c>
      <c r="N136" s="14" t="s">
        <v>1708</v>
      </c>
      <c r="O136" s="14" t="s">
        <v>1709</v>
      </c>
      <c r="P136" s="14" t="s">
        <v>1710</v>
      </c>
      <c r="Q136" s="14">
        <v>0</v>
      </c>
      <c r="R136" s="14">
        <f>IF(LEN(I136)&gt;=333, "Text too Long", LEN(I136))</f>
        <v>76</v>
      </c>
    </row>
    <row r="137" spans="2:18">
      <c r="B137" s="14">
        <f t="shared" si="8"/>
        <v>15007</v>
      </c>
      <c r="C137" s="14">
        <v>1</v>
      </c>
      <c r="D137" s="14"/>
      <c r="E137" s="14"/>
      <c r="F137" s="14"/>
      <c r="G137" s="14">
        <v>1</v>
      </c>
      <c r="H137" s="14">
        <v>15007</v>
      </c>
      <c r="I137" s="16" t="s">
        <v>222</v>
      </c>
      <c r="J137" s="33" t="s">
        <v>409</v>
      </c>
      <c r="K137" s="33" t="s">
        <v>406</v>
      </c>
      <c r="L137" s="33" t="s">
        <v>407</v>
      </c>
      <c r="M137" s="33" t="s">
        <v>408</v>
      </c>
      <c r="N137" s="14" t="s">
        <v>675</v>
      </c>
      <c r="O137" s="14" t="s">
        <v>676</v>
      </c>
      <c r="P137" s="14" t="s">
        <v>677</v>
      </c>
      <c r="Q137" s="14">
        <v>0</v>
      </c>
      <c r="R137" s="14">
        <f>IF(LEN(I137)&gt;=10, "Text too Long", LEN(I137))</f>
        <v>7</v>
      </c>
    </row>
    <row r="138" spans="2:18">
      <c r="B138" s="14">
        <f t="shared" si="8"/>
        <v>16007</v>
      </c>
      <c r="C138" s="14">
        <v>1</v>
      </c>
      <c r="D138" s="14"/>
      <c r="E138" s="14"/>
      <c r="F138" s="14"/>
      <c r="G138" s="14">
        <v>1</v>
      </c>
      <c r="H138" s="14">
        <v>16007</v>
      </c>
      <c r="I138" s="16" t="s">
        <v>223</v>
      </c>
      <c r="J138" s="33" t="s">
        <v>3366</v>
      </c>
      <c r="K138" s="33" t="s">
        <v>3367</v>
      </c>
      <c r="L138" s="33" t="s">
        <v>3368</v>
      </c>
      <c r="M138" s="33" t="s">
        <v>3369</v>
      </c>
      <c r="N138" s="14" t="s">
        <v>3370</v>
      </c>
      <c r="O138" s="14" t="s">
        <v>3371</v>
      </c>
      <c r="P138" s="14" t="s">
        <v>3372</v>
      </c>
      <c r="Q138" s="14">
        <v>0</v>
      </c>
      <c r="R138" s="14">
        <f>IF(LEN(I138)&gt;=20, "Text too Long", LEN(I138))</f>
        <v>16</v>
      </c>
    </row>
    <row r="139" spans="2:18">
      <c r="B139" s="14">
        <f t="shared" si="8"/>
        <v>17007</v>
      </c>
      <c r="C139" s="14">
        <v>1</v>
      </c>
      <c r="D139" s="14"/>
      <c r="E139" s="14"/>
      <c r="F139" s="14"/>
      <c r="G139" s="14">
        <v>1</v>
      </c>
      <c r="H139" s="14">
        <v>17007</v>
      </c>
      <c r="I139" s="16" t="s">
        <v>224</v>
      </c>
      <c r="J139" s="33" t="s">
        <v>2359</v>
      </c>
      <c r="K139" s="33" t="s">
        <v>3373</v>
      </c>
      <c r="L139" s="33" t="s">
        <v>2360</v>
      </c>
      <c r="M139" s="33" t="s">
        <v>2361</v>
      </c>
      <c r="N139" s="14" t="s">
        <v>2362</v>
      </c>
      <c r="O139" s="14" t="s">
        <v>2363</v>
      </c>
      <c r="P139" s="14" t="s">
        <v>2364</v>
      </c>
      <c r="Q139" s="14">
        <v>0</v>
      </c>
      <c r="R139" s="14">
        <f>IF(LEN(I139)&gt;=333, "Text too Long", LEN(I139))</f>
        <v>84</v>
      </c>
    </row>
    <row r="140" spans="2:18">
      <c r="B140" s="14">
        <f t="shared" si="8"/>
        <v>15008</v>
      </c>
      <c r="C140" s="14">
        <v>1</v>
      </c>
      <c r="D140" s="14"/>
      <c r="E140" s="14"/>
      <c r="F140" s="14"/>
      <c r="G140" s="14">
        <v>1</v>
      </c>
      <c r="H140" s="14">
        <v>15008</v>
      </c>
      <c r="I140" s="16" t="s">
        <v>225</v>
      </c>
      <c r="J140" s="33" t="s">
        <v>2365</v>
      </c>
      <c r="K140" s="33" t="s">
        <v>2366</v>
      </c>
      <c r="L140" s="33" t="s">
        <v>2367</v>
      </c>
      <c r="M140" s="33" t="s">
        <v>2368</v>
      </c>
      <c r="N140" s="14" t="s">
        <v>2369</v>
      </c>
      <c r="O140" s="14" t="s">
        <v>2370</v>
      </c>
      <c r="P140" s="14" t="s">
        <v>2371</v>
      </c>
      <c r="Q140" s="14">
        <v>0</v>
      </c>
      <c r="R140" s="14">
        <f>IF(LEN(I140)&gt;=10, "Text too Long", LEN(I140))</f>
        <v>7</v>
      </c>
    </row>
    <row r="141" spans="2:18">
      <c r="B141" s="14">
        <f t="shared" si="8"/>
        <v>16008</v>
      </c>
      <c r="C141" s="14">
        <v>1</v>
      </c>
      <c r="D141" s="14"/>
      <c r="E141" s="14"/>
      <c r="F141" s="14"/>
      <c r="G141" s="14">
        <v>1</v>
      </c>
      <c r="H141" s="14">
        <v>16008</v>
      </c>
      <c r="I141" s="16" t="s">
        <v>226</v>
      </c>
      <c r="J141" s="33" t="s">
        <v>1797</v>
      </c>
      <c r="K141" s="33" t="s">
        <v>1798</v>
      </c>
      <c r="L141" s="33" t="s">
        <v>1799</v>
      </c>
      <c r="M141" s="33" t="s">
        <v>2372</v>
      </c>
      <c r="N141" s="14" t="s">
        <v>2373</v>
      </c>
      <c r="O141" s="14" t="s">
        <v>2374</v>
      </c>
      <c r="P141" s="14" t="s">
        <v>2375</v>
      </c>
      <c r="Q141" s="14">
        <v>0</v>
      </c>
      <c r="R141" s="14">
        <f>IF(LEN(I141)&gt;=20, "Text too Long", LEN(I141))</f>
        <v>15</v>
      </c>
    </row>
    <row r="142" spans="2:18">
      <c r="B142" s="14">
        <f t="shared" si="8"/>
        <v>17008</v>
      </c>
      <c r="C142" s="14">
        <v>1</v>
      </c>
      <c r="D142" s="14"/>
      <c r="E142" s="14"/>
      <c r="F142" s="14"/>
      <c r="G142" s="14">
        <v>1</v>
      </c>
      <c r="H142" s="14">
        <v>17008</v>
      </c>
      <c r="I142" s="16" t="s">
        <v>227</v>
      </c>
      <c r="J142" s="33" t="s">
        <v>2376</v>
      </c>
      <c r="K142" s="33" t="s">
        <v>3374</v>
      </c>
      <c r="L142" s="33" t="s">
        <v>2377</v>
      </c>
      <c r="M142" s="33" t="s">
        <v>2378</v>
      </c>
      <c r="N142" s="14" t="s">
        <v>2379</v>
      </c>
      <c r="O142" s="14" t="s">
        <v>2380</v>
      </c>
      <c r="P142" s="14" t="s">
        <v>2381</v>
      </c>
      <c r="Q142" s="14">
        <v>0</v>
      </c>
      <c r="R142" s="14">
        <f>IF(LEN(I142)&gt;=333, "Text too Long", LEN(I142))</f>
        <v>84</v>
      </c>
    </row>
    <row r="143" spans="2:18">
      <c r="B143" s="14">
        <f t="shared" si="8"/>
        <v>15009</v>
      </c>
      <c r="C143" s="14">
        <v>1</v>
      </c>
      <c r="D143" s="14"/>
      <c r="E143" s="14"/>
      <c r="F143" s="14"/>
      <c r="G143" s="14">
        <v>1</v>
      </c>
      <c r="H143" s="14">
        <v>15009</v>
      </c>
      <c r="I143" s="16" t="s">
        <v>68</v>
      </c>
      <c r="J143" s="33" t="s">
        <v>367</v>
      </c>
      <c r="K143" s="33" t="s">
        <v>365</v>
      </c>
      <c r="L143" s="33" t="s">
        <v>410</v>
      </c>
      <c r="M143" s="33" t="s">
        <v>366</v>
      </c>
      <c r="N143" s="14" t="s">
        <v>636</v>
      </c>
      <c r="O143" s="14" t="s">
        <v>637</v>
      </c>
      <c r="P143" s="14" t="s">
        <v>638</v>
      </c>
      <c r="Q143" s="14">
        <v>0</v>
      </c>
      <c r="R143" s="14">
        <f>IF(LEN(I143)&gt;=10, "Text too Long", LEN(I143))</f>
        <v>5</v>
      </c>
    </row>
    <row r="144" spans="2:18">
      <c r="B144" s="14">
        <f t="shared" si="8"/>
        <v>16009</v>
      </c>
      <c r="C144" s="14">
        <v>1</v>
      </c>
      <c r="D144" s="14"/>
      <c r="E144" s="14"/>
      <c r="F144" s="14"/>
      <c r="G144" s="14">
        <v>1</v>
      </c>
      <c r="H144" s="14">
        <v>16009</v>
      </c>
      <c r="I144" s="16" t="s">
        <v>228</v>
      </c>
      <c r="J144" s="33" t="s">
        <v>411</v>
      </c>
      <c r="K144" s="33" t="s">
        <v>368</v>
      </c>
      <c r="L144" s="33" t="s">
        <v>369</v>
      </c>
      <c r="M144" s="33" t="s">
        <v>809</v>
      </c>
      <c r="N144" s="14" t="s">
        <v>678</v>
      </c>
      <c r="O144" s="14" t="s">
        <v>679</v>
      </c>
      <c r="P144" s="14" t="s">
        <v>680</v>
      </c>
      <c r="Q144" s="14">
        <v>0</v>
      </c>
      <c r="R144" s="14">
        <f>IF(LEN(I144)&gt;=20, "Text too Long", LEN(I144))</f>
        <v>15</v>
      </c>
    </row>
    <row r="145" spans="2:18">
      <c r="B145" s="14">
        <f t="shared" si="8"/>
        <v>17009</v>
      </c>
      <c r="C145" s="14">
        <v>1</v>
      </c>
      <c r="D145" s="14"/>
      <c r="E145" s="14"/>
      <c r="F145" s="14"/>
      <c r="G145" s="14">
        <v>1</v>
      </c>
      <c r="H145" s="14">
        <v>17009</v>
      </c>
      <c r="I145" s="16" t="s">
        <v>229</v>
      </c>
      <c r="J145" s="33" t="s">
        <v>414</v>
      </c>
      <c r="K145" s="33" t="s">
        <v>412</v>
      </c>
      <c r="L145" s="33" t="s">
        <v>413</v>
      </c>
      <c r="M145" s="33" t="s">
        <v>810</v>
      </c>
      <c r="N145" s="14" t="s">
        <v>681</v>
      </c>
      <c r="O145" s="14" t="s">
        <v>682</v>
      </c>
      <c r="P145" s="14" t="s">
        <v>683</v>
      </c>
      <c r="Q145" s="14">
        <v>0</v>
      </c>
      <c r="R145" s="14">
        <f>IF(LEN(I145)&gt;=333, "Text too Long", LEN(I145))</f>
        <v>80</v>
      </c>
    </row>
    <row r="146" spans="2:18">
      <c r="B146" s="14">
        <f t="shared" si="8"/>
        <v>15010</v>
      </c>
      <c r="C146" s="14">
        <v>1</v>
      </c>
      <c r="D146" s="14"/>
      <c r="E146" s="14"/>
      <c r="F146" s="14"/>
      <c r="G146" s="14">
        <v>1</v>
      </c>
      <c r="H146" s="14">
        <v>15010</v>
      </c>
      <c r="I146" s="16" t="s">
        <v>239</v>
      </c>
      <c r="J146" s="33" t="s">
        <v>417</v>
      </c>
      <c r="K146" s="33" t="s">
        <v>415</v>
      </c>
      <c r="L146" s="33" t="s">
        <v>416</v>
      </c>
      <c r="M146" s="33" t="s">
        <v>415</v>
      </c>
      <c r="N146" s="14" t="s">
        <v>684</v>
      </c>
      <c r="O146" s="14" t="s">
        <v>685</v>
      </c>
      <c r="P146" s="14" t="s">
        <v>686</v>
      </c>
      <c r="Q146" s="14">
        <v>0</v>
      </c>
      <c r="R146" s="14">
        <f>IF(LEN(I146)&gt;=10, "Text too Long", LEN(I146))</f>
        <v>5</v>
      </c>
    </row>
    <row r="147" spans="2:18">
      <c r="B147" s="14">
        <f t="shared" si="8"/>
        <v>16010</v>
      </c>
      <c r="C147" s="14">
        <v>1</v>
      </c>
      <c r="D147" s="14"/>
      <c r="E147" s="14"/>
      <c r="F147" s="14"/>
      <c r="G147" s="14">
        <v>1</v>
      </c>
      <c r="H147" s="14">
        <v>16010</v>
      </c>
      <c r="I147" s="16" t="s">
        <v>240</v>
      </c>
      <c r="J147" s="33" t="s">
        <v>528</v>
      </c>
      <c r="K147" s="33" t="s">
        <v>418</v>
      </c>
      <c r="L147" s="33" t="s">
        <v>419</v>
      </c>
      <c r="M147" s="33" t="s">
        <v>420</v>
      </c>
      <c r="N147" s="14" t="s">
        <v>687</v>
      </c>
      <c r="O147" s="14" t="s">
        <v>688</v>
      </c>
      <c r="P147" s="14" t="s">
        <v>689</v>
      </c>
      <c r="Q147" s="14">
        <v>0</v>
      </c>
      <c r="R147" s="14">
        <f>IF(LEN(I147)&gt;=20, "Text too Long", LEN(I147))</f>
        <v>12</v>
      </c>
    </row>
    <row r="148" spans="2:18">
      <c r="B148" s="14">
        <f t="shared" si="8"/>
        <v>17010</v>
      </c>
      <c r="C148" s="14">
        <v>1</v>
      </c>
      <c r="D148" s="14"/>
      <c r="E148" s="14"/>
      <c r="F148" s="14"/>
      <c r="G148" s="14">
        <v>1</v>
      </c>
      <c r="H148" s="14">
        <v>17010</v>
      </c>
      <c r="I148" s="16" t="s">
        <v>241</v>
      </c>
      <c r="J148" s="33" t="s">
        <v>2382</v>
      </c>
      <c r="K148" s="33" t="s">
        <v>2383</v>
      </c>
      <c r="L148" s="33" t="s">
        <v>2384</v>
      </c>
      <c r="M148" s="33" t="s">
        <v>2385</v>
      </c>
      <c r="N148" s="14" t="s">
        <v>2386</v>
      </c>
      <c r="O148" s="14" t="s">
        <v>2387</v>
      </c>
      <c r="P148" s="14" t="s">
        <v>2388</v>
      </c>
      <c r="Q148" s="14">
        <v>0</v>
      </c>
      <c r="R148" s="14">
        <f t="shared" ref="R148:R160" si="9">IF(LEN(I148)&gt;=333, "Text too Long", LEN(I148))</f>
        <v>127</v>
      </c>
    </row>
    <row r="149" spans="2:18">
      <c r="B149" s="14">
        <v>15101</v>
      </c>
      <c r="C149" s="14">
        <v>1</v>
      </c>
      <c r="D149" s="14"/>
      <c r="E149" s="14"/>
      <c r="F149" s="14"/>
      <c r="G149" s="14">
        <v>1</v>
      </c>
      <c r="H149" s="14">
        <v>15101</v>
      </c>
      <c r="I149" s="16" t="s">
        <v>1711</v>
      </c>
      <c r="J149" s="33" t="s">
        <v>1712</v>
      </c>
      <c r="K149" s="33" t="s">
        <v>1713</v>
      </c>
      <c r="L149" s="33" t="s">
        <v>1714</v>
      </c>
      <c r="M149" s="33" t="s">
        <v>1715</v>
      </c>
      <c r="N149" s="14" t="s">
        <v>1716</v>
      </c>
      <c r="O149" s="14" t="s">
        <v>1717</v>
      </c>
      <c r="P149" s="14" t="s">
        <v>1718</v>
      </c>
      <c r="Q149" s="14">
        <v>0</v>
      </c>
      <c r="R149" s="14">
        <f t="shared" si="9"/>
        <v>7</v>
      </c>
    </row>
    <row r="150" spans="2:18">
      <c r="B150" s="14">
        <v>15102</v>
      </c>
      <c r="C150" s="14">
        <v>1</v>
      </c>
      <c r="D150" s="14"/>
      <c r="E150" s="14"/>
      <c r="F150" s="14"/>
      <c r="G150" s="14">
        <v>1</v>
      </c>
      <c r="H150" s="14">
        <v>15102</v>
      </c>
      <c r="I150" s="16" t="s">
        <v>1719</v>
      </c>
      <c r="J150" s="33" t="s">
        <v>1720</v>
      </c>
      <c r="K150" s="33" t="s">
        <v>1721</v>
      </c>
      <c r="L150" s="33" t="s">
        <v>1722</v>
      </c>
      <c r="M150" s="33" t="s">
        <v>1723</v>
      </c>
      <c r="N150" s="14" t="s">
        <v>1724</v>
      </c>
      <c r="O150" s="14" t="s">
        <v>1725</v>
      </c>
      <c r="P150" s="14" t="s">
        <v>3375</v>
      </c>
      <c r="Q150" s="14">
        <v>0</v>
      </c>
      <c r="R150" s="14">
        <f t="shared" si="9"/>
        <v>23</v>
      </c>
    </row>
    <row r="151" spans="2:18">
      <c r="B151" s="14">
        <v>15103</v>
      </c>
      <c r="C151" s="14">
        <v>1</v>
      </c>
      <c r="D151" s="14"/>
      <c r="E151" s="14"/>
      <c r="F151" s="14"/>
      <c r="G151" s="14">
        <v>1</v>
      </c>
      <c r="H151" s="14">
        <v>15103</v>
      </c>
      <c r="I151" s="16" t="s">
        <v>1726</v>
      </c>
      <c r="J151" s="33" t="s">
        <v>1727</v>
      </c>
      <c r="K151" s="33" t="s">
        <v>2389</v>
      </c>
      <c r="L151" s="33" t="s">
        <v>1728</v>
      </c>
      <c r="M151" s="33" t="s">
        <v>1729</v>
      </c>
      <c r="N151" s="14" t="s">
        <v>2390</v>
      </c>
      <c r="O151" s="14" t="s">
        <v>2391</v>
      </c>
      <c r="P151" s="14" t="s">
        <v>3376</v>
      </c>
      <c r="Q151" s="14">
        <v>0</v>
      </c>
      <c r="R151" s="14">
        <f t="shared" si="9"/>
        <v>139</v>
      </c>
    </row>
    <row r="152" spans="2:18">
      <c r="B152" s="14">
        <v>15201</v>
      </c>
      <c r="C152" s="14">
        <v>1</v>
      </c>
      <c r="D152" s="14"/>
      <c r="E152" s="14"/>
      <c r="F152" s="14"/>
      <c r="G152" s="14">
        <v>1</v>
      </c>
      <c r="H152" s="14">
        <v>15201</v>
      </c>
      <c r="I152" s="16" t="s">
        <v>1711</v>
      </c>
      <c r="J152" s="33" t="s">
        <v>1712</v>
      </c>
      <c r="K152" s="33" t="s">
        <v>1713</v>
      </c>
      <c r="L152" s="33" t="s">
        <v>1714</v>
      </c>
      <c r="M152" s="33" t="s">
        <v>1715</v>
      </c>
      <c r="N152" s="14" t="s">
        <v>1716</v>
      </c>
      <c r="O152" s="14" t="s">
        <v>1717</v>
      </c>
      <c r="P152" s="14" t="s">
        <v>1718</v>
      </c>
      <c r="Q152" s="14">
        <v>0</v>
      </c>
      <c r="R152" s="14">
        <f t="shared" si="9"/>
        <v>7</v>
      </c>
    </row>
    <row r="153" spans="2:18">
      <c r="B153" s="14">
        <v>15202</v>
      </c>
      <c r="C153" s="14">
        <v>1</v>
      </c>
      <c r="D153" s="14"/>
      <c r="E153" s="14"/>
      <c r="F153" s="14"/>
      <c r="G153" s="14">
        <v>1</v>
      </c>
      <c r="H153" s="14">
        <v>15202</v>
      </c>
      <c r="I153" s="16" t="s">
        <v>1730</v>
      </c>
      <c r="J153" s="33" t="s">
        <v>1731</v>
      </c>
      <c r="K153" s="33" t="s">
        <v>1732</v>
      </c>
      <c r="L153" s="33" t="s">
        <v>1733</v>
      </c>
      <c r="M153" s="33" t="s">
        <v>1734</v>
      </c>
      <c r="N153" s="14" t="s">
        <v>1735</v>
      </c>
      <c r="O153" s="14" t="s">
        <v>1736</v>
      </c>
      <c r="P153" s="14" t="s">
        <v>3377</v>
      </c>
      <c r="Q153" s="14">
        <v>0</v>
      </c>
      <c r="R153" s="14">
        <f t="shared" si="9"/>
        <v>17</v>
      </c>
    </row>
    <row r="154" spans="2:18">
      <c r="B154" s="14">
        <v>15203</v>
      </c>
      <c r="C154" s="14">
        <v>1</v>
      </c>
      <c r="D154" s="14"/>
      <c r="E154" s="14"/>
      <c r="F154" s="14"/>
      <c r="G154" s="14">
        <v>1</v>
      </c>
      <c r="H154" s="14">
        <v>15203</v>
      </c>
      <c r="I154" s="16" t="s">
        <v>1737</v>
      </c>
      <c r="J154" s="33" t="s">
        <v>1738</v>
      </c>
      <c r="K154" s="33" t="s">
        <v>2392</v>
      </c>
      <c r="L154" s="33" t="s">
        <v>1739</v>
      </c>
      <c r="M154" s="33" t="s">
        <v>1740</v>
      </c>
      <c r="N154" s="14" t="s">
        <v>2393</v>
      </c>
      <c r="O154" s="14" t="s">
        <v>1741</v>
      </c>
      <c r="P154" s="14" t="s">
        <v>3378</v>
      </c>
      <c r="Q154" s="14">
        <v>0</v>
      </c>
      <c r="R154" s="14">
        <f t="shared" si="9"/>
        <v>83</v>
      </c>
    </row>
    <row r="155" spans="2:18">
      <c r="B155" s="14">
        <v>15301</v>
      </c>
      <c r="C155" s="14">
        <v>1</v>
      </c>
      <c r="D155" s="14"/>
      <c r="E155" s="14"/>
      <c r="F155" s="14"/>
      <c r="G155" s="14">
        <v>1</v>
      </c>
      <c r="H155" s="14">
        <v>15301</v>
      </c>
      <c r="I155" s="16" t="s">
        <v>1711</v>
      </c>
      <c r="J155" s="33" t="s">
        <v>1712</v>
      </c>
      <c r="K155" s="33" t="s">
        <v>1713</v>
      </c>
      <c r="L155" s="33" t="s">
        <v>1714</v>
      </c>
      <c r="M155" s="33" t="s">
        <v>1715</v>
      </c>
      <c r="N155" s="14" t="s">
        <v>1716</v>
      </c>
      <c r="O155" s="14" t="s">
        <v>1717</v>
      </c>
      <c r="P155" s="14" t="s">
        <v>1718</v>
      </c>
      <c r="Q155" s="14">
        <v>0</v>
      </c>
      <c r="R155" s="14">
        <f t="shared" si="9"/>
        <v>7</v>
      </c>
    </row>
    <row r="156" spans="2:18">
      <c r="B156" s="14">
        <v>15302</v>
      </c>
      <c r="C156" s="14">
        <v>1</v>
      </c>
      <c r="D156" s="14"/>
      <c r="E156" s="14"/>
      <c r="F156" s="14"/>
      <c r="G156" s="14">
        <v>1</v>
      </c>
      <c r="H156" s="14">
        <v>15302</v>
      </c>
      <c r="I156" s="16" t="s">
        <v>1742</v>
      </c>
      <c r="J156" s="33" t="s">
        <v>1743</v>
      </c>
      <c r="K156" s="33" t="s">
        <v>1744</v>
      </c>
      <c r="L156" s="33" t="s">
        <v>1745</v>
      </c>
      <c r="M156" s="33" t="s">
        <v>1746</v>
      </c>
      <c r="N156" s="14" t="s">
        <v>1747</v>
      </c>
      <c r="O156" s="14" t="s">
        <v>1748</v>
      </c>
      <c r="P156" s="14" t="s">
        <v>1749</v>
      </c>
      <c r="Q156" s="14">
        <v>0</v>
      </c>
      <c r="R156" s="14">
        <f t="shared" si="9"/>
        <v>16</v>
      </c>
    </row>
    <row r="157" spans="2:18">
      <c r="B157" s="14">
        <v>15303</v>
      </c>
      <c r="C157" s="14">
        <v>1</v>
      </c>
      <c r="D157" s="14"/>
      <c r="E157" s="14"/>
      <c r="F157" s="14"/>
      <c r="G157" s="14">
        <v>1</v>
      </c>
      <c r="H157" s="14">
        <v>15303</v>
      </c>
      <c r="I157" s="16" t="s">
        <v>1750</v>
      </c>
      <c r="J157" s="33" t="s">
        <v>1751</v>
      </c>
      <c r="K157" s="33" t="s">
        <v>2394</v>
      </c>
      <c r="L157" s="33" t="s">
        <v>1752</v>
      </c>
      <c r="M157" s="33" t="s">
        <v>1753</v>
      </c>
      <c r="N157" s="14" t="s">
        <v>2395</v>
      </c>
      <c r="O157" s="14" t="s">
        <v>1754</v>
      </c>
      <c r="P157" s="14" t="s">
        <v>3379</v>
      </c>
      <c r="Q157" s="14">
        <v>0</v>
      </c>
      <c r="R157" s="14">
        <f t="shared" si="9"/>
        <v>134</v>
      </c>
    </row>
    <row r="158" spans="2:18">
      <c r="B158" s="14">
        <v>15401</v>
      </c>
      <c r="C158" s="14">
        <v>1</v>
      </c>
      <c r="D158" s="14"/>
      <c r="E158" s="14"/>
      <c r="F158" s="14"/>
      <c r="G158" s="14">
        <v>1</v>
      </c>
      <c r="H158" s="14">
        <v>15401</v>
      </c>
      <c r="I158" s="16" t="s">
        <v>1711</v>
      </c>
      <c r="J158" s="33" t="s">
        <v>1712</v>
      </c>
      <c r="K158" s="33" t="s">
        <v>1713</v>
      </c>
      <c r="L158" s="33" t="s">
        <v>1714</v>
      </c>
      <c r="M158" s="33" t="s">
        <v>1715</v>
      </c>
      <c r="N158" s="14" t="s">
        <v>1716</v>
      </c>
      <c r="O158" s="14" t="s">
        <v>1717</v>
      </c>
      <c r="P158" s="14" t="s">
        <v>1718</v>
      </c>
      <c r="Q158" s="14">
        <v>0</v>
      </c>
      <c r="R158" s="14">
        <f t="shared" si="9"/>
        <v>7</v>
      </c>
    </row>
    <row r="159" spans="2:18">
      <c r="B159" s="14">
        <v>15402</v>
      </c>
      <c r="C159" s="14">
        <v>1</v>
      </c>
      <c r="D159" s="14"/>
      <c r="E159" s="14"/>
      <c r="F159" s="14"/>
      <c r="G159" s="14">
        <v>1</v>
      </c>
      <c r="H159" s="14">
        <v>15402</v>
      </c>
      <c r="I159" s="16" t="s">
        <v>1755</v>
      </c>
      <c r="J159" s="33" t="s">
        <v>1756</v>
      </c>
      <c r="K159" s="33" t="s">
        <v>1757</v>
      </c>
      <c r="L159" s="33" t="s">
        <v>1758</v>
      </c>
      <c r="M159" s="33" t="s">
        <v>1759</v>
      </c>
      <c r="N159" s="14" t="s">
        <v>1760</v>
      </c>
      <c r="O159" s="14" t="s">
        <v>1761</v>
      </c>
      <c r="P159" s="14" t="s">
        <v>3380</v>
      </c>
      <c r="Q159" s="14">
        <v>0</v>
      </c>
      <c r="R159" s="14">
        <f t="shared" si="9"/>
        <v>16</v>
      </c>
    </row>
    <row r="160" spans="2:18">
      <c r="B160" s="14">
        <v>15403</v>
      </c>
      <c r="C160" s="14">
        <v>1</v>
      </c>
      <c r="D160" s="14"/>
      <c r="E160" s="14"/>
      <c r="F160" s="14"/>
      <c r="G160" s="14">
        <v>1</v>
      </c>
      <c r="H160" s="14">
        <v>15403</v>
      </c>
      <c r="I160" s="16" t="s">
        <v>1762</v>
      </c>
      <c r="J160" s="33" t="s">
        <v>1763</v>
      </c>
      <c r="K160" s="33" t="s">
        <v>2396</v>
      </c>
      <c r="L160" s="33" t="s">
        <v>1764</v>
      </c>
      <c r="M160" s="33" t="s">
        <v>1765</v>
      </c>
      <c r="N160" s="14" t="s">
        <v>2397</v>
      </c>
      <c r="O160" s="14" t="s">
        <v>1766</v>
      </c>
      <c r="P160" s="14" t="s">
        <v>3381</v>
      </c>
      <c r="Q160" s="14">
        <v>0</v>
      </c>
      <c r="R160" s="14">
        <f t="shared" si="9"/>
        <v>132</v>
      </c>
    </row>
    <row r="161" spans="2:18">
      <c r="B161" s="20">
        <f t="shared" si="8"/>
        <v>15011</v>
      </c>
      <c r="C161" s="20">
        <v>1</v>
      </c>
      <c r="D161" s="20"/>
      <c r="E161" s="20"/>
      <c r="F161" s="20"/>
      <c r="G161" s="20">
        <v>1</v>
      </c>
      <c r="H161" s="20">
        <v>15011</v>
      </c>
      <c r="I161" s="37" t="s">
        <v>74</v>
      </c>
      <c r="J161" s="38" t="s">
        <v>424</v>
      </c>
      <c r="K161" s="38" t="s">
        <v>421</v>
      </c>
      <c r="L161" s="38" t="s">
        <v>422</v>
      </c>
      <c r="M161" s="38" t="s">
        <v>423</v>
      </c>
      <c r="N161" s="14" t="s">
        <v>690</v>
      </c>
      <c r="O161" s="14" t="s">
        <v>691</v>
      </c>
      <c r="P161" s="14" t="s">
        <v>692</v>
      </c>
      <c r="Q161" s="20">
        <v>0</v>
      </c>
      <c r="R161" s="20">
        <f>IF(LEN(I161)&gt;=10, "Text too Long", LEN(I161))</f>
        <v>9</v>
      </c>
    </row>
    <row r="162" spans="2:18">
      <c r="B162" s="20">
        <f t="shared" si="8"/>
        <v>16011</v>
      </c>
      <c r="C162" s="20">
        <v>1</v>
      </c>
      <c r="D162" s="20"/>
      <c r="E162" s="20"/>
      <c r="F162" s="20"/>
      <c r="G162" s="20">
        <v>1</v>
      </c>
      <c r="H162" s="20">
        <v>16011</v>
      </c>
      <c r="I162" s="37" t="s">
        <v>75</v>
      </c>
      <c r="J162" s="38" t="s">
        <v>2398</v>
      </c>
      <c r="K162" s="38" t="s">
        <v>2399</v>
      </c>
      <c r="L162" s="38" t="s">
        <v>2400</v>
      </c>
      <c r="M162" s="38" t="s">
        <v>2401</v>
      </c>
      <c r="N162" s="14" t="s">
        <v>2402</v>
      </c>
      <c r="O162" s="14" t="s">
        <v>2403</v>
      </c>
      <c r="P162" s="14" t="s">
        <v>2404</v>
      </c>
      <c r="Q162" s="20">
        <v>0</v>
      </c>
      <c r="R162" s="20">
        <f>IF(LEN(I162)&gt;=20, "Text too Long", LEN(I162))</f>
        <v>12</v>
      </c>
    </row>
    <row r="163" spans="2:18">
      <c r="B163" s="20">
        <f t="shared" si="8"/>
        <v>17011</v>
      </c>
      <c r="C163" s="20">
        <v>1</v>
      </c>
      <c r="D163" s="20"/>
      <c r="E163" s="20"/>
      <c r="F163" s="20"/>
      <c r="G163" s="20">
        <v>1</v>
      </c>
      <c r="H163" s="20">
        <v>17011</v>
      </c>
      <c r="I163" s="37" t="s">
        <v>76</v>
      </c>
      <c r="J163" s="38" t="s">
        <v>2405</v>
      </c>
      <c r="K163" s="38" t="s">
        <v>2406</v>
      </c>
      <c r="L163" s="38" t="s">
        <v>2407</v>
      </c>
      <c r="M163" s="38" t="s">
        <v>2408</v>
      </c>
      <c r="N163" s="14" t="s">
        <v>2409</v>
      </c>
      <c r="O163" s="14" t="s">
        <v>2410</v>
      </c>
      <c r="P163" s="14" t="s">
        <v>2411</v>
      </c>
      <c r="Q163" s="20">
        <v>0</v>
      </c>
      <c r="R163" s="20">
        <f>IF(LEN(I163)&gt;=333, "Text too Long", LEN(I163))</f>
        <v>19</v>
      </c>
    </row>
    <row r="164" spans="2:18">
      <c r="B164" s="14">
        <f t="shared" si="8"/>
        <v>15012</v>
      </c>
      <c r="C164" s="14">
        <v>1</v>
      </c>
      <c r="D164" s="14"/>
      <c r="E164" s="14"/>
      <c r="F164" s="14"/>
      <c r="G164" s="14">
        <v>1</v>
      </c>
      <c r="H164" s="14">
        <v>15012</v>
      </c>
      <c r="I164" s="16" t="s">
        <v>144</v>
      </c>
      <c r="J164" s="33" t="s">
        <v>428</v>
      </c>
      <c r="K164" s="33" t="s">
        <v>425</v>
      </c>
      <c r="L164" s="33" t="s">
        <v>426</v>
      </c>
      <c r="M164" s="33" t="s">
        <v>427</v>
      </c>
      <c r="N164" s="14" t="s">
        <v>693</v>
      </c>
      <c r="O164" s="14" t="s">
        <v>694</v>
      </c>
      <c r="P164" s="14" t="s">
        <v>695</v>
      </c>
      <c r="Q164" s="14">
        <v>0</v>
      </c>
      <c r="R164" s="14">
        <f>IF(LEN(I164)&gt;=10, "Text too Long", LEN(I164))</f>
        <v>8</v>
      </c>
    </row>
    <row r="165" spans="2:18">
      <c r="B165" s="14">
        <f t="shared" si="8"/>
        <v>16012</v>
      </c>
      <c r="C165" s="14">
        <v>1</v>
      </c>
      <c r="D165" s="14"/>
      <c r="E165" s="14"/>
      <c r="F165" s="14"/>
      <c r="G165" s="14">
        <v>1</v>
      </c>
      <c r="H165" s="14">
        <v>16012</v>
      </c>
      <c r="I165" s="16" t="s">
        <v>72</v>
      </c>
      <c r="J165" s="33" t="s">
        <v>319</v>
      </c>
      <c r="K165" s="33" t="s">
        <v>316</v>
      </c>
      <c r="L165" s="33" t="s">
        <v>317</v>
      </c>
      <c r="M165" s="33" t="s">
        <v>318</v>
      </c>
      <c r="N165" s="14" t="s">
        <v>599</v>
      </c>
      <c r="O165" s="14" t="s">
        <v>696</v>
      </c>
      <c r="P165" s="14" t="s">
        <v>601</v>
      </c>
      <c r="Q165" s="14">
        <v>0</v>
      </c>
      <c r="R165" s="14">
        <f>IF(LEN(I165)&gt;=20, "Text too Long", LEN(I165))</f>
        <v>8</v>
      </c>
    </row>
    <row r="166" spans="2:18">
      <c r="B166" s="14">
        <f t="shared" si="8"/>
        <v>17012</v>
      </c>
      <c r="C166" s="14">
        <v>1</v>
      </c>
      <c r="D166" s="14"/>
      <c r="E166" s="14"/>
      <c r="F166" s="14"/>
      <c r="G166" s="14">
        <v>1</v>
      </c>
      <c r="H166" s="14">
        <v>17012</v>
      </c>
      <c r="I166" s="16" t="s">
        <v>126</v>
      </c>
      <c r="J166" s="33" t="s">
        <v>431</v>
      </c>
      <c r="K166" s="33" t="s">
        <v>429</v>
      </c>
      <c r="L166" s="33" t="s">
        <v>430</v>
      </c>
      <c r="M166" s="33" t="s">
        <v>811</v>
      </c>
      <c r="N166" s="14" t="s">
        <v>697</v>
      </c>
      <c r="O166" s="14" t="s">
        <v>698</v>
      </c>
      <c r="P166" s="14" t="s">
        <v>699</v>
      </c>
      <c r="Q166" s="14">
        <v>0</v>
      </c>
      <c r="R166" s="14">
        <f>IF(LEN(I166)&gt;=333, "Text too Long", LEN(I166))</f>
        <v>81</v>
      </c>
    </row>
    <row r="167" spans="2:18">
      <c r="B167" s="20">
        <f t="shared" si="8"/>
        <v>15013</v>
      </c>
      <c r="C167" s="20">
        <v>1</v>
      </c>
      <c r="D167" s="20"/>
      <c r="E167" s="20"/>
      <c r="F167" s="20"/>
      <c r="G167" s="20">
        <v>1</v>
      </c>
      <c r="H167" s="20">
        <v>15013</v>
      </c>
      <c r="I167" s="37" t="s">
        <v>77</v>
      </c>
      <c r="J167" s="38" t="s">
        <v>435</v>
      </c>
      <c r="K167" s="38" t="s">
        <v>432</v>
      </c>
      <c r="L167" s="38" t="s">
        <v>433</v>
      </c>
      <c r="M167" s="38" t="s">
        <v>434</v>
      </c>
      <c r="N167" s="14" t="s">
        <v>700</v>
      </c>
      <c r="O167" s="14" t="s">
        <v>701</v>
      </c>
      <c r="P167" s="14" t="s">
        <v>702</v>
      </c>
      <c r="Q167" s="20">
        <v>0</v>
      </c>
      <c r="R167" s="20">
        <f>IF(LEN(I167)&gt;=10, "Text too Long", LEN(I167))</f>
        <v>9</v>
      </c>
    </row>
    <row r="168" spans="2:18">
      <c r="B168" s="20">
        <f t="shared" si="8"/>
        <v>16013</v>
      </c>
      <c r="C168" s="20">
        <v>1</v>
      </c>
      <c r="D168" s="20"/>
      <c r="E168" s="20"/>
      <c r="F168" s="20"/>
      <c r="G168" s="20">
        <v>1</v>
      </c>
      <c r="H168" s="20">
        <v>16013</v>
      </c>
      <c r="I168" s="37" t="s">
        <v>78</v>
      </c>
      <c r="J168" s="38" t="s">
        <v>439</v>
      </c>
      <c r="K168" s="38" t="s">
        <v>436</v>
      </c>
      <c r="L168" s="38" t="s">
        <v>437</v>
      </c>
      <c r="M168" s="38" t="s">
        <v>438</v>
      </c>
      <c r="N168" s="14" t="s">
        <v>703</v>
      </c>
      <c r="O168" s="14" t="s">
        <v>704</v>
      </c>
      <c r="P168" s="14" t="s">
        <v>705</v>
      </c>
      <c r="Q168" s="20">
        <v>0</v>
      </c>
      <c r="R168" s="20">
        <f>IF(LEN(I168)&gt;=20, "Text too Long", LEN(I168))</f>
        <v>9</v>
      </c>
    </row>
    <row r="169" spans="2:18">
      <c r="B169" s="20">
        <f t="shared" si="8"/>
        <v>17013</v>
      </c>
      <c r="C169" s="20">
        <v>1</v>
      </c>
      <c r="D169" s="20"/>
      <c r="E169" s="20"/>
      <c r="F169" s="20"/>
      <c r="G169" s="20">
        <v>1</v>
      </c>
      <c r="H169" s="20">
        <v>17013</v>
      </c>
      <c r="I169" s="37" t="s">
        <v>127</v>
      </c>
      <c r="J169" s="38" t="s">
        <v>529</v>
      </c>
      <c r="K169" s="38" t="s">
        <v>440</v>
      </c>
      <c r="L169" s="38" t="s">
        <v>441</v>
      </c>
      <c r="M169" s="38" t="s">
        <v>812</v>
      </c>
      <c r="N169" s="14" t="s">
        <v>706</v>
      </c>
      <c r="O169" s="14" t="s">
        <v>707</v>
      </c>
      <c r="P169" s="14" t="s">
        <v>708</v>
      </c>
      <c r="Q169" s="20">
        <v>0</v>
      </c>
      <c r="R169" s="20">
        <f>IF(LEN(I169)&gt;=333, "Text too Long", LEN(I169))</f>
        <v>81</v>
      </c>
    </row>
    <row r="170" spans="2:18">
      <c r="B170" s="20">
        <f t="shared" si="8"/>
        <v>15014</v>
      </c>
      <c r="C170" s="20">
        <v>1</v>
      </c>
      <c r="D170" s="20"/>
      <c r="E170" s="20"/>
      <c r="F170" s="20"/>
      <c r="G170" s="20">
        <v>1</v>
      </c>
      <c r="H170" s="20">
        <v>15014</v>
      </c>
      <c r="I170" s="37" t="s">
        <v>77</v>
      </c>
      <c r="J170" s="38" t="s">
        <v>435</v>
      </c>
      <c r="K170" s="38" t="s">
        <v>432</v>
      </c>
      <c r="L170" s="38" t="s">
        <v>433</v>
      </c>
      <c r="M170" s="38" t="s">
        <v>434</v>
      </c>
      <c r="N170" s="14" t="s">
        <v>700</v>
      </c>
      <c r="O170" s="14" t="s">
        <v>701</v>
      </c>
      <c r="P170" s="14" t="s">
        <v>702</v>
      </c>
      <c r="Q170" s="20">
        <v>0</v>
      </c>
      <c r="R170" s="20">
        <f>IF(LEN(I170)&gt;=10, "Text too Long", LEN(I170))</f>
        <v>9</v>
      </c>
    </row>
    <row r="171" spans="2:18">
      <c r="B171" s="20">
        <f t="shared" si="8"/>
        <v>16014</v>
      </c>
      <c r="C171" s="20">
        <v>1</v>
      </c>
      <c r="D171" s="20"/>
      <c r="E171" s="20"/>
      <c r="F171" s="20"/>
      <c r="G171" s="20">
        <v>1</v>
      </c>
      <c r="H171" s="20">
        <v>16014</v>
      </c>
      <c r="I171" s="37" t="s">
        <v>79</v>
      </c>
      <c r="J171" s="38" t="s">
        <v>445</v>
      </c>
      <c r="K171" s="38" t="s">
        <v>442</v>
      </c>
      <c r="L171" s="38" t="s">
        <v>443</v>
      </c>
      <c r="M171" s="38" t="s">
        <v>444</v>
      </c>
      <c r="N171" s="14" t="s">
        <v>709</v>
      </c>
      <c r="O171" s="14" t="s">
        <v>710</v>
      </c>
      <c r="P171" s="14" t="s">
        <v>711</v>
      </c>
      <c r="Q171" s="20">
        <v>0</v>
      </c>
      <c r="R171" s="20">
        <f>IF(LEN(I171)&gt;=20, "Text too Long", LEN(I171))</f>
        <v>9</v>
      </c>
    </row>
    <row r="172" spans="2:18">
      <c r="B172" s="20">
        <f t="shared" si="8"/>
        <v>17014</v>
      </c>
      <c r="C172" s="20">
        <v>1</v>
      </c>
      <c r="D172" s="20"/>
      <c r="E172" s="20"/>
      <c r="F172" s="20"/>
      <c r="G172" s="20">
        <v>1</v>
      </c>
      <c r="H172" s="20">
        <v>17014</v>
      </c>
      <c r="I172" s="37" t="s">
        <v>128</v>
      </c>
      <c r="J172" s="38" t="s">
        <v>530</v>
      </c>
      <c r="K172" s="38" t="s">
        <v>446</v>
      </c>
      <c r="L172" s="38" t="s">
        <v>447</v>
      </c>
      <c r="M172" s="38" t="s">
        <v>813</v>
      </c>
      <c r="N172" s="14" t="s">
        <v>712</v>
      </c>
      <c r="O172" s="14" t="s">
        <v>713</v>
      </c>
      <c r="P172" s="14" t="s">
        <v>714</v>
      </c>
      <c r="Q172" s="20">
        <v>0</v>
      </c>
      <c r="R172" s="20">
        <f>IF(LEN(I172)&gt;=333, "Text too Long", LEN(I172))</f>
        <v>81</v>
      </c>
    </row>
    <row r="173" spans="2:18">
      <c r="B173" s="14">
        <f t="shared" si="8"/>
        <v>15015</v>
      </c>
      <c r="C173" s="14">
        <v>1</v>
      </c>
      <c r="D173" s="14"/>
      <c r="E173" s="14"/>
      <c r="F173" s="14"/>
      <c r="G173" s="14">
        <v>1</v>
      </c>
      <c r="H173" s="14">
        <v>15015</v>
      </c>
      <c r="I173" s="16" t="s">
        <v>149</v>
      </c>
      <c r="J173" s="33" t="s">
        <v>451</v>
      </c>
      <c r="K173" s="33" t="s">
        <v>448</v>
      </c>
      <c r="L173" s="33" t="s">
        <v>449</v>
      </c>
      <c r="M173" s="33" t="s">
        <v>450</v>
      </c>
      <c r="N173" s="14" t="s">
        <v>715</v>
      </c>
      <c r="O173" s="14" t="s">
        <v>716</v>
      </c>
      <c r="P173" s="14" t="s">
        <v>717</v>
      </c>
      <c r="Q173" s="14">
        <v>0</v>
      </c>
      <c r="R173" s="14">
        <f>IF(LEN(I173)&gt;=10, "Text too Long", LEN(I173))</f>
        <v>5</v>
      </c>
    </row>
    <row r="174" spans="2:18">
      <c r="B174" s="14">
        <f t="shared" si="8"/>
        <v>16015</v>
      </c>
      <c r="C174" s="14">
        <v>1</v>
      </c>
      <c r="D174" s="14"/>
      <c r="E174" s="14"/>
      <c r="F174" s="14"/>
      <c r="G174" s="14">
        <v>1</v>
      </c>
      <c r="H174" s="14">
        <v>16015</v>
      </c>
      <c r="I174" s="16" t="s">
        <v>150</v>
      </c>
      <c r="J174" s="33" t="s">
        <v>455</v>
      </c>
      <c r="K174" s="33" t="s">
        <v>452</v>
      </c>
      <c r="L174" s="33" t="s">
        <v>453</v>
      </c>
      <c r="M174" s="33" t="s">
        <v>454</v>
      </c>
      <c r="N174" s="14" t="s">
        <v>718</v>
      </c>
      <c r="O174" s="14" t="s">
        <v>719</v>
      </c>
      <c r="P174" s="14" t="s">
        <v>720</v>
      </c>
      <c r="Q174" s="14">
        <v>0</v>
      </c>
      <c r="R174" s="14">
        <f>IF(LEN(I174)&gt;=20, "Text too Long", LEN(I174))</f>
        <v>8</v>
      </c>
    </row>
    <row r="175" spans="2:18">
      <c r="B175" s="14">
        <f t="shared" si="8"/>
        <v>17015</v>
      </c>
      <c r="C175" s="14">
        <v>1</v>
      </c>
      <c r="D175" s="14"/>
      <c r="E175" s="14"/>
      <c r="F175" s="14"/>
      <c r="G175" s="14">
        <v>1</v>
      </c>
      <c r="H175" s="14">
        <v>17015</v>
      </c>
      <c r="I175" s="16" t="s">
        <v>151</v>
      </c>
      <c r="J175" s="33" t="s">
        <v>3382</v>
      </c>
      <c r="K175" s="33" t="s">
        <v>3383</v>
      </c>
      <c r="L175" s="33" t="s">
        <v>3384</v>
      </c>
      <c r="M175" s="33" t="s">
        <v>3385</v>
      </c>
      <c r="N175" s="14" t="s">
        <v>3386</v>
      </c>
      <c r="O175" s="14" t="s">
        <v>3387</v>
      </c>
      <c r="P175" s="14" t="s">
        <v>3388</v>
      </c>
      <c r="Q175" s="14">
        <v>0</v>
      </c>
      <c r="R175" s="14">
        <f>IF(LEN(I175)&gt;=333, "Text too Long", LEN(I175))</f>
        <v>80</v>
      </c>
    </row>
    <row r="176" spans="2:18">
      <c r="B176" s="14">
        <f t="shared" si="8"/>
        <v>15016</v>
      </c>
      <c r="C176" s="14">
        <v>1</v>
      </c>
      <c r="D176" s="14"/>
      <c r="E176" s="14"/>
      <c r="F176" s="14"/>
      <c r="G176" s="14">
        <v>1</v>
      </c>
      <c r="H176" s="14">
        <v>15016</v>
      </c>
      <c r="I176" s="16" t="s">
        <v>230</v>
      </c>
      <c r="J176" s="33" t="s">
        <v>3389</v>
      </c>
      <c r="K176" s="33" t="s">
        <v>3390</v>
      </c>
      <c r="L176" s="33" t="s">
        <v>3391</v>
      </c>
      <c r="M176" s="33" t="s">
        <v>3392</v>
      </c>
      <c r="N176" s="14" t="s">
        <v>3393</v>
      </c>
      <c r="O176" s="14" t="s">
        <v>3394</v>
      </c>
      <c r="P176" s="14" t="s">
        <v>3395</v>
      </c>
      <c r="Q176" s="14">
        <v>0</v>
      </c>
      <c r="R176" s="14">
        <f>IF(LEN(I176)&gt;=10, "Text too Long", LEN(I176))</f>
        <v>5</v>
      </c>
    </row>
    <row r="177" spans="2:18">
      <c r="B177" s="14">
        <f t="shared" si="8"/>
        <v>16016</v>
      </c>
      <c r="C177" s="14">
        <v>1</v>
      </c>
      <c r="D177" s="14"/>
      <c r="E177" s="14"/>
      <c r="F177" s="14"/>
      <c r="G177" s="14">
        <v>1</v>
      </c>
      <c r="H177" s="14">
        <v>16016</v>
      </c>
      <c r="I177" s="16" t="s">
        <v>231</v>
      </c>
      <c r="J177" s="33" t="s">
        <v>3396</v>
      </c>
      <c r="K177" s="33" t="s">
        <v>3397</v>
      </c>
      <c r="L177" s="33" t="s">
        <v>3398</v>
      </c>
      <c r="M177" s="33" t="s">
        <v>3399</v>
      </c>
      <c r="N177" s="14" t="s">
        <v>3400</v>
      </c>
      <c r="O177" s="14" t="s">
        <v>3401</v>
      </c>
      <c r="P177" s="14" t="s">
        <v>3402</v>
      </c>
      <c r="Q177" s="14">
        <v>0</v>
      </c>
      <c r="R177" s="14">
        <f>IF(LEN(I177)&gt;=20, "Text too Long", LEN(I177))</f>
        <v>16</v>
      </c>
    </row>
    <row r="178" spans="2:18">
      <c r="B178" s="14">
        <f t="shared" si="8"/>
        <v>17016</v>
      </c>
      <c r="C178" s="14">
        <v>1</v>
      </c>
      <c r="D178" s="14"/>
      <c r="E178" s="14"/>
      <c r="F178" s="14"/>
      <c r="G178" s="14">
        <v>1</v>
      </c>
      <c r="H178" s="14">
        <v>17016</v>
      </c>
      <c r="I178" s="16" t="s">
        <v>232</v>
      </c>
      <c r="J178" s="33" t="s">
        <v>2201</v>
      </c>
      <c r="K178" s="33" t="s">
        <v>2201</v>
      </c>
      <c r="L178" s="33" t="s">
        <v>2201</v>
      </c>
      <c r="M178" s="33" t="s">
        <v>2201</v>
      </c>
      <c r="N178" s="14" t="s">
        <v>2201</v>
      </c>
      <c r="O178" s="14" t="s">
        <v>2201</v>
      </c>
      <c r="P178" s="14" t="s">
        <v>2201</v>
      </c>
      <c r="Q178" s="14">
        <v>0</v>
      </c>
      <c r="R178" s="14">
        <f>IF(LEN(I178)&gt;=333, "Text too Long", LEN(I178))</f>
        <v>74</v>
      </c>
    </row>
    <row r="179" spans="2:18">
      <c r="B179" s="14">
        <f t="shared" si="8"/>
        <v>15017</v>
      </c>
      <c r="C179" s="14">
        <v>1</v>
      </c>
      <c r="D179" s="14"/>
      <c r="E179" s="14"/>
      <c r="F179" s="14"/>
      <c r="G179" s="14">
        <v>1</v>
      </c>
      <c r="H179" s="14">
        <v>15017</v>
      </c>
      <c r="I179" s="16" t="s">
        <v>245</v>
      </c>
      <c r="J179" s="33" t="s">
        <v>531</v>
      </c>
      <c r="K179" s="33" t="s">
        <v>456</v>
      </c>
      <c r="L179" s="33" t="s">
        <v>457</v>
      </c>
      <c r="M179" s="33" t="s">
        <v>458</v>
      </c>
      <c r="N179" s="14" t="s">
        <v>721</v>
      </c>
      <c r="O179" s="14" t="s">
        <v>722</v>
      </c>
      <c r="P179" s="14" t="s">
        <v>723</v>
      </c>
      <c r="Q179" s="14">
        <v>0</v>
      </c>
      <c r="R179" s="14">
        <f>IF(LEN(I179)&gt;=10, "Text too Long", LEN(I179))</f>
        <v>5</v>
      </c>
    </row>
    <row r="180" spans="2:18">
      <c r="B180" s="14">
        <f t="shared" si="8"/>
        <v>16017</v>
      </c>
      <c r="C180" s="14">
        <v>1</v>
      </c>
      <c r="D180" s="14"/>
      <c r="E180" s="14"/>
      <c r="F180" s="14"/>
      <c r="G180" s="14">
        <v>1</v>
      </c>
      <c r="H180" s="14">
        <v>16017</v>
      </c>
      <c r="I180" s="16" t="s">
        <v>246</v>
      </c>
      <c r="J180" s="33" t="s">
        <v>3403</v>
      </c>
      <c r="K180" s="33" t="s">
        <v>3404</v>
      </c>
      <c r="L180" s="33" t="s">
        <v>3405</v>
      </c>
      <c r="M180" s="33" t="s">
        <v>3406</v>
      </c>
      <c r="N180" s="14" t="s">
        <v>3407</v>
      </c>
      <c r="O180" s="14" t="s">
        <v>3408</v>
      </c>
      <c r="P180" s="14" t="s">
        <v>3409</v>
      </c>
      <c r="Q180" s="14">
        <v>0</v>
      </c>
      <c r="R180" s="14">
        <f>IF(LEN(I180)&gt;=20, "Text too Long", LEN(I180))</f>
        <v>16</v>
      </c>
    </row>
    <row r="181" spans="2:18">
      <c r="B181" s="14">
        <f t="shared" si="8"/>
        <v>17017</v>
      </c>
      <c r="C181" s="14">
        <v>1</v>
      </c>
      <c r="D181" s="14"/>
      <c r="E181" s="14"/>
      <c r="F181" s="14"/>
      <c r="G181" s="14">
        <v>1</v>
      </c>
      <c r="H181" s="14">
        <v>17017</v>
      </c>
      <c r="I181" s="16" t="s">
        <v>247</v>
      </c>
      <c r="J181" s="33" t="s">
        <v>1767</v>
      </c>
      <c r="K181" s="33" t="s">
        <v>1768</v>
      </c>
      <c r="L181" s="33" t="s">
        <v>1769</v>
      </c>
      <c r="M181" s="33" t="s">
        <v>3410</v>
      </c>
      <c r="N181" s="14" t="s">
        <v>1770</v>
      </c>
      <c r="O181" s="14" t="s">
        <v>1771</v>
      </c>
      <c r="P181" s="14" t="s">
        <v>1772</v>
      </c>
      <c r="Q181" s="14">
        <v>0</v>
      </c>
      <c r="R181" s="14">
        <f>IF(LEN(I181)&gt;=333, "Text too Long", LEN(I181))</f>
        <v>66</v>
      </c>
    </row>
    <row r="182" spans="2:18">
      <c r="B182" s="14">
        <f t="shared" si="8"/>
        <v>15018</v>
      </c>
      <c r="C182" s="14">
        <v>1</v>
      </c>
      <c r="D182" s="14"/>
      <c r="E182" s="14"/>
      <c r="F182" s="14"/>
      <c r="G182" s="14">
        <v>1</v>
      </c>
      <c r="H182" s="14">
        <v>15018</v>
      </c>
      <c r="I182" s="16" t="s">
        <v>233</v>
      </c>
      <c r="J182" s="33" t="s">
        <v>3411</v>
      </c>
      <c r="K182" s="33" t="s">
        <v>3412</v>
      </c>
      <c r="L182" s="33" t="s">
        <v>3413</v>
      </c>
      <c r="M182" s="33" t="s">
        <v>3414</v>
      </c>
      <c r="N182" s="14" t="s">
        <v>3415</v>
      </c>
      <c r="O182" s="14" t="s">
        <v>3416</v>
      </c>
      <c r="P182" s="14" t="s">
        <v>3417</v>
      </c>
      <c r="Q182" s="14">
        <v>0</v>
      </c>
      <c r="R182" s="14">
        <f>IF(LEN(I182)&gt;=10, "Text too Long", LEN(I182))</f>
        <v>7</v>
      </c>
    </row>
    <row r="183" spans="2:18">
      <c r="B183" s="14">
        <f t="shared" si="8"/>
        <v>16018</v>
      </c>
      <c r="C183" s="14">
        <v>1</v>
      </c>
      <c r="D183" s="14"/>
      <c r="E183" s="14"/>
      <c r="F183" s="14"/>
      <c r="G183" s="14">
        <v>1</v>
      </c>
      <c r="H183" s="14">
        <v>16018</v>
      </c>
      <c r="I183" s="16" t="s">
        <v>234</v>
      </c>
      <c r="J183" s="33" t="s">
        <v>3418</v>
      </c>
      <c r="K183" s="33" t="s">
        <v>3419</v>
      </c>
      <c r="L183" s="33" t="s">
        <v>3420</v>
      </c>
      <c r="M183" s="33" t="s">
        <v>3421</v>
      </c>
      <c r="N183" s="14" t="s">
        <v>3422</v>
      </c>
      <c r="O183" s="14" t="s">
        <v>3423</v>
      </c>
      <c r="P183" s="14" t="s">
        <v>3424</v>
      </c>
      <c r="Q183" s="14">
        <v>0</v>
      </c>
      <c r="R183" s="14">
        <f>IF(LEN(I183)&gt;=20, "Text too Long", LEN(I183))</f>
        <v>14</v>
      </c>
    </row>
    <row r="184" spans="2:18">
      <c r="B184" s="14">
        <f t="shared" si="8"/>
        <v>17018</v>
      </c>
      <c r="C184" s="14">
        <v>1</v>
      </c>
      <c r="D184" s="14"/>
      <c r="E184" s="14"/>
      <c r="F184" s="14"/>
      <c r="G184" s="14">
        <v>1</v>
      </c>
      <c r="H184" s="14">
        <v>17018</v>
      </c>
      <c r="I184" s="16" t="s">
        <v>235</v>
      </c>
      <c r="J184" s="33" t="s">
        <v>2412</v>
      </c>
      <c r="K184" s="33" t="s">
        <v>2413</v>
      </c>
      <c r="L184" s="33" t="s">
        <v>2414</v>
      </c>
      <c r="M184" s="33" t="s">
        <v>3425</v>
      </c>
      <c r="N184" s="14" t="s">
        <v>2415</v>
      </c>
      <c r="O184" s="14" t="s">
        <v>2416</v>
      </c>
      <c r="P184" s="14" t="s">
        <v>2417</v>
      </c>
      <c r="Q184" s="14">
        <v>0</v>
      </c>
      <c r="R184" s="14">
        <f>IF(LEN(I184)&gt;=333, "Text too Long", LEN(I184))</f>
        <v>47</v>
      </c>
    </row>
    <row r="185" spans="2:18">
      <c r="B185" s="14">
        <f t="shared" si="8"/>
        <v>15019</v>
      </c>
      <c r="C185" s="14">
        <v>1</v>
      </c>
      <c r="D185" s="14"/>
      <c r="E185" s="14"/>
      <c r="F185" s="14"/>
      <c r="G185" s="14">
        <v>1</v>
      </c>
      <c r="H185" s="14">
        <v>15019</v>
      </c>
      <c r="I185" s="16" t="s">
        <v>149</v>
      </c>
      <c r="J185" s="33" t="s">
        <v>451</v>
      </c>
      <c r="K185" s="33" t="s">
        <v>448</v>
      </c>
      <c r="L185" s="33" t="s">
        <v>449</v>
      </c>
      <c r="M185" s="33" t="s">
        <v>450</v>
      </c>
      <c r="N185" s="14" t="s">
        <v>715</v>
      </c>
      <c r="O185" s="14" t="s">
        <v>716</v>
      </c>
      <c r="P185" s="14" t="s">
        <v>717</v>
      </c>
      <c r="Q185" s="14">
        <v>0</v>
      </c>
      <c r="R185" s="14">
        <f>IF(LEN(I185)&gt;=10, "Text too Long", LEN(I185))</f>
        <v>5</v>
      </c>
    </row>
    <row r="186" spans="2:18">
      <c r="B186" s="14">
        <f t="shared" si="8"/>
        <v>16019</v>
      </c>
      <c r="C186" s="14">
        <v>1</v>
      </c>
      <c r="D186" s="14"/>
      <c r="E186" s="14"/>
      <c r="F186" s="14"/>
      <c r="G186" s="14">
        <v>1</v>
      </c>
      <c r="H186" s="14">
        <v>16019</v>
      </c>
      <c r="I186" s="16" t="s">
        <v>152</v>
      </c>
      <c r="J186" s="33" t="s">
        <v>462</v>
      </c>
      <c r="K186" s="33" t="s">
        <v>459</v>
      </c>
      <c r="L186" s="33" t="s">
        <v>460</v>
      </c>
      <c r="M186" s="33" t="s">
        <v>461</v>
      </c>
      <c r="N186" s="14" t="s">
        <v>724</v>
      </c>
      <c r="O186" s="14" t="s">
        <v>725</v>
      </c>
      <c r="P186" s="14" t="s">
        <v>726</v>
      </c>
      <c r="Q186" s="14">
        <v>0</v>
      </c>
      <c r="R186" s="14">
        <f>IF(LEN(I186)&gt;=20, "Text too Long", LEN(I186))</f>
        <v>8</v>
      </c>
    </row>
    <row r="187" spans="2:18">
      <c r="B187" s="14">
        <f t="shared" si="8"/>
        <v>17019</v>
      </c>
      <c r="C187" s="14">
        <v>1</v>
      </c>
      <c r="D187" s="14"/>
      <c r="E187" s="14"/>
      <c r="F187" s="14"/>
      <c r="G187" s="14">
        <v>1</v>
      </c>
      <c r="H187" s="14">
        <v>17019</v>
      </c>
      <c r="I187" s="16" t="s">
        <v>153</v>
      </c>
      <c r="J187" s="33" t="s">
        <v>532</v>
      </c>
      <c r="K187" s="33" t="s">
        <v>463</v>
      </c>
      <c r="L187" s="33" t="s">
        <v>464</v>
      </c>
      <c r="M187" s="33" t="s">
        <v>814</v>
      </c>
      <c r="N187" s="14" t="s">
        <v>727</v>
      </c>
      <c r="O187" s="14" t="s">
        <v>728</v>
      </c>
      <c r="P187" s="14" t="s">
        <v>729</v>
      </c>
      <c r="Q187" s="14">
        <v>0</v>
      </c>
      <c r="R187" s="14">
        <f t="shared" ref="R187:R256" si="10">IF(LEN(I187)&gt;=333, "Text too Long", LEN(I187))</f>
        <v>80</v>
      </c>
    </row>
    <row r="188" spans="2:18">
      <c r="B188" s="14">
        <f t="shared" si="8"/>
        <v>15020</v>
      </c>
      <c r="C188" s="14">
        <v>1</v>
      </c>
      <c r="D188" s="14"/>
      <c r="E188" s="14"/>
      <c r="F188" s="14"/>
      <c r="G188" s="14">
        <v>1</v>
      </c>
      <c r="H188" s="14">
        <v>15020</v>
      </c>
      <c r="I188" s="16" t="s">
        <v>189</v>
      </c>
      <c r="J188" s="33" t="s">
        <v>468</v>
      </c>
      <c r="K188" s="33" t="s">
        <v>465</v>
      </c>
      <c r="L188" s="33" t="s">
        <v>466</v>
      </c>
      <c r="M188" s="33" t="s">
        <v>467</v>
      </c>
      <c r="N188" s="14" t="s">
        <v>730</v>
      </c>
      <c r="O188" s="14" t="s">
        <v>731</v>
      </c>
      <c r="P188" s="14" t="s">
        <v>732</v>
      </c>
      <c r="Q188" s="14">
        <v>0</v>
      </c>
      <c r="R188" s="14">
        <f t="shared" si="10"/>
        <v>5</v>
      </c>
    </row>
    <row r="189" spans="2:18">
      <c r="B189" s="14">
        <f t="shared" si="8"/>
        <v>16020</v>
      </c>
      <c r="C189" s="14">
        <v>1</v>
      </c>
      <c r="D189" s="14"/>
      <c r="E189" s="14"/>
      <c r="F189" s="14"/>
      <c r="G189" s="14">
        <v>1</v>
      </c>
      <c r="H189" s="14">
        <v>16020</v>
      </c>
      <c r="I189" s="16" t="s">
        <v>190</v>
      </c>
      <c r="J189" s="33" t="s">
        <v>471</v>
      </c>
      <c r="K189" s="33" t="s">
        <v>469</v>
      </c>
      <c r="L189" s="33" t="s">
        <v>470</v>
      </c>
      <c r="M189" s="33" t="s">
        <v>815</v>
      </c>
      <c r="N189" s="14" t="s">
        <v>733</v>
      </c>
      <c r="O189" s="14" t="s">
        <v>734</v>
      </c>
      <c r="P189" s="14" t="s">
        <v>735</v>
      </c>
      <c r="Q189" s="14">
        <v>0</v>
      </c>
      <c r="R189" s="14">
        <f t="shared" si="10"/>
        <v>11</v>
      </c>
    </row>
    <row r="190" spans="2:18">
      <c r="B190" s="14">
        <f t="shared" si="8"/>
        <v>17020</v>
      </c>
      <c r="C190" s="14">
        <v>1</v>
      </c>
      <c r="D190" s="14"/>
      <c r="E190" s="14"/>
      <c r="F190" s="14"/>
      <c r="G190" s="14">
        <v>1</v>
      </c>
      <c r="H190" s="14">
        <v>17020</v>
      </c>
      <c r="I190" s="16" t="s">
        <v>1773</v>
      </c>
      <c r="J190" s="33" t="s">
        <v>2923</v>
      </c>
      <c r="K190" s="33" t="s">
        <v>2923</v>
      </c>
      <c r="L190" s="33" t="s">
        <v>2923</v>
      </c>
      <c r="M190" s="33" t="s">
        <v>2923</v>
      </c>
      <c r="N190" s="14" t="s">
        <v>2923</v>
      </c>
      <c r="O190" s="14" t="s">
        <v>2923</v>
      </c>
      <c r="P190" s="14" t="s">
        <v>2923</v>
      </c>
      <c r="Q190" s="14">
        <v>0</v>
      </c>
      <c r="R190" s="14">
        <f t="shared" si="10"/>
        <v>80</v>
      </c>
    </row>
    <row r="191" spans="2:18">
      <c r="B191" s="14">
        <f t="shared" si="8"/>
        <v>15021</v>
      </c>
      <c r="C191" s="14">
        <v>1</v>
      </c>
      <c r="D191" s="14"/>
      <c r="E191" s="14"/>
      <c r="F191" s="14"/>
      <c r="G191" s="14">
        <v>1</v>
      </c>
      <c r="H191" s="14">
        <v>15021</v>
      </c>
      <c r="I191" s="16" t="s">
        <v>225</v>
      </c>
      <c r="J191" s="33" t="s">
        <v>2365</v>
      </c>
      <c r="K191" s="33" t="s">
        <v>2366</v>
      </c>
      <c r="L191" s="33" t="s">
        <v>2367</v>
      </c>
      <c r="M191" s="33" t="s">
        <v>2368</v>
      </c>
      <c r="N191" s="14" t="s">
        <v>2418</v>
      </c>
      <c r="O191" s="14" t="s">
        <v>2370</v>
      </c>
      <c r="P191" s="14" t="s">
        <v>2371</v>
      </c>
      <c r="Q191" s="14">
        <v>0</v>
      </c>
      <c r="R191" s="14">
        <f t="shared" si="10"/>
        <v>7</v>
      </c>
    </row>
    <row r="192" spans="2:18">
      <c r="B192" s="14">
        <f t="shared" si="8"/>
        <v>16021</v>
      </c>
      <c r="C192" s="14">
        <v>1</v>
      </c>
      <c r="D192" s="14"/>
      <c r="E192" s="14"/>
      <c r="F192" s="14"/>
      <c r="G192" s="14">
        <v>1</v>
      </c>
      <c r="H192" s="14">
        <v>16021</v>
      </c>
      <c r="I192" s="16" t="s">
        <v>1774</v>
      </c>
      <c r="J192" s="33" t="s">
        <v>1775</v>
      </c>
      <c r="K192" s="33" t="s">
        <v>1776</v>
      </c>
      <c r="L192" s="33" t="s">
        <v>2419</v>
      </c>
      <c r="M192" s="33" t="s">
        <v>1777</v>
      </c>
      <c r="N192" s="14" t="s">
        <v>1778</v>
      </c>
      <c r="O192" s="14" t="s">
        <v>1779</v>
      </c>
      <c r="P192" s="14" t="s">
        <v>1780</v>
      </c>
      <c r="Q192" s="14">
        <v>0</v>
      </c>
      <c r="R192" s="14">
        <f t="shared" si="10"/>
        <v>16</v>
      </c>
    </row>
    <row r="193" spans="2:18">
      <c r="B193" s="14">
        <f t="shared" si="8"/>
        <v>17021</v>
      </c>
      <c r="C193" s="14">
        <v>1</v>
      </c>
      <c r="D193" s="14"/>
      <c r="E193" s="14"/>
      <c r="F193" s="14"/>
      <c r="G193" s="14">
        <v>1</v>
      </c>
      <c r="H193" s="14">
        <v>17021</v>
      </c>
      <c r="I193" s="16" t="s">
        <v>2420</v>
      </c>
      <c r="J193" s="33" t="s">
        <v>2421</v>
      </c>
      <c r="K193" s="33" t="s">
        <v>2422</v>
      </c>
      <c r="L193" s="33" t="s">
        <v>2423</v>
      </c>
      <c r="M193" s="33" t="s">
        <v>2424</v>
      </c>
      <c r="N193" s="14" t="s">
        <v>2425</v>
      </c>
      <c r="O193" s="14" t="s">
        <v>2426</v>
      </c>
      <c r="P193" s="14" t="s">
        <v>2427</v>
      </c>
      <c r="Q193" s="14">
        <v>0</v>
      </c>
      <c r="R193" s="14">
        <f t="shared" si="10"/>
        <v>83</v>
      </c>
    </row>
    <row r="194" spans="2:18">
      <c r="B194" s="14">
        <f t="shared" si="8"/>
        <v>15022</v>
      </c>
      <c r="C194" s="14">
        <v>1</v>
      </c>
      <c r="D194" s="14"/>
      <c r="E194" s="14"/>
      <c r="F194" s="14"/>
      <c r="G194" s="14">
        <v>1</v>
      </c>
      <c r="H194" s="14">
        <v>15022</v>
      </c>
      <c r="I194" s="16" t="s">
        <v>225</v>
      </c>
      <c r="J194" s="33" t="s">
        <v>2365</v>
      </c>
      <c r="K194" s="33" t="s">
        <v>2366</v>
      </c>
      <c r="L194" s="33" t="s">
        <v>2367</v>
      </c>
      <c r="M194" s="33" t="s">
        <v>2368</v>
      </c>
      <c r="N194" s="14" t="s">
        <v>2418</v>
      </c>
      <c r="O194" s="14" t="s">
        <v>2370</v>
      </c>
      <c r="P194" s="14" t="s">
        <v>2371</v>
      </c>
      <c r="Q194" s="14">
        <v>0</v>
      </c>
      <c r="R194" s="14">
        <f t="shared" si="10"/>
        <v>7</v>
      </c>
    </row>
    <row r="195" spans="2:18">
      <c r="B195" s="14">
        <f t="shared" si="8"/>
        <v>16022</v>
      </c>
      <c r="C195" s="14">
        <v>1</v>
      </c>
      <c r="D195" s="14"/>
      <c r="E195" s="14"/>
      <c r="F195" s="14"/>
      <c r="G195" s="14">
        <v>1</v>
      </c>
      <c r="H195" s="14">
        <v>16022</v>
      </c>
      <c r="I195" s="16" t="s">
        <v>1781</v>
      </c>
      <c r="J195" s="33" t="s">
        <v>1782</v>
      </c>
      <c r="K195" s="33" t="s">
        <v>1783</v>
      </c>
      <c r="L195" s="33" t="s">
        <v>2428</v>
      </c>
      <c r="M195" s="33" t="s">
        <v>1784</v>
      </c>
      <c r="N195" s="14" t="s">
        <v>1785</v>
      </c>
      <c r="O195" s="14" t="s">
        <v>1786</v>
      </c>
      <c r="P195" s="14" t="s">
        <v>1787</v>
      </c>
      <c r="Q195" s="14">
        <v>0</v>
      </c>
      <c r="R195" s="14">
        <f t="shared" si="10"/>
        <v>16</v>
      </c>
    </row>
    <row r="196" spans="2:18">
      <c r="B196" s="14">
        <f t="shared" si="8"/>
        <v>17022</v>
      </c>
      <c r="C196" s="14">
        <v>1</v>
      </c>
      <c r="D196" s="14"/>
      <c r="E196" s="14"/>
      <c r="F196" s="14"/>
      <c r="G196" s="14">
        <v>1</v>
      </c>
      <c r="H196" s="14">
        <v>17022</v>
      </c>
      <c r="I196" s="16" t="s">
        <v>2429</v>
      </c>
      <c r="J196" s="33" t="s">
        <v>2430</v>
      </c>
      <c r="K196" s="33" t="s">
        <v>2431</v>
      </c>
      <c r="L196" s="33" t="s">
        <v>2432</v>
      </c>
      <c r="M196" s="33" t="s">
        <v>2433</v>
      </c>
      <c r="N196" s="14" t="s">
        <v>2434</v>
      </c>
      <c r="O196" s="14" t="s">
        <v>2435</v>
      </c>
      <c r="P196" s="14" t="s">
        <v>2436</v>
      </c>
      <c r="Q196" s="14">
        <v>0</v>
      </c>
      <c r="R196" s="14">
        <f t="shared" si="10"/>
        <v>84</v>
      </c>
    </row>
    <row r="197" spans="2:18">
      <c r="B197" s="14">
        <f t="shared" si="8"/>
        <v>15023</v>
      </c>
      <c r="C197" s="14">
        <v>1</v>
      </c>
      <c r="D197" s="14"/>
      <c r="E197" s="14"/>
      <c r="F197" s="14"/>
      <c r="G197" s="14">
        <v>1</v>
      </c>
      <c r="H197" s="14">
        <v>15023</v>
      </c>
      <c r="I197" s="16" t="s">
        <v>225</v>
      </c>
      <c r="J197" s="33" t="s">
        <v>2365</v>
      </c>
      <c r="K197" s="33" t="s">
        <v>2366</v>
      </c>
      <c r="L197" s="33" t="s">
        <v>2367</v>
      </c>
      <c r="M197" s="33" t="s">
        <v>2368</v>
      </c>
      <c r="N197" s="14" t="s">
        <v>2418</v>
      </c>
      <c r="O197" s="14" t="s">
        <v>2370</v>
      </c>
      <c r="P197" s="14" t="s">
        <v>2371</v>
      </c>
      <c r="Q197" s="14">
        <v>0</v>
      </c>
      <c r="R197" s="14">
        <f t="shared" si="10"/>
        <v>7</v>
      </c>
    </row>
    <row r="198" spans="2:18">
      <c r="B198" s="14">
        <f t="shared" si="8"/>
        <v>16023</v>
      </c>
      <c r="C198" s="14">
        <v>1</v>
      </c>
      <c r="D198" s="14"/>
      <c r="E198" s="14"/>
      <c r="F198" s="14"/>
      <c r="G198" s="14">
        <v>1</v>
      </c>
      <c r="H198" s="14">
        <v>16023</v>
      </c>
      <c r="I198" s="16" t="s">
        <v>1781</v>
      </c>
      <c r="J198" s="33" t="s">
        <v>1782</v>
      </c>
      <c r="K198" s="33" t="s">
        <v>1783</v>
      </c>
      <c r="L198" s="33" t="s">
        <v>2428</v>
      </c>
      <c r="M198" s="33" t="s">
        <v>1784</v>
      </c>
      <c r="N198" s="14" t="s">
        <v>1785</v>
      </c>
      <c r="O198" s="14" t="s">
        <v>1786</v>
      </c>
      <c r="P198" s="14" t="s">
        <v>1787</v>
      </c>
      <c r="Q198" s="14">
        <v>0</v>
      </c>
      <c r="R198" s="14">
        <f t="shared" si="10"/>
        <v>16</v>
      </c>
    </row>
    <row r="199" spans="2:18">
      <c r="B199" s="14">
        <f>H199</f>
        <v>17023</v>
      </c>
      <c r="C199" s="14">
        <v>1</v>
      </c>
      <c r="D199" s="14"/>
      <c r="E199" s="14"/>
      <c r="F199" s="14"/>
      <c r="G199" s="14">
        <v>1</v>
      </c>
      <c r="H199" s="14">
        <v>17023</v>
      </c>
      <c r="I199" s="16" t="s">
        <v>2437</v>
      </c>
      <c r="J199" s="33" t="s">
        <v>2438</v>
      </c>
      <c r="K199" s="33" t="s">
        <v>2439</v>
      </c>
      <c r="L199" s="33" t="s">
        <v>2440</v>
      </c>
      <c r="M199" s="33" t="s">
        <v>2441</v>
      </c>
      <c r="N199" s="14" t="s">
        <v>2442</v>
      </c>
      <c r="O199" s="14" t="s">
        <v>2443</v>
      </c>
      <c r="P199" s="14" t="s">
        <v>2444</v>
      </c>
      <c r="Q199" s="14">
        <v>0</v>
      </c>
      <c r="R199" s="14">
        <f t="shared" si="10"/>
        <v>83</v>
      </c>
    </row>
    <row r="200" spans="2:18">
      <c r="B200" s="14">
        <f>H200</f>
        <v>15024</v>
      </c>
      <c r="C200" s="14">
        <v>1</v>
      </c>
      <c r="D200" s="14" t="s">
        <v>909</v>
      </c>
      <c r="E200" s="14">
        <v>0</v>
      </c>
      <c r="F200" s="14" t="s">
        <v>910</v>
      </c>
      <c r="G200" s="14">
        <v>1</v>
      </c>
      <c r="H200" s="14">
        <v>15024</v>
      </c>
      <c r="I200" s="16" t="s">
        <v>911</v>
      </c>
      <c r="J200" s="33" t="s">
        <v>409</v>
      </c>
      <c r="K200" s="33" t="s">
        <v>406</v>
      </c>
      <c r="L200" s="33" t="s">
        <v>407</v>
      </c>
      <c r="M200" s="33" t="s">
        <v>408</v>
      </c>
      <c r="N200" s="14" t="s">
        <v>675</v>
      </c>
      <c r="O200" s="14" t="s">
        <v>676</v>
      </c>
      <c r="P200" s="14" t="s">
        <v>957</v>
      </c>
      <c r="Q200" s="14">
        <v>0</v>
      </c>
      <c r="R200" s="14">
        <v>7</v>
      </c>
    </row>
    <row r="201" spans="2:18">
      <c r="B201" s="14">
        <f t="shared" ref="B201:B244" si="11">H201</f>
        <v>16024</v>
      </c>
      <c r="C201" s="14">
        <v>1</v>
      </c>
      <c r="D201" s="14" t="s">
        <v>909</v>
      </c>
      <c r="E201" s="14">
        <v>0</v>
      </c>
      <c r="F201" s="14" t="s">
        <v>910</v>
      </c>
      <c r="G201" s="14">
        <v>1</v>
      </c>
      <c r="H201" s="14">
        <v>16024</v>
      </c>
      <c r="I201" s="16" t="s">
        <v>1788</v>
      </c>
      <c r="J201" s="33" t="s">
        <v>1789</v>
      </c>
      <c r="K201" s="33" t="s">
        <v>1790</v>
      </c>
      <c r="L201" s="33" t="s">
        <v>1791</v>
      </c>
      <c r="M201" s="33" t="s">
        <v>1792</v>
      </c>
      <c r="N201" s="14" t="s">
        <v>1793</v>
      </c>
      <c r="O201" s="14" t="s">
        <v>1794</v>
      </c>
      <c r="P201" s="14" t="s">
        <v>1795</v>
      </c>
      <c r="Q201" s="14">
        <v>0</v>
      </c>
      <c r="R201" s="14">
        <v>16</v>
      </c>
    </row>
    <row r="202" spans="2:18">
      <c r="B202" s="14">
        <f t="shared" si="11"/>
        <v>17024</v>
      </c>
      <c r="C202" s="14">
        <v>1</v>
      </c>
      <c r="D202" s="14" t="s">
        <v>909</v>
      </c>
      <c r="E202" s="14">
        <v>0</v>
      </c>
      <c r="F202" s="14" t="s">
        <v>910</v>
      </c>
      <c r="G202" s="14">
        <v>1</v>
      </c>
      <c r="H202" s="14">
        <v>17024</v>
      </c>
      <c r="I202" s="16" t="s">
        <v>2445</v>
      </c>
      <c r="J202" s="33" t="s">
        <v>2446</v>
      </c>
      <c r="K202" s="33" t="s">
        <v>2447</v>
      </c>
      <c r="L202" s="33" t="s">
        <v>2448</v>
      </c>
      <c r="M202" s="33" t="s">
        <v>2449</v>
      </c>
      <c r="N202" s="14" t="s">
        <v>2450</v>
      </c>
      <c r="O202" s="14" t="s">
        <v>2451</v>
      </c>
      <c r="P202" s="14" t="s">
        <v>2452</v>
      </c>
      <c r="Q202" s="14">
        <v>0</v>
      </c>
      <c r="R202" s="14">
        <v>88</v>
      </c>
    </row>
    <row r="203" spans="2:18">
      <c r="B203" s="14">
        <f t="shared" si="11"/>
        <v>15025</v>
      </c>
      <c r="C203" s="14">
        <v>1</v>
      </c>
      <c r="D203" s="14" t="s">
        <v>909</v>
      </c>
      <c r="E203" s="14">
        <v>0</v>
      </c>
      <c r="F203" s="14" t="s">
        <v>910</v>
      </c>
      <c r="G203" s="14">
        <v>1</v>
      </c>
      <c r="H203" s="14">
        <v>15025</v>
      </c>
      <c r="I203" s="16" t="s">
        <v>225</v>
      </c>
      <c r="J203" s="33" t="s">
        <v>2365</v>
      </c>
      <c r="K203" s="33" t="s">
        <v>2366</v>
      </c>
      <c r="L203" s="33" t="s">
        <v>2367</v>
      </c>
      <c r="M203" s="33" t="s">
        <v>2368</v>
      </c>
      <c r="N203" s="14" t="s">
        <v>2369</v>
      </c>
      <c r="O203" s="14" t="s">
        <v>2370</v>
      </c>
      <c r="P203" s="14" t="s">
        <v>2371</v>
      </c>
      <c r="Q203" s="14">
        <v>0</v>
      </c>
      <c r="R203" s="14">
        <v>7</v>
      </c>
    </row>
    <row r="204" spans="2:18">
      <c r="B204" s="14">
        <f t="shared" si="11"/>
        <v>16025</v>
      </c>
      <c r="C204" s="14">
        <v>1</v>
      </c>
      <c r="D204" s="14" t="s">
        <v>909</v>
      </c>
      <c r="E204" s="14">
        <v>0</v>
      </c>
      <c r="F204" s="14" t="s">
        <v>910</v>
      </c>
      <c r="G204" s="14">
        <v>1</v>
      </c>
      <c r="H204" s="14">
        <v>16025</v>
      </c>
      <c r="I204" s="16" t="s">
        <v>1796</v>
      </c>
      <c r="J204" s="33" t="s">
        <v>1797</v>
      </c>
      <c r="K204" s="33" t="s">
        <v>1798</v>
      </c>
      <c r="L204" s="33" t="s">
        <v>1799</v>
      </c>
      <c r="M204" s="33" t="s">
        <v>1800</v>
      </c>
      <c r="N204" s="14" t="s">
        <v>1801</v>
      </c>
      <c r="O204" s="14" t="s">
        <v>1802</v>
      </c>
      <c r="P204" s="14" t="s">
        <v>1803</v>
      </c>
      <c r="Q204" s="14">
        <v>0</v>
      </c>
      <c r="R204" s="14">
        <v>15</v>
      </c>
    </row>
    <row r="205" spans="2:18">
      <c r="B205" s="14">
        <f t="shared" si="11"/>
        <v>17025</v>
      </c>
      <c r="C205" s="14">
        <v>1</v>
      </c>
      <c r="D205" s="14" t="s">
        <v>909</v>
      </c>
      <c r="E205" s="14">
        <v>0</v>
      </c>
      <c r="F205" s="14" t="s">
        <v>910</v>
      </c>
      <c r="G205" s="14">
        <v>1</v>
      </c>
      <c r="H205" s="14">
        <v>17025</v>
      </c>
      <c r="I205" s="16" t="s">
        <v>2453</v>
      </c>
      <c r="J205" s="33" t="s">
        <v>2454</v>
      </c>
      <c r="K205" s="33" t="s">
        <v>2455</v>
      </c>
      <c r="L205" s="33" t="s">
        <v>2456</v>
      </c>
      <c r="M205" s="33" t="s">
        <v>2457</v>
      </c>
      <c r="N205" s="14" t="s">
        <v>2458</v>
      </c>
      <c r="O205" s="14" t="s">
        <v>2459</v>
      </c>
      <c r="P205" s="14" t="s">
        <v>2460</v>
      </c>
      <c r="Q205" s="14">
        <v>0</v>
      </c>
      <c r="R205" s="14">
        <v>88</v>
      </c>
    </row>
    <row r="206" spans="2:18">
      <c r="B206" s="14">
        <f t="shared" si="11"/>
        <v>15026</v>
      </c>
      <c r="C206" s="14">
        <v>1</v>
      </c>
      <c r="D206" s="14" t="s">
        <v>909</v>
      </c>
      <c r="E206" s="14">
        <v>0</v>
      </c>
      <c r="F206" s="14" t="s">
        <v>910</v>
      </c>
      <c r="G206" s="14">
        <v>1</v>
      </c>
      <c r="H206" s="14">
        <v>15026</v>
      </c>
      <c r="I206" s="16" t="s">
        <v>248</v>
      </c>
      <c r="J206" s="33" t="s">
        <v>1843</v>
      </c>
      <c r="K206" s="33" t="s">
        <v>2461</v>
      </c>
      <c r="L206" s="33" t="s">
        <v>2462</v>
      </c>
      <c r="M206" s="33" t="s">
        <v>1844</v>
      </c>
      <c r="N206" s="14" t="s">
        <v>2463</v>
      </c>
      <c r="O206" s="14" t="s">
        <v>2464</v>
      </c>
      <c r="P206" s="14" t="s">
        <v>2465</v>
      </c>
      <c r="Q206" s="14">
        <v>0</v>
      </c>
      <c r="R206" s="14">
        <v>7</v>
      </c>
    </row>
    <row r="207" spans="2:18">
      <c r="B207" s="14">
        <f t="shared" si="11"/>
        <v>16026</v>
      </c>
      <c r="C207" s="14">
        <v>1</v>
      </c>
      <c r="D207" s="14" t="s">
        <v>909</v>
      </c>
      <c r="E207" s="14">
        <v>0</v>
      </c>
      <c r="F207" s="14" t="s">
        <v>910</v>
      </c>
      <c r="G207" s="14">
        <v>1</v>
      </c>
      <c r="H207" s="14">
        <v>16026</v>
      </c>
      <c r="I207" s="16" t="s">
        <v>1804</v>
      </c>
      <c r="J207" s="33" t="s">
        <v>1805</v>
      </c>
      <c r="K207" s="33" t="s">
        <v>1806</v>
      </c>
      <c r="L207" s="33" t="s">
        <v>1807</v>
      </c>
      <c r="M207" s="33" t="s">
        <v>1808</v>
      </c>
      <c r="N207" s="14" t="s">
        <v>1809</v>
      </c>
      <c r="O207" s="14" t="s">
        <v>1810</v>
      </c>
      <c r="P207" s="14" t="s">
        <v>1811</v>
      </c>
      <c r="Q207" s="14">
        <v>0</v>
      </c>
      <c r="R207" s="14">
        <v>18</v>
      </c>
    </row>
    <row r="208" spans="2:18">
      <c r="B208" s="14">
        <f t="shared" si="11"/>
        <v>17026</v>
      </c>
      <c r="C208" s="14">
        <v>1</v>
      </c>
      <c r="D208" s="14" t="s">
        <v>909</v>
      </c>
      <c r="E208" s="14">
        <v>0</v>
      </c>
      <c r="F208" s="14" t="s">
        <v>910</v>
      </c>
      <c r="G208" s="14">
        <v>1</v>
      </c>
      <c r="H208" s="14">
        <v>17026</v>
      </c>
      <c r="I208" s="16" t="s">
        <v>2466</v>
      </c>
      <c r="J208" s="33" t="s">
        <v>2467</v>
      </c>
      <c r="K208" s="33" t="s">
        <v>2468</v>
      </c>
      <c r="L208" s="33" t="s">
        <v>2469</v>
      </c>
      <c r="M208" s="33" t="s">
        <v>2470</v>
      </c>
      <c r="N208" s="14" t="s">
        <v>2471</v>
      </c>
      <c r="O208" s="14" t="s">
        <v>2472</v>
      </c>
      <c r="P208" s="14" t="s">
        <v>2473</v>
      </c>
      <c r="Q208" s="14">
        <v>0</v>
      </c>
      <c r="R208" s="14">
        <v>73</v>
      </c>
    </row>
    <row r="209" spans="2:18">
      <c r="B209" s="14">
        <f t="shared" si="11"/>
        <v>15027</v>
      </c>
      <c r="C209" s="14">
        <v>1</v>
      </c>
      <c r="D209" s="14" t="s">
        <v>909</v>
      </c>
      <c r="E209" s="14">
        <v>0</v>
      </c>
      <c r="F209" s="14" t="s">
        <v>910</v>
      </c>
      <c r="G209" s="14">
        <v>1</v>
      </c>
      <c r="H209" s="14">
        <v>15027</v>
      </c>
      <c r="I209" s="16" t="s">
        <v>912</v>
      </c>
      <c r="J209" s="33" t="s">
        <v>474</v>
      </c>
      <c r="K209" s="33" t="s">
        <v>958</v>
      </c>
      <c r="L209" s="33" t="s">
        <v>959</v>
      </c>
      <c r="M209" s="33" t="s">
        <v>473</v>
      </c>
      <c r="N209" s="14" t="s">
        <v>960</v>
      </c>
      <c r="O209" s="14" t="s">
        <v>961</v>
      </c>
      <c r="P209" s="14" t="s">
        <v>962</v>
      </c>
      <c r="Q209" s="14">
        <v>0</v>
      </c>
      <c r="R209" s="14">
        <v>7</v>
      </c>
    </row>
    <row r="210" spans="2:18">
      <c r="B210" s="14">
        <f t="shared" si="11"/>
        <v>16027</v>
      </c>
      <c r="C210" s="14">
        <v>1</v>
      </c>
      <c r="D210" s="14" t="s">
        <v>909</v>
      </c>
      <c r="E210" s="14">
        <v>0</v>
      </c>
      <c r="F210" s="14" t="s">
        <v>910</v>
      </c>
      <c r="G210" s="14">
        <v>1</v>
      </c>
      <c r="H210" s="14">
        <v>16027</v>
      </c>
      <c r="I210" s="16" t="s">
        <v>913</v>
      </c>
      <c r="J210" s="33" t="s">
        <v>477</v>
      </c>
      <c r="K210" s="33" t="s">
        <v>475</v>
      </c>
      <c r="L210" s="33" t="s">
        <v>476</v>
      </c>
      <c r="M210" s="33" t="s">
        <v>963</v>
      </c>
      <c r="N210" s="14" t="s">
        <v>964</v>
      </c>
      <c r="O210" s="14" t="s">
        <v>965</v>
      </c>
      <c r="P210" s="14" t="s">
        <v>791</v>
      </c>
      <c r="Q210" s="14">
        <v>0</v>
      </c>
      <c r="R210" s="14">
        <v>18</v>
      </c>
    </row>
    <row r="211" spans="2:18">
      <c r="B211" s="14">
        <f t="shared" si="11"/>
        <v>17027</v>
      </c>
      <c r="C211" s="14">
        <v>1</v>
      </c>
      <c r="D211" s="14" t="s">
        <v>909</v>
      </c>
      <c r="E211" s="14">
        <v>0</v>
      </c>
      <c r="F211" s="14" t="s">
        <v>910</v>
      </c>
      <c r="G211" s="14">
        <v>1</v>
      </c>
      <c r="H211" s="14">
        <v>17027</v>
      </c>
      <c r="I211" s="16" t="s">
        <v>2474</v>
      </c>
      <c r="J211" s="33" t="s">
        <v>2475</v>
      </c>
      <c r="K211" s="33" t="s">
        <v>2476</v>
      </c>
      <c r="L211" s="33" t="s">
        <v>2477</v>
      </c>
      <c r="M211" s="33" t="s">
        <v>2478</v>
      </c>
      <c r="N211" s="14" t="s">
        <v>2479</v>
      </c>
      <c r="O211" s="14" t="s">
        <v>2480</v>
      </c>
      <c r="P211" s="14" t="s">
        <v>2481</v>
      </c>
      <c r="Q211" s="14">
        <v>0</v>
      </c>
      <c r="R211" s="14">
        <v>39</v>
      </c>
    </row>
    <row r="212" spans="2:18">
      <c r="B212" s="14">
        <f t="shared" si="11"/>
        <v>15028</v>
      </c>
      <c r="C212" s="14">
        <v>1</v>
      </c>
      <c r="D212" s="14" t="s">
        <v>909</v>
      </c>
      <c r="E212" s="14">
        <v>0</v>
      </c>
      <c r="F212" s="14" t="s">
        <v>910</v>
      </c>
      <c r="G212" s="14">
        <v>1</v>
      </c>
      <c r="H212" s="14">
        <v>15028</v>
      </c>
      <c r="I212" s="16" t="s">
        <v>225</v>
      </c>
      <c r="J212" s="33" t="s">
        <v>2365</v>
      </c>
      <c r="K212" s="33" t="s">
        <v>2366</v>
      </c>
      <c r="L212" s="33" t="s">
        <v>2367</v>
      </c>
      <c r="M212" s="33" t="s">
        <v>2368</v>
      </c>
      <c r="N212" s="14" t="s">
        <v>2369</v>
      </c>
      <c r="O212" s="14" t="s">
        <v>2370</v>
      </c>
      <c r="P212" s="14" t="s">
        <v>2371</v>
      </c>
      <c r="Q212" s="14">
        <v>0</v>
      </c>
      <c r="R212" s="14">
        <v>7</v>
      </c>
    </row>
    <row r="213" spans="2:18">
      <c r="B213" s="14">
        <f t="shared" si="11"/>
        <v>16028</v>
      </c>
      <c r="C213" s="14">
        <v>1</v>
      </c>
      <c r="D213" s="14" t="s">
        <v>909</v>
      </c>
      <c r="E213" s="14">
        <v>0</v>
      </c>
      <c r="F213" s="14" t="s">
        <v>910</v>
      </c>
      <c r="G213" s="14">
        <v>1</v>
      </c>
      <c r="H213" s="14">
        <v>16028</v>
      </c>
      <c r="I213" s="16" t="s">
        <v>1774</v>
      </c>
      <c r="J213" s="33" t="s">
        <v>2482</v>
      </c>
      <c r="K213" s="33" t="s">
        <v>1776</v>
      </c>
      <c r="L213" s="33" t="s">
        <v>2419</v>
      </c>
      <c r="M213" s="33" t="s">
        <v>2483</v>
      </c>
      <c r="N213" s="14" t="s">
        <v>2484</v>
      </c>
      <c r="O213" s="14" t="s">
        <v>2485</v>
      </c>
      <c r="P213" s="14" t="s">
        <v>2486</v>
      </c>
      <c r="Q213" s="14">
        <v>0</v>
      </c>
      <c r="R213" s="14">
        <v>16</v>
      </c>
    </row>
    <row r="214" spans="2:18">
      <c r="B214" s="14">
        <f t="shared" si="11"/>
        <v>17028</v>
      </c>
      <c r="C214" s="14">
        <v>1</v>
      </c>
      <c r="D214" s="14" t="s">
        <v>909</v>
      </c>
      <c r="E214" s="14">
        <v>0</v>
      </c>
      <c r="F214" s="14" t="s">
        <v>910</v>
      </c>
      <c r="G214" s="14">
        <v>1</v>
      </c>
      <c r="H214" s="14">
        <v>17028</v>
      </c>
      <c r="I214" s="16" t="s">
        <v>2487</v>
      </c>
      <c r="J214" s="33" t="s">
        <v>2488</v>
      </c>
      <c r="K214" s="33" t="s">
        <v>2489</v>
      </c>
      <c r="L214" s="33" t="s">
        <v>2490</v>
      </c>
      <c r="M214" s="33" t="s">
        <v>2491</v>
      </c>
      <c r="N214" s="14" t="s">
        <v>2492</v>
      </c>
      <c r="O214" s="14" t="s">
        <v>2493</v>
      </c>
      <c r="P214" s="14" t="s">
        <v>2494</v>
      </c>
      <c r="Q214" s="14">
        <v>0</v>
      </c>
      <c r="R214" s="14">
        <v>87</v>
      </c>
    </row>
    <row r="215" spans="2:18">
      <c r="B215" s="14">
        <f t="shared" si="11"/>
        <v>15029</v>
      </c>
      <c r="C215" s="14">
        <v>1</v>
      </c>
      <c r="D215" s="14" t="s">
        <v>909</v>
      </c>
      <c r="E215" s="14">
        <v>0</v>
      </c>
      <c r="F215" s="14" t="s">
        <v>910</v>
      </c>
      <c r="G215" s="14">
        <v>1</v>
      </c>
      <c r="H215" s="14">
        <v>15029</v>
      </c>
      <c r="I215" s="16" t="s">
        <v>225</v>
      </c>
      <c r="J215" s="33" t="s">
        <v>2365</v>
      </c>
      <c r="K215" s="33" t="s">
        <v>2366</v>
      </c>
      <c r="L215" s="33" t="s">
        <v>2367</v>
      </c>
      <c r="M215" s="33" t="s">
        <v>2368</v>
      </c>
      <c r="N215" s="14" t="s">
        <v>2369</v>
      </c>
      <c r="O215" s="14" t="s">
        <v>2370</v>
      </c>
      <c r="P215" s="14" t="s">
        <v>2371</v>
      </c>
      <c r="Q215" s="14">
        <v>0</v>
      </c>
      <c r="R215" s="14">
        <v>7</v>
      </c>
    </row>
    <row r="216" spans="2:18">
      <c r="B216" s="14">
        <f t="shared" si="11"/>
        <v>16029</v>
      </c>
      <c r="C216" s="14">
        <v>1</v>
      </c>
      <c r="D216" s="14" t="s">
        <v>909</v>
      </c>
      <c r="E216" s="14">
        <v>0</v>
      </c>
      <c r="F216" s="14" t="s">
        <v>910</v>
      </c>
      <c r="G216" s="14">
        <v>1</v>
      </c>
      <c r="H216" s="14">
        <v>16029</v>
      </c>
      <c r="I216" s="16" t="s">
        <v>267</v>
      </c>
      <c r="J216" s="33" t="s">
        <v>472</v>
      </c>
      <c r="K216" s="33" t="s">
        <v>950</v>
      </c>
      <c r="L216" s="33" t="s">
        <v>951</v>
      </c>
      <c r="M216" s="33" t="s">
        <v>966</v>
      </c>
      <c r="N216" s="14" t="s">
        <v>952</v>
      </c>
      <c r="O216" s="14" t="s">
        <v>967</v>
      </c>
      <c r="P216" s="14" t="s">
        <v>953</v>
      </c>
      <c r="Q216" s="14">
        <v>0</v>
      </c>
      <c r="R216" s="14">
        <v>16</v>
      </c>
    </row>
    <row r="217" spans="2:18">
      <c r="B217" s="14">
        <f t="shared" si="11"/>
        <v>17029</v>
      </c>
      <c r="C217" s="14">
        <v>1</v>
      </c>
      <c r="D217" s="14" t="s">
        <v>909</v>
      </c>
      <c r="E217" s="14">
        <v>0</v>
      </c>
      <c r="F217" s="14" t="s">
        <v>910</v>
      </c>
      <c r="G217" s="14">
        <v>1</v>
      </c>
      <c r="H217" s="14">
        <v>17029</v>
      </c>
      <c r="I217" s="16" t="s">
        <v>2495</v>
      </c>
      <c r="J217" s="33" t="s">
        <v>2496</v>
      </c>
      <c r="K217" s="33" t="s">
        <v>2497</v>
      </c>
      <c r="L217" s="33" t="s">
        <v>2498</v>
      </c>
      <c r="M217" s="33" t="s">
        <v>2499</v>
      </c>
      <c r="N217" s="14" t="s">
        <v>2500</v>
      </c>
      <c r="O217" s="14" t="s">
        <v>2501</v>
      </c>
      <c r="P217" s="14" t="s">
        <v>2502</v>
      </c>
      <c r="Q217" s="14">
        <v>0</v>
      </c>
      <c r="R217" s="14">
        <v>88</v>
      </c>
    </row>
    <row r="218" spans="2:18">
      <c r="B218" s="14">
        <f t="shared" si="11"/>
        <v>15032</v>
      </c>
      <c r="C218" s="14">
        <v>1</v>
      </c>
      <c r="D218" s="14" t="s">
        <v>909</v>
      </c>
      <c r="E218" s="14">
        <v>0</v>
      </c>
      <c r="F218" s="14" t="s">
        <v>910</v>
      </c>
      <c r="G218" s="14">
        <v>1</v>
      </c>
      <c r="H218" s="14">
        <v>15032</v>
      </c>
      <c r="I218" s="16" t="s">
        <v>225</v>
      </c>
      <c r="J218" s="33" t="s">
        <v>2365</v>
      </c>
      <c r="K218" s="33" t="s">
        <v>2366</v>
      </c>
      <c r="L218" s="33" t="s">
        <v>2367</v>
      </c>
      <c r="M218" s="33" t="s">
        <v>2368</v>
      </c>
      <c r="N218" s="14" t="s">
        <v>2369</v>
      </c>
      <c r="O218" s="14" t="s">
        <v>2503</v>
      </c>
      <c r="P218" s="14" t="s">
        <v>2371</v>
      </c>
      <c r="Q218" s="14">
        <v>0</v>
      </c>
      <c r="R218" s="14">
        <v>7</v>
      </c>
    </row>
    <row r="219" spans="2:18">
      <c r="B219" s="14">
        <f t="shared" si="11"/>
        <v>16032</v>
      </c>
      <c r="C219" s="14">
        <v>1</v>
      </c>
      <c r="D219" s="14" t="s">
        <v>909</v>
      </c>
      <c r="E219" s="14">
        <v>0</v>
      </c>
      <c r="F219" s="14" t="s">
        <v>910</v>
      </c>
      <c r="G219" s="14">
        <v>1</v>
      </c>
      <c r="H219" s="14">
        <v>16032</v>
      </c>
      <c r="I219" s="16" t="s">
        <v>267</v>
      </c>
      <c r="J219" s="33" t="s">
        <v>472</v>
      </c>
      <c r="K219" s="33" t="s">
        <v>950</v>
      </c>
      <c r="L219" s="33" t="s">
        <v>951</v>
      </c>
      <c r="M219" s="33" t="s">
        <v>816</v>
      </c>
      <c r="N219" s="14" t="s">
        <v>952</v>
      </c>
      <c r="O219" s="14" t="s">
        <v>788</v>
      </c>
      <c r="P219" s="14" t="s">
        <v>953</v>
      </c>
      <c r="Q219" s="14">
        <v>0</v>
      </c>
      <c r="R219" s="14">
        <v>16</v>
      </c>
    </row>
    <row r="220" spans="2:18">
      <c r="B220" s="14">
        <f t="shared" si="11"/>
        <v>17032</v>
      </c>
      <c r="C220" s="14">
        <v>1</v>
      </c>
      <c r="D220" s="14" t="s">
        <v>909</v>
      </c>
      <c r="E220" s="14">
        <v>0</v>
      </c>
      <c r="F220" s="14" t="s">
        <v>910</v>
      </c>
      <c r="G220" s="14">
        <v>1</v>
      </c>
      <c r="H220" s="14">
        <v>17032</v>
      </c>
      <c r="I220" s="16" t="s">
        <v>2504</v>
      </c>
      <c r="J220" s="33" t="s">
        <v>2201</v>
      </c>
      <c r="K220" s="33" t="s">
        <v>2201</v>
      </c>
      <c r="L220" s="33" t="s">
        <v>2201</v>
      </c>
      <c r="M220" s="33" t="s">
        <v>2201</v>
      </c>
      <c r="N220" s="14" t="s">
        <v>2201</v>
      </c>
      <c r="O220" s="14" t="s">
        <v>2201</v>
      </c>
      <c r="P220" s="14" t="s">
        <v>2201</v>
      </c>
      <c r="Q220" s="14">
        <v>0</v>
      </c>
      <c r="R220" s="14">
        <v>87</v>
      </c>
    </row>
    <row r="221" spans="2:18">
      <c r="B221" s="14">
        <f t="shared" si="11"/>
        <v>15033</v>
      </c>
      <c r="C221" s="14">
        <v>1</v>
      </c>
      <c r="D221" s="14" t="s">
        <v>909</v>
      </c>
      <c r="E221" s="14">
        <v>0</v>
      </c>
      <c r="F221" s="14" t="s">
        <v>910</v>
      </c>
      <c r="G221" s="14">
        <v>1</v>
      </c>
      <c r="H221" s="14">
        <v>15033</v>
      </c>
      <c r="I221" s="16" t="s">
        <v>3426</v>
      </c>
      <c r="J221" s="33" t="s">
        <v>3427</v>
      </c>
      <c r="K221" s="33" t="s">
        <v>3428</v>
      </c>
      <c r="L221" s="33" t="s">
        <v>3429</v>
      </c>
      <c r="M221" s="33" t="s">
        <v>3430</v>
      </c>
      <c r="N221" s="14" t="s">
        <v>3431</v>
      </c>
      <c r="O221" s="14" t="s">
        <v>3432</v>
      </c>
      <c r="P221" s="14" t="s">
        <v>3433</v>
      </c>
      <c r="Q221" s="14">
        <v>0</v>
      </c>
      <c r="R221" s="14">
        <v>9</v>
      </c>
    </row>
    <row r="222" spans="2:18">
      <c r="B222" s="14">
        <f t="shared" si="11"/>
        <v>16033</v>
      </c>
      <c r="C222" s="14">
        <v>1</v>
      </c>
      <c r="D222" s="14" t="s">
        <v>909</v>
      </c>
      <c r="E222" s="14">
        <v>0</v>
      </c>
      <c r="F222" s="14" t="s">
        <v>910</v>
      </c>
      <c r="G222" s="14">
        <v>1</v>
      </c>
      <c r="H222" s="14">
        <v>16033</v>
      </c>
      <c r="I222" s="16" t="s">
        <v>3434</v>
      </c>
      <c r="J222" s="33" t="s">
        <v>3435</v>
      </c>
      <c r="K222" s="33" t="s">
        <v>3436</v>
      </c>
      <c r="L222" s="33" t="s">
        <v>3437</v>
      </c>
      <c r="M222" s="33" t="s">
        <v>3438</v>
      </c>
      <c r="N222" s="14" t="s">
        <v>3439</v>
      </c>
      <c r="O222" s="14" t="s">
        <v>3440</v>
      </c>
      <c r="P222" s="14" t="s">
        <v>3441</v>
      </c>
      <c r="Q222" s="14">
        <v>0</v>
      </c>
      <c r="R222" s="14">
        <v>16</v>
      </c>
    </row>
    <row r="223" spans="2:18">
      <c r="B223" s="14">
        <f t="shared" si="11"/>
        <v>17033</v>
      </c>
      <c r="C223" s="14">
        <v>1</v>
      </c>
      <c r="D223" s="14" t="s">
        <v>909</v>
      </c>
      <c r="E223" s="14">
        <v>0</v>
      </c>
      <c r="F223" s="14" t="s">
        <v>910</v>
      </c>
      <c r="G223" s="14">
        <v>1</v>
      </c>
      <c r="H223" s="14">
        <v>17033</v>
      </c>
      <c r="I223" s="16" t="s">
        <v>2505</v>
      </c>
      <c r="J223" s="33" t="s">
        <v>2506</v>
      </c>
      <c r="K223" s="33" t="s">
        <v>2507</v>
      </c>
      <c r="L223" s="33" t="s">
        <v>3442</v>
      </c>
      <c r="M223" s="33" t="s">
        <v>2508</v>
      </c>
      <c r="N223" s="14" t="s">
        <v>2509</v>
      </c>
      <c r="O223" s="14" t="s">
        <v>2510</v>
      </c>
      <c r="P223" s="14" t="s">
        <v>2511</v>
      </c>
      <c r="Q223" s="14">
        <v>0</v>
      </c>
      <c r="R223" s="14">
        <v>78</v>
      </c>
    </row>
    <row r="224" spans="2:18">
      <c r="B224" s="14">
        <f t="shared" si="11"/>
        <v>15034</v>
      </c>
      <c r="C224" s="14">
        <v>1</v>
      </c>
      <c r="D224" s="14" t="s">
        <v>909</v>
      </c>
      <c r="E224" s="14">
        <v>0</v>
      </c>
      <c r="F224" s="14" t="s">
        <v>910</v>
      </c>
      <c r="G224" s="14">
        <v>1</v>
      </c>
      <c r="H224" s="14">
        <v>15034</v>
      </c>
      <c r="I224" s="16" t="s">
        <v>3426</v>
      </c>
      <c r="J224" s="33" t="s">
        <v>3427</v>
      </c>
      <c r="K224" s="33" t="s">
        <v>3428</v>
      </c>
      <c r="L224" s="33" t="s">
        <v>3429</v>
      </c>
      <c r="M224" s="33" t="s">
        <v>3430</v>
      </c>
      <c r="N224" s="14" t="s">
        <v>3431</v>
      </c>
      <c r="O224" s="14" t="s">
        <v>3432</v>
      </c>
      <c r="P224" s="14" t="s">
        <v>3433</v>
      </c>
      <c r="Q224" s="14">
        <v>0</v>
      </c>
      <c r="R224" s="14">
        <v>9</v>
      </c>
    </row>
    <row r="225" spans="2:18">
      <c r="B225" s="14">
        <f t="shared" si="11"/>
        <v>16034</v>
      </c>
      <c r="C225" s="14">
        <v>1</v>
      </c>
      <c r="D225" s="14" t="s">
        <v>909</v>
      </c>
      <c r="E225" s="14">
        <v>0</v>
      </c>
      <c r="F225" s="14" t="s">
        <v>910</v>
      </c>
      <c r="G225" s="14">
        <v>1</v>
      </c>
      <c r="H225" s="14">
        <v>16034</v>
      </c>
      <c r="I225" s="16" t="s">
        <v>3443</v>
      </c>
      <c r="J225" s="33" t="s">
        <v>3444</v>
      </c>
      <c r="K225" s="33" t="s">
        <v>3445</v>
      </c>
      <c r="L225" s="33" t="s">
        <v>3437</v>
      </c>
      <c r="M225" s="33" t="s">
        <v>3446</v>
      </c>
      <c r="N225" s="14" t="s">
        <v>3447</v>
      </c>
      <c r="O225" s="14" t="s">
        <v>3448</v>
      </c>
      <c r="P225" s="14" t="s">
        <v>3449</v>
      </c>
      <c r="Q225" s="14">
        <v>0</v>
      </c>
      <c r="R225" s="14">
        <v>16</v>
      </c>
    </row>
    <row r="226" spans="2:18">
      <c r="B226" s="14">
        <f t="shared" si="11"/>
        <v>17034</v>
      </c>
      <c r="C226" s="14">
        <v>1</v>
      </c>
      <c r="D226" s="14" t="s">
        <v>909</v>
      </c>
      <c r="E226" s="14">
        <v>0</v>
      </c>
      <c r="F226" s="14" t="s">
        <v>910</v>
      </c>
      <c r="G226" s="14">
        <v>1</v>
      </c>
      <c r="H226" s="14">
        <v>17034</v>
      </c>
      <c r="I226" s="16" t="s">
        <v>2512</v>
      </c>
      <c r="J226" s="33" t="s">
        <v>2513</v>
      </c>
      <c r="K226" s="33" t="s">
        <v>2514</v>
      </c>
      <c r="L226" s="33" t="s">
        <v>3450</v>
      </c>
      <c r="M226" s="33" t="s">
        <v>2515</v>
      </c>
      <c r="N226" s="14" t="s">
        <v>2516</v>
      </c>
      <c r="O226" s="14" t="s">
        <v>2517</v>
      </c>
      <c r="P226" s="14" t="s">
        <v>2518</v>
      </c>
      <c r="Q226" s="14">
        <v>0</v>
      </c>
      <c r="R226" s="14">
        <v>87</v>
      </c>
    </row>
    <row r="227" spans="2:18">
      <c r="B227" s="14">
        <f t="shared" si="11"/>
        <v>15035</v>
      </c>
      <c r="C227" s="14">
        <v>1</v>
      </c>
      <c r="D227" s="14" t="s">
        <v>909</v>
      </c>
      <c r="E227" s="14">
        <v>0</v>
      </c>
      <c r="F227" s="14" t="s">
        <v>910</v>
      </c>
      <c r="G227" s="14">
        <v>1</v>
      </c>
      <c r="H227" s="14">
        <v>15035</v>
      </c>
      <c r="I227" s="16" t="s">
        <v>3426</v>
      </c>
      <c r="J227" s="33" t="s">
        <v>3427</v>
      </c>
      <c r="K227" s="33" t="s">
        <v>3428</v>
      </c>
      <c r="L227" s="33" t="s">
        <v>3429</v>
      </c>
      <c r="M227" s="33" t="s">
        <v>3430</v>
      </c>
      <c r="N227" s="14" t="s">
        <v>3431</v>
      </c>
      <c r="O227" s="14" t="s">
        <v>3432</v>
      </c>
      <c r="P227" s="14" t="s">
        <v>3433</v>
      </c>
      <c r="Q227" s="14">
        <v>0</v>
      </c>
      <c r="R227" s="14">
        <v>9</v>
      </c>
    </row>
    <row r="228" spans="2:18">
      <c r="B228" s="14">
        <f t="shared" si="11"/>
        <v>16035</v>
      </c>
      <c r="C228" s="14">
        <v>1</v>
      </c>
      <c r="D228" s="14" t="s">
        <v>909</v>
      </c>
      <c r="E228" s="14">
        <v>0</v>
      </c>
      <c r="F228" s="14" t="s">
        <v>910</v>
      </c>
      <c r="G228" s="14">
        <v>1</v>
      </c>
      <c r="H228" s="14">
        <v>16035</v>
      </c>
      <c r="I228" s="16" t="s">
        <v>3443</v>
      </c>
      <c r="J228" s="33" t="s">
        <v>3444</v>
      </c>
      <c r="K228" s="33" t="s">
        <v>3445</v>
      </c>
      <c r="L228" s="33" t="s">
        <v>3437</v>
      </c>
      <c r="M228" s="33" t="s">
        <v>3446</v>
      </c>
      <c r="N228" s="14" t="s">
        <v>3447</v>
      </c>
      <c r="O228" s="14" t="s">
        <v>3448</v>
      </c>
      <c r="P228" s="14" t="s">
        <v>3449</v>
      </c>
      <c r="Q228" s="14">
        <v>0</v>
      </c>
      <c r="R228" s="14">
        <v>16</v>
      </c>
    </row>
    <row r="229" spans="2:18">
      <c r="B229" s="14">
        <f t="shared" si="11"/>
        <v>17035</v>
      </c>
      <c r="C229" s="14">
        <v>1</v>
      </c>
      <c r="D229" s="14" t="s">
        <v>909</v>
      </c>
      <c r="E229" s="14">
        <v>0</v>
      </c>
      <c r="F229" s="14" t="s">
        <v>910</v>
      </c>
      <c r="G229" s="14">
        <v>1</v>
      </c>
      <c r="H229" s="14">
        <v>17035</v>
      </c>
      <c r="I229" s="16" t="s">
        <v>2519</v>
      </c>
      <c r="J229" s="33" t="s">
        <v>2520</v>
      </c>
      <c r="K229" s="33" t="s">
        <v>2521</v>
      </c>
      <c r="L229" s="33" t="s">
        <v>3451</v>
      </c>
      <c r="M229" s="33" t="s">
        <v>2522</v>
      </c>
      <c r="N229" s="14" t="s">
        <v>2523</v>
      </c>
      <c r="O229" s="14" t="s">
        <v>2524</v>
      </c>
      <c r="P229" s="14" t="s">
        <v>2525</v>
      </c>
      <c r="Q229" s="14">
        <v>0</v>
      </c>
      <c r="R229" s="14">
        <v>93</v>
      </c>
    </row>
    <row r="230" spans="2:18">
      <c r="B230" s="14">
        <f t="shared" si="11"/>
        <v>15036</v>
      </c>
      <c r="C230" s="14">
        <v>1</v>
      </c>
      <c r="D230" s="14" t="s">
        <v>909</v>
      </c>
      <c r="E230" s="14">
        <v>0</v>
      </c>
      <c r="F230" s="14" t="s">
        <v>910</v>
      </c>
      <c r="G230" s="14">
        <v>1</v>
      </c>
      <c r="H230" s="14">
        <v>15036</v>
      </c>
      <c r="I230" s="16" t="s">
        <v>3452</v>
      </c>
      <c r="J230" s="33" t="s">
        <v>3453</v>
      </c>
      <c r="K230" s="33" t="s">
        <v>3454</v>
      </c>
      <c r="L230" s="33" t="s">
        <v>3455</v>
      </c>
      <c r="M230" s="33" t="s">
        <v>3456</v>
      </c>
      <c r="N230" s="14" t="s">
        <v>3457</v>
      </c>
      <c r="O230" s="14" t="s">
        <v>3458</v>
      </c>
      <c r="P230" s="14" t="s">
        <v>3459</v>
      </c>
      <c r="Q230" s="14">
        <v>0</v>
      </c>
      <c r="R230" s="14">
        <v>12</v>
      </c>
    </row>
    <row r="231" spans="2:18">
      <c r="B231" s="14">
        <f t="shared" si="11"/>
        <v>16036</v>
      </c>
      <c r="C231" s="14">
        <v>1</v>
      </c>
      <c r="D231" s="14" t="s">
        <v>909</v>
      </c>
      <c r="E231" s="14">
        <v>0</v>
      </c>
      <c r="F231" s="14" t="s">
        <v>910</v>
      </c>
      <c r="G231" s="14">
        <v>1</v>
      </c>
      <c r="H231" s="14">
        <v>16036</v>
      </c>
      <c r="I231" s="16" t="s">
        <v>2526</v>
      </c>
      <c r="J231" s="33" t="s">
        <v>2527</v>
      </c>
      <c r="K231" s="33" t="s">
        <v>2528</v>
      </c>
      <c r="L231" s="33" t="s">
        <v>3460</v>
      </c>
      <c r="M231" s="33" t="s">
        <v>2529</v>
      </c>
      <c r="N231" s="14" t="s">
        <v>2530</v>
      </c>
      <c r="O231" s="14" t="s">
        <v>2531</v>
      </c>
      <c r="P231" s="14" t="s">
        <v>2532</v>
      </c>
      <c r="Q231" s="14">
        <v>0</v>
      </c>
      <c r="R231" s="14">
        <v>19</v>
      </c>
    </row>
    <row r="232" spans="2:18">
      <c r="B232" s="14">
        <f t="shared" si="11"/>
        <v>17036</v>
      </c>
      <c r="C232" s="14">
        <v>1</v>
      </c>
      <c r="D232" s="14" t="s">
        <v>909</v>
      </c>
      <c r="E232" s="14">
        <v>0</v>
      </c>
      <c r="F232" s="14" t="s">
        <v>910</v>
      </c>
      <c r="G232" s="14">
        <v>1</v>
      </c>
      <c r="H232" s="14">
        <v>17036</v>
      </c>
      <c r="I232" s="16" t="s">
        <v>2533</v>
      </c>
      <c r="J232" s="33" t="s">
        <v>2534</v>
      </c>
      <c r="K232" s="33" t="s">
        <v>2535</v>
      </c>
      <c r="L232" s="33" t="s">
        <v>3461</v>
      </c>
      <c r="M232" s="33" t="s">
        <v>2536</v>
      </c>
      <c r="N232" s="14" t="s">
        <v>2537</v>
      </c>
      <c r="O232" s="14" t="s">
        <v>2538</v>
      </c>
      <c r="P232" s="14" t="s">
        <v>2539</v>
      </c>
      <c r="Q232" s="14">
        <v>0</v>
      </c>
      <c r="R232" s="14">
        <v>82</v>
      </c>
    </row>
    <row r="233" spans="2:18">
      <c r="B233" s="14">
        <f t="shared" si="11"/>
        <v>15037</v>
      </c>
      <c r="C233" s="14">
        <v>1</v>
      </c>
      <c r="D233" s="14" t="s">
        <v>909</v>
      </c>
      <c r="E233" s="14">
        <v>0</v>
      </c>
      <c r="F233" s="14" t="s">
        <v>910</v>
      </c>
      <c r="G233" s="14">
        <v>1</v>
      </c>
      <c r="H233" s="14">
        <v>15037</v>
      </c>
      <c r="I233" s="16" t="s">
        <v>3452</v>
      </c>
      <c r="J233" s="33" t="s">
        <v>3453</v>
      </c>
      <c r="K233" s="33" t="s">
        <v>3454</v>
      </c>
      <c r="L233" s="33" t="s">
        <v>3455</v>
      </c>
      <c r="M233" s="33" t="s">
        <v>3456</v>
      </c>
      <c r="N233" s="14" t="s">
        <v>3457</v>
      </c>
      <c r="O233" s="14" t="s">
        <v>3458</v>
      </c>
      <c r="P233" s="14" t="s">
        <v>3459</v>
      </c>
      <c r="Q233" s="14">
        <v>0</v>
      </c>
      <c r="R233" s="14">
        <v>12</v>
      </c>
    </row>
    <row r="234" spans="2:18">
      <c r="B234" s="14">
        <f t="shared" si="11"/>
        <v>16037</v>
      </c>
      <c r="C234" s="14">
        <v>1</v>
      </c>
      <c r="D234" s="14" t="s">
        <v>909</v>
      </c>
      <c r="E234" s="14">
        <v>0</v>
      </c>
      <c r="F234" s="14" t="s">
        <v>910</v>
      </c>
      <c r="G234" s="14">
        <v>1</v>
      </c>
      <c r="H234" s="14">
        <v>16037</v>
      </c>
      <c r="I234" s="16" t="s">
        <v>3462</v>
      </c>
      <c r="J234" s="33" t="s">
        <v>3463</v>
      </c>
      <c r="K234" s="33" t="s">
        <v>3464</v>
      </c>
      <c r="L234" s="33" t="s">
        <v>3465</v>
      </c>
      <c r="M234" s="33" t="s">
        <v>3466</v>
      </c>
      <c r="N234" s="14" t="s">
        <v>3467</v>
      </c>
      <c r="O234" s="14" t="s">
        <v>3468</v>
      </c>
      <c r="P234" s="14" t="s">
        <v>3469</v>
      </c>
      <c r="Q234" s="14">
        <v>0</v>
      </c>
      <c r="R234" s="14">
        <v>19</v>
      </c>
    </row>
    <row r="235" spans="2:18">
      <c r="B235" s="14">
        <f t="shared" si="11"/>
        <v>17037</v>
      </c>
      <c r="C235" s="14">
        <v>1</v>
      </c>
      <c r="D235" s="14" t="s">
        <v>909</v>
      </c>
      <c r="E235" s="14">
        <v>0</v>
      </c>
      <c r="F235" s="14" t="s">
        <v>910</v>
      </c>
      <c r="G235" s="14">
        <v>1</v>
      </c>
      <c r="H235" s="14">
        <v>17037</v>
      </c>
      <c r="I235" s="16" t="s">
        <v>947</v>
      </c>
      <c r="J235" s="33" t="s">
        <v>2540</v>
      </c>
      <c r="K235" s="33" t="s">
        <v>2541</v>
      </c>
      <c r="L235" s="33" t="s">
        <v>3470</v>
      </c>
      <c r="M235" s="33" t="s">
        <v>2542</v>
      </c>
      <c r="N235" s="14" t="s">
        <v>2543</v>
      </c>
      <c r="O235" s="14" t="s">
        <v>2544</v>
      </c>
      <c r="P235" s="14" t="s">
        <v>2545</v>
      </c>
      <c r="Q235" s="14">
        <v>0</v>
      </c>
      <c r="R235" s="14">
        <v>94</v>
      </c>
    </row>
    <row r="236" spans="2:18">
      <c r="B236" s="14">
        <f t="shared" si="11"/>
        <v>15038</v>
      </c>
      <c r="C236" s="14">
        <v>1</v>
      </c>
      <c r="D236" s="14" t="s">
        <v>909</v>
      </c>
      <c r="E236" s="14">
        <v>0</v>
      </c>
      <c r="F236" s="14" t="s">
        <v>910</v>
      </c>
      <c r="G236" s="14">
        <v>1</v>
      </c>
      <c r="H236" s="14">
        <v>15038</v>
      </c>
      <c r="I236" s="16" t="s">
        <v>3452</v>
      </c>
      <c r="J236" s="33" t="s">
        <v>3453</v>
      </c>
      <c r="K236" s="33" t="s">
        <v>3454</v>
      </c>
      <c r="L236" s="33" t="s">
        <v>3455</v>
      </c>
      <c r="M236" s="33" t="s">
        <v>3456</v>
      </c>
      <c r="N236" s="14" t="s">
        <v>3457</v>
      </c>
      <c r="O236" s="14" t="s">
        <v>3458</v>
      </c>
      <c r="P236" s="14" t="s">
        <v>3459</v>
      </c>
      <c r="Q236" s="14">
        <v>0</v>
      </c>
      <c r="R236" s="14">
        <v>12</v>
      </c>
    </row>
    <row r="237" spans="2:18">
      <c r="B237" s="14">
        <f t="shared" si="11"/>
        <v>16038</v>
      </c>
      <c r="C237" s="14">
        <v>1</v>
      </c>
      <c r="D237" s="14" t="s">
        <v>909</v>
      </c>
      <c r="E237" s="14">
        <v>0</v>
      </c>
      <c r="F237" s="14" t="s">
        <v>910</v>
      </c>
      <c r="G237" s="14">
        <v>1</v>
      </c>
      <c r="H237" s="14">
        <v>16038</v>
      </c>
      <c r="I237" s="16" t="s">
        <v>3462</v>
      </c>
      <c r="J237" s="33" t="s">
        <v>3463</v>
      </c>
      <c r="K237" s="33" t="s">
        <v>3464</v>
      </c>
      <c r="L237" s="33" t="s">
        <v>3465</v>
      </c>
      <c r="M237" s="33" t="s">
        <v>3466</v>
      </c>
      <c r="N237" s="14" t="s">
        <v>3467</v>
      </c>
      <c r="O237" s="14" t="s">
        <v>3468</v>
      </c>
      <c r="P237" s="14" t="s">
        <v>3469</v>
      </c>
      <c r="Q237" s="14">
        <v>0</v>
      </c>
      <c r="R237" s="14">
        <v>19</v>
      </c>
    </row>
    <row r="238" spans="2:18">
      <c r="B238" s="14">
        <f t="shared" si="11"/>
        <v>17038</v>
      </c>
      <c r="C238" s="14">
        <v>1</v>
      </c>
      <c r="D238" s="14" t="s">
        <v>909</v>
      </c>
      <c r="E238" s="14">
        <v>0</v>
      </c>
      <c r="F238" s="14" t="s">
        <v>910</v>
      </c>
      <c r="G238" s="14">
        <v>1</v>
      </c>
      <c r="H238" s="14">
        <v>17038</v>
      </c>
      <c r="I238" s="16" t="s">
        <v>948</v>
      </c>
      <c r="J238" s="33" t="s">
        <v>2546</v>
      </c>
      <c r="K238" s="33" t="s">
        <v>2547</v>
      </c>
      <c r="L238" s="33" t="s">
        <v>3471</v>
      </c>
      <c r="M238" s="33" t="s">
        <v>2548</v>
      </c>
      <c r="N238" s="14" t="s">
        <v>2549</v>
      </c>
      <c r="O238" s="14" t="s">
        <v>2550</v>
      </c>
      <c r="P238" s="14" t="s">
        <v>2551</v>
      </c>
      <c r="Q238" s="14">
        <v>0</v>
      </c>
      <c r="R238" s="14">
        <v>100</v>
      </c>
    </row>
    <row r="239" spans="2:18">
      <c r="B239" s="14">
        <f t="shared" si="11"/>
        <v>15039</v>
      </c>
      <c r="C239" s="14">
        <v>1</v>
      </c>
      <c r="D239" s="14" t="s">
        <v>954</v>
      </c>
      <c r="E239" s="14"/>
      <c r="F239" s="14" t="s">
        <v>956</v>
      </c>
      <c r="G239" s="14">
        <v>1</v>
      </c>
      <c r="H239" s="60">
        <v>15039</v>
      </c>
      <c r="I239" s="16" t="s">
        <v>891</v>
      </c>
      <c r="J239" s="33" t="s">
        <v>918</v>
      </c>
      <c r="K239" s="33" t="s">
        <v>919</v>
      </c>
      <c r="L239" s="33" t="s">
        <v>920</v>
      </c>
      <c r="M239" s="33" t="s">
        <v>921</v>
      </c>
      <c r="N239" s="33" t="s">
        <v>922</v>
      </c>
      <c r="O239" s="33" t="s">
        <v>923</v>
      </c>
      <c r="P239" s="33" t="s">
        <v>924</v>
      </c>
      <c r="Q239" s="33">
        <v>0</v>
      </c>
      <c r="R239" s="14">
        <f t="shared" ref="R239:R244" si="12">IF(LEN(I239)&gt;=333, "Text too Long", LEN(I239))</f>
        <v>8</v>
      </c>
    </row>
    <row r="240" spans="2:18">
      <c r="B240" s="14">
        <f t="shared" si="11"/>
        <v>16039</v>
      </c>
      <c r="C240" s="14">
        <v>1</v>
      </c>
      <c r="D240" s="14" t="s">
        <v>949</v>
      </c>
      <c r="E240" s="14"/>
      <c r="F240" s="14" t="s">
        <v>955</v>
      </c>
      <c r="G240" s="14">
        <v>1</v>
      </c>
      <c r="H240" s="60">
        <v>16039</v>
      </c>
      <c r="I240" s="16" t="s">
        <v>892</v>
      </c>
      <c r="J240" s="33" t="s">
        <v>925</v>
      </c>
      <c r="K240" s="33" t="s">
        <v>926</v>
      </c>
      <c r="L240" s="33" t="s">
        <v>927</v>
      </c>
      <c r="M240" s="33" t="s">
        <v>928</v>
      </c>
      <c r="N240" s="33" t="s">
        <v>929</v>
      </c>
      <c r="O240" s="33" t="s">
        <v>930</v>
      </c>
      <c r="P240" s="33" t="s">
        <v>931</v>
      </c>
      <c r="Q240" s="33">
        <v>0</v>
      </c>
      <c r="R240" s="14">
        <f t="shared" si="12"/>
        <v>15</v>
      </c>
    </row>
    <row r="241" spans="2:18">
      <c r="B241" s="14">
        <f t="shared" si="11"/>
        <v>17039</v>
      </c>
      <c r="C241" s="14">
        <v>1</v>
      </c>
      <c r="D241" s="14" t="s">
        <v>949</v>
      </c>
      <c r="E241" s="14"/>
      <c r="F241" s="14" t="s">
        <v>955</v>
      </c>
      <c r="G241" s="14">
        <v>1</v>
      </c>
      <c r="H241" s="60">
        <v>17039</v>
      </c>
      <c r="I241" s="16" t="s">
        <v>968</v>
      </c>
      <c r="J241" s="33" t="s">
        <v>2552</v>
      </c>
      <c r="K241" s="33" t="s">
        <v>2553</v>
      </c>
      <c r="L241" s="112" t="s">
        <v>2554</v>
      </c>
      <c r="M241" s="33" t="s">
        <v>2555</v>
      </c>
      <c r="N241" s="51" t="s">
        <v>3472</v>
      </c>
      <c r="O241" s="33" t="s">
        <v>2556</v>
      </c>
      <c r="P241" s="33" t="s">
        <v>2557</v>
      </c>
      <c r="Q241" s="33">
        <v>0</v>
      </c>
      <c r="R241" s="14">
        <f t="shared" si="12"/>
        <v>163</v>
      </c>
    </row>
    <row r="242" spans="2:18">
      <c r="B242" s="14">
        <f t="shared" si="11"/>
        <v>15040</v>
      </c>
      <c r="C242" s="14">
        <v>1</v>
      </c>
      <c r="D242" s="14" t="s">
        <v>949</v>
      </c>
      <c r="E242" s="14"/>
      <c r="F242" s="14" t="s">
        <v>955</v>
      </c>
      <c r="G242" s="14">
        <v>1</v>
      </c>
      <c r="H242" s="60">
        <v>15040</v>
      </c>
      <c r="I242" s="16" t="s">
        <v>891</v>
      </c>
      <c r="J242" s="33" t="s">
        <v>918</v>
      </c>
      <c r="K242" s="33" t="s">
        <v>919</v>
      </c>
      <c r="L242" s="33" t="s">
        <v>920</v>
      </c>
      <c r="M242" s="33" t="s">
        <v>921</v>
      </c>
      <c r="N242" s="33" t="s">
        <v>922</v>
      </c>
      <c r="O242" s="33" t="s">
        <v>923</v>
      </c>
      <c r="P242" s="33" t="s">
        <v>932</v>
      </c>
      <c r="Q242" s="33">
        <v>0</v>
      </c>
      <c r="R242" s="14">
        <f t="shared" si="12"/>
        <v>8</v>
      </c>
    </row>
    <row r="243" spans="2:18">
      <c r="B243" s="14">
        <f t="shared" si="11"/>
        <v>16040</v>
      </c>
      <c r="C243" s="14">
        <v>1</v>
      </c>
      <c r="D243" s="14" t="s">
        <v>949</v>
      </c>
      <c r="E243" s="14"/>
      <c r="F243" s="14" t="s">
        <v>955</v>
      </c>
      <c r="G243" s="14">
        <v>1</v>
      </c>
      <c r="H243" s="60">
        <v>16040</v>
      </c>
      <c r="I243" s="16" t="s">
        <v>892</v>
      </c>
      <c r="J243" s="33" t="s">
        <v>925</v>
      </c>
      <c r="K243" s="33" t="s">
        <v>926</v>
      </c>
      <c r="L243" s="33" t="s">
        <v>927</v>
      </c>
      <c r="M243" s="33" t="s">
        <v>928</v>
      </c>
      <c r="N243" s="33" t="s">
        <v>929</v>
      </c>
      <c r="O243" s="33" t="s">
        <v>930</v>
      </c>
      <c r="P243" s="33" t="s">
        <v>931</v>
      </c>
      <c r="Q243" s="33">
        <v>0</v>
      </c>
      <c r="R243" s="14">
        <f t="shared" si="12"/>
        <v>15</v>
      </c>
    </row>
    <row r="244" spans="2:18" ht="17.25" thickBot="1">
      <c r="B244" s="14">
        <f t="shared" si="11"/>
        <v>17040</v>
      </c>
      <c r="C244" s="76">
        <v>1</v>
      </c>
      <c r="D244" s="76" t="s">
        <v>949</v>
      </c>
      <c r="E244" s="76"/>
      <c r="F244" s="76" t="s">
        <v>955</v>
      </c>
      <c r="G244" s="76">
        <v>1</v>
      </c>
      <c r="H244" s="77">
        <v>17040</v>
      </c>
      <c r="I244" s="78" t="s">
        <v>968</v>
      </c>
      <c r="J244" s="33" t="s">
        <v>2552</v>
      </c>
      <c r="K244" s="79" t="s">
        <v>2553</v>
      </c>
      <c r="L244" s="79" t="s">
        <v>2554</v>
      </c>
      <c r="M244" s="79" t="s">
        <v>2555</v>
      </c>
      <c r="N244" s="79" t="s">
        <v>3472</v>
      </c>
      <c r="O244" s="79" t="s">
        <v>2556</v>
      </c>
      <c r="P244" s="79" t="s">
        <v>2557</v>
      </c>
      <c r="Q244" s="79">
        <v>0</v>
      </c>
      <c r="R244" s="14">
        <f t="shared" si="12"/>
        <v>163</v>
      </c>
    </row>
    <row r="245" spans="2:18">
      <c r="B245" s="14">
        <f t="shared" ref="B245:B250" si="13">H245</f>
        <v>15100</v>
      </c>
      <c r="C245" s="14">
        <v>1</v>
      </c>
      <c r="D245" s="14"/>
      <c r="E245" s="14"/>
      <c r="F245" s="14" t="s">
        <v>893</v>
      </c>
      <c r="G245" s="14">
        <v>1</v>
      </c>
      <c r="H245" s="60">
        <v>15100</v>
      </c>
      <c r="I245" s="16" t="s">
        <v>891</v>
      </c>
      <c r="J245" s="33" t="s">
        <v>918</v>
      </c>
      <c r="K245" s="33" t="s">
        <v>919</v>
      </c>
      <c r="L245" s="33" t="s">
        <v>920</v>
      </c>
      <c r="M245" s="33" t="s">
        <v>921</v>
      </c>
      <c r="N245" s="33" t="s">
        <v>922</v>
      </c>
      <c r="O245" s="33" t="s">
        <v>923</v>
      </c>
      <c r="P245" s="33" t="s">
        <v>924</v>
      </c>
      <c r="Q245" s="33">
        <v>0</v>
      </c>
      <c r="R245" s="14">
        <f t="shared" si="10"/>
        <v>8</v>
      </c>
    </row>
    <row r="246" spans="2:18">
      <c r="B246" s="14">
        <f t="shared" si="13"/>
        <v>16100</v>
      </c>
      <c r="C246" s="14">
        <v>1</v>
      </c>
      <c r="D246" s="14"/>
      <c r="E246" s="14"/>
      <c r="F246" s="14" t="s">
        <v>893</v>
      </c>
      <c r="G246" s="14">
        <v>1</v>
      </c>
      <c r="H246" s="60">
        <v>16100</v>
      </c>
      <c r="I246" s="16" t="s">
        <v>892</v>
      </c>
      <c r="J246" s="33" t="s">
        <v>925</v>
      </c>
      <c r="K246" s="33" t="s">
        <v>926</v>
      </c>
      <c r="L246" s="33" t="s">
        <v>927</v>
      </c>
      <c r="M246" s="33" t="s">
        <v>928</v>
      </c>
      <c r="N246" s="33" t="s">
        <v>929</v>
      </c>
      <c r="O246" s="33" t="s">
        <v>930</v>
      </c>
      <c r="P246" s="33" t="s">
        <v>931</v>
      </c>
      <c r="Q246" s="33">
        <v>0</v>
      </c>
      <c r="R246" s="14">
        <f t="shared" si="10"/>
        <v>15</v>
      </c>
    </row>
    <row r="247" spans="2:18">
      <c r="B247" s="14">
        <f t="shared" si="13"/>
        <v>17100</v>
      </c>
      <c r="C247" s="14">
        <v>1</v>
      </c>
      <c r="D247" s="14"/>
      <c r="E247" s="14"/>
      <c r="F247" s="14" t="s">
        <v>893</v>
      </c>
      <c r="G247" s="14">
        <v>1</v>
      </c>
      <c r="H247" s="60">
        <v>17100</v>
      </c>
      <c r="I247" s="16" t="s">
        <v>971</v>
      </c>
      <c r="J247" s="33" t="s">
        <v>2558</v>
      </c>
      <c r="K247" s="33" t="s">
        <v>2559</v>
      </c>
      <c r="L247" s="112" t="s">
        <v>2560</v>
      </c>
      <c r="M247" s="33" t="s">
        <v>2561</v>
      </c>
      <c r="N247" s="51" t="s">
        <v>3473</v>
      </c>
      <c r="O247" s="33" t="s">
        <v>2562</v>
      </c>
      <c r="P247" s="33" t="s">
        <v>2563</v>
      </c>
      <c r="Q247" s="33">
        <v>0</v>
      </c>
      <c r="R247" s="14">
        <f t="shared" si="10"/>
        <v>157</v>
      </c>
    </row>
    <row r="248" spans="2:18">
      <c r="B248" s="14">
        <f t="shared" si="13"/>
        <v>15150</v>
      </c>
      <c r="C248" s="14">
        <v>1</v>
      </c>
      <c r="D248" s="14"/>
      <c r="E248" s="14"/>
      <c r="F248" s="14" t="s">
        <v>893</v>
      </c>
      <c r="G248" s="14">
        <v>1</v>
      </c>
      <c r="H248" s="60">
        <v>15150</v>
      </c>
      <c r="I248" s="16" t="s">
        <v>891</v>
      </c>
      <c r="J248" s="33" t="s">
        <v>918</v>
      </c>
      <c r="K248" s="33" t="s">
        <v>919</v>
      </c>
      <c r="L248" s="33" t="s">
        <v>920</v>
      </c>
      <c r="M248" s="33" t="s">
        <v>921</v>
      </c>
      <c r="N248" s="33" t="s">
        <v>922</v>
      </c>
      <c r="O248" s="33" t="s">
        <v>923</v>
      </c>
      <c r="P248" s="33" t="s">
        <v>932</v>
      </c>
      <c r="Q248" s="33">
        <v>0</v>
      </c>
      <c r="R248" s="14">
        <f t="shared" si="10"/>
        <v>8</v>
      </c>
    </row>
    <row r="249" spans="2:18">
      <c r="B249" s="14">
        <f t="shared" si="13"/>
        <v>16150</v>
      </c>
      <c r="C249" s="14">
        <v>1</v>
      </c>
      <c r="D249" s="14"/>
      <c r="E249" s="14"/>
      <c r="F249" s="14" t="s">
        <v>893</v>
      </c>
      <c r="G249" s="14">
        <v>1</v>
      </c>
      <c r="H249" s="60">
        <v>16150</v>
      </c>
      <c r="I249" s="16" t="s">
        <v>892</v>
      </c>
      <c r="J249" s="33" t="s">
        <v>925</v>
      </c>
      <c r="K249" s="33" t="s">
        <v>926</v>
      </c>
      <c r="L249" s="33" t="s">
        <v>927</v>
      </c>
      <c r="M249" s="33" t="s">
        <v>928</v>
      </c>
      <c r="N249" s="33" t="s">
        <v>929</v>
      </c>
      <c r="O249" s="33" t="s">
        <v>930</v>
      </c>
      <c r="P249" s="33" t="s">
        <v>931</v>
      </c>
      <c r="Q249" s="33">
        <v>0</v>
      </c>
      <c r="R249" s="14">
        <f t="shared" si="10"/>
        <v>15</v>
      </c>
    </row>
    <row r="250" spans="2:18" ht="17.25" thickBot="1">
      <c r="B250" s="14">
        <f t="shared" si="13"/>
        <v>17150</v>
      </c>
      <c r="C250" s="76">
        <v>1</v>
      </c>
      <c r="D250" s="76"/>
      <c r="E250" s="76"/>
      <c r="F250" s="76" t="s">
        <v>893</v>
      </c>
      <c r="G250" s="76">
        <v>1</v>
      </c>
      <c r="H250" s="77">
        <v>17150</v>
      </c>
      <c r="I250" s="78" t="s">
        <v>971</v>
      </c>
      <c r="J250" s="79" t="s">
        <v>2558</v>
      </c>
      <c r="K250" s="79" t="s">
        <v>2559</v>
      </c>
      <c r="L250" s="79" t="s">
        <v>2560</v>
      </c>
      <c r="M250" s="79" t="s">
        <v>2561</v>
      </c>
      <c r="N250" s="79" t="s">
        <v>3473</v>
      </c>
      <c r="O250" s="79" t="s">
        <v>2562</v>
      </c>
      <c r="P250" s="79" t="s">
        <v>2563</v>
      </c>
      <c r="Q250" s="79">
        <v>0</v>
      </c>
      <c r="R250" s="14">
        <f t="shared" si="10"/>
        <v>157</v>
      </c>
    </row>
    <row r="251" spans="2:18">
      <c r="B251" s="73">
        <f t="shared" si="8"/>
        <v>15030</v>
      </c>
      <c r="C251" s="73">
        <v>1</v>
      </c>
      <c r="D251" s="73"/>
      <c r="E251" s="73"/>
      <c r="F251" s="73"/>
      <c r="G251" s="73">
        <v>1</v>
      </c>
      <c r="H251" s="73">
        <v>15030</v>
      </c>
      <c r="I251" s="74" t="s">
        <v>277</v>
      </c>
      <c r="J251" s="29" t="s">
        <v>560</v>
      </c>
      <c r="K251" s="29" t="s">
        <v>557</v>
      </c>
      <c r="L251" s="30" t="s">
        <v>558</v>
      </c>
      <c r="M251" s="29" t="s">
        <v>559</v>
      </c>
      <c r="N251" s="75" t="s">
        <v>830</v>
      </c>
      <c r="O251" s="75" t="s">
        <v>831</v>
      </c>
      <c r="P251" s="75" t="s">
        <v>832</v>
      </c>
      <c r="Q251" s="75">
        <v>0</v>
      </c>
      <c r="R251" s="75">
        <f t="shared" si="10"/>
        <v>7</v>
      </c>
    </row>
    <row r="252" spans="2:18" ht="18.75">
      <c r="B252" s="39">
        <f t="shared" si="8"/>
        <v>16030</v>
      </c>
      <c r="C252" s="39">
        <v>1</v>
      </c>
      <c r="D252" s="39"/>
      <c r="E252" s="39"/>
      <c r="F252" s="39"/>
      <c r="G252" s="39">
        <v>1</v>
      </c>
      <c r="H252" s="39">
        <v>16030</v>
      </c>
      <c r="I252" s="16" t="s">
        <v>278</v>
      </c>
      <c r="J252" s="29" t="s">
        <v>563</v>
      </c>
      <c r="K252" s="29" t="s">
        <v>561</v>
      </c>
      <c r="L252" s="30" t="s">
        <v>562</v>
      </c>
      <c r="M252" s="46" t="s">
        <v>817</v>
      </c>
      <c r="N252" s="14" t="s">
        <v>833</v>
      </c>
      <c r="O252" s="14" t="s">
        <v>834</v>
      </c>
      <c r="P252" s="14" t="s">
        <v>835</v>
      </c>
      <c r="Q252" s="14">
        <v>0</v>
      </c>
      <c r="R252" s="14">
        <f t="shared" si="10"/>
        <v>16</v>
      </c>
    </row>
    <row r="253" spans="2:18">
      <c r="B253" s="39">
        <f t="shared" si="8"/>
        <v>17030</v>
      </c>
      <c r="C253" s="39">
        <v>1</v>
      </c>
      <c r="D253" s="39"/>
      <c r="E253" s="39"/>
      <c r="F253" s="39"/>
      <c r="G253" s="39">
        <v>1</v>
      </c>
      <c r="H253" s="39">
        <v>17030</v>
      </c>
      <c r="I253" s="16" t="s">
        <v>1812</v>
      </c>
      <c r="J253" s="29" t="s">
        <v>1813</v>
      </c>
      <c r="K253" s="29" t="s">
        <v>1814</v>
      </c>
      <c r="L253" s="30" t="s">
        <v>2564</v>
      </c>
      <c r="M253" s="47" t="s">
        <v>1815</v>
      </c>
      <c r="N253" s="14" t="s">
        <v>1816</v>
      </c>
      <c r="O253" s="14" t="s">
        <v>1817</v>
      </c>
      <c r="P253" s="14" t="s">
        <v>1818</v>
      </c>
      <c r="Q253" s="14">
        <v>0</v>
      </c>
      <c r="R253" s="14">
        <f t="shared" si="10"/>
        <v>76</v>
      </c>
    </row>
    <row r="254" spans="2:18">
      <c r="B254" s="40">
        <f t="shared" si="8"/>
        <v>15031</v>
      </c>
      <c r="C254" s="40">
        <v>1</v>
      </c>
      <c r="D254" s="40"/>
      <c r="E254" s="40"/>
      <c r="F254" s="40"/>
      <c r="G254" s="40">
        <v>1</v>
      </c>
      <c r="H254" s="40">
        <v>15031</v>
      </c>
      <c r="I254" s="16" t="s">
        <v>279</v>
      </c>
      <c r="J254" s="29" t="s">
        <v>567</v>
      </c>
      <c r="K254" s="29" t="s">
        <v>564</v>
      </c>
      <c r="L254" s="30" t="s">
        <v>565</v>
      </c>
      <c r="M254" s="29" t="s">
        <v>566</v>
      </c>
      <c r="N254" s="14" t="s">
        <v>836</v>
      </c>
      <c r="O254" s="14" t="s">
        <v>837</v>
      </c>
      <c r="P254" s="14" t="s">
        <v>838</v>
      </c>
      <c r="Q254" s="14">
        <v>0</v>
      </c>
      <c r="R254" s="14">
        <f t="shared" si="10"/>
        <v>8</v>
      </c>
    </row>
    <row r="255" spans="2:18">
      <c r="B255" s="40">
        <f t="shared" si="8"/>
        <v>16031</v>
      </c>
      <c r="C255" s="40">
        <v>1</v>
      </c>
      <c r="D255" s="40"/>
      <c r="E255" s="40"/>
      <c r="F255" s="40"/>
      <c r="G255" s="40">
        <v>1</v>
      </c>
      <c r="H255" s="40">
        <v>16031</v>
      </c>
      <c r="I255" s="16" t="s">
        <v>280</v>
      </c>
      <c r="J255" s="29" t="s">
        <v>319</v>
      </c>
      <c r="K255" s="29" t="s">
        <v>316</v>
      </c>
      <c r="L255" s="30" t="s">
        <v>317</v>
      </c>
      <c r="M255" s="29" t="s">
        <v>318</v>
      </c>
      <c r="N255" s="14" t="s">
        <v>839</v>
      </c>
      <c r="O255" s="14" t="s">
        <v>840</v>
      </c>
      <c r="P255" s="14" t="s">
        <v>841</v>
      </c>
      <c r="Q255" s="14">
        <v>0</v>
      </c>
      <c r="R255" s="14">
        <f t="shared" si="10"/>
        <v>8</v>
      </c>
    </row>
    <row r="256" spans="2:18">
      <c r="B256" s="40">
        <f t="shared" si="8"/>
        <v>17031</v>
      </c>
      <c r="C256" s="40">
        <v>1</v>
      </c>
      <c r="D256" s="40"/>
      <c r="E256" s="40"/>
      <c r="F256" s="40"/>
      <c r="G256" s="40">
        <v>1</v>
      </c>
      <c r="H256" s="40">
        <v>17031</v>
      </c>
      <c r="I256" s="16" t="s">
        <v>281</v>
      </c>
      <c r="J256" s="29" t="s">
        <v>431</v>
      </c>
      <c r="K256" s="29" t="s">
        <v>429</v>
      </c>
      <c r="L256" s="30" t="s">
        <v>430</v>
      </c>
      <c r="M256" s="29" t="s">
        <v>818</v>
      </c>
      <c r="N256" s="14" t="s">
        <v>842</v>
      </c>
      <c r="O256" s="14" t="s">
        <v>843</v>
      </c>
      <c r="P256" s="14" t="s">
        <v>844</v>
      </c>
      <c r="Q256" s="14">
        <v>0</v>
      </c>
      <c r="R256" s="14">
        <f t="shared" si="10"/>
        <v>81</v>
      </c>
    </row>
    <row r="257" spans="2:18">
      <c r="B257" s="14">
        <f>H257</f>
        <v>18001</v>
      </c>
      <c r="C257" s="23">
        <v>1</v>
      </c>
      <c r="D257" s="23"/>
      <c r="E257" s="23"/>
      <c r="F257" s="23"/>
      <c r="G257" s="23">
        <v>1</v>
      </c>
      <c r="H257" s="14">
        <v>18001</v>
      </c>
      <c r="I257" s="16" t="s">
        <v>87</v>
      </c>
      <c r="J257" s="33" t="s">
        <v>1470</v>
      </c>
      <c r="K257" s="33" t="s">
        <v>1471</v>
      </c>
      <c r="L257" s="33" t="s">
        <v>1472</v>
      </c>
      <c r="M257" s="33" t="s">
        <v>3313</v>
      </c>
      <c r="N257" s="14" t="s">
        <v>1473</v>
      </c>
      <c r="O257" s="14" t="s">
        <v>1474</v>
      </c>
      <c r="P257" s="14" t="s">
        <v>1475</v>
      </c>
      <c r="Q257" s="33">
        <v>0</v>
      </c>
      <c r="R257" s="14">
        <v>7</v>
      </c>
    </row>
    <row r="258" spans="2:18">
      <c r="B258" s="14">
        <f t="shared" ref="B258:B268" si="14">H258</f>
        <v>18002</v>
      </c>
      <c r="C258" s="23">
        <v>1</v>
      </c>
      <c r="D258" s="23"/>
      <c r="E258" s="23"/>
      <c r="F258" s="23"/>
      <c r="G258" s="23">
        <v>1</v>
      </c>
      <c r="H258" s="14">
        <v>18002</v>
      </c>
      <c r="I258" s="16" t="s">
        <v>204</v>
      </c>
      <c r="J258" s="33" t="s">
        <v>2565</v>
      </c>
      <c r="K258" s="33" t="s">
        <v>3474</v>
      </c>
      <c r="L258" s="33" t="s">
        <v>1819</v>
      </c>
      <c r="M258" s="33" t="s">
        <v>3475</v>
      </c>
      <c r="N258" s="14" t="s">
        <v>1820</v>
      </c>
      <c r="O258" s="14" t="s">
        <v>2566</v>
      </c>
      <c r="P258" s="14" t="s">
        <v>3476</v>
      </c>
      <c r="Q258" s="33">
        <v>0</v>
      </c>
      <c r="R258" s="14">
        <v>7</v>
      </c>
    </row>
    <row r="259" spans="2:18">
      <c r="B259" s="14">
        <f t="shared" si="14"/>
        <v>18003</v>
      </c>
      <c r="C259" s="23">
        <v>1</v>
      </c>
      <c r="D259" s="23"/>
      <c r="E259" s="23"/>
      <c r="F259" s="23"/>
      <c r="G259" s="23">
        <v>1</v>
      </c>
      <c r="H259" s="14">
        <v>18003</v>
      </c>
      <c r="I259" s="16" t="s">
        <v>205</v>
      </c>
      <c r="J259" s="33" t="s">
        <v>2567</v>
      </c>
      <c r="K259" s="33" t="s">
        <v>1821</v>
      </c>
      <c r="L259" s="33" t="s">
        <v>1822</v>
      </c>
      <c r="M259" s="33" t="s">
        <v>3477</v>
      </c>
      <c r="N259" s="14" t="s">
        <v>1823</v>
      </c>
      <c r="O259" s="14" t="s">
        <v>1824</v>
      </c>
      <c r="P259" s="14" t="s">
        <v>1825</v>
      </c>
      <c r="Q259" s="33">
        <v>0</v>
      </c>
      <c r="R259" s="14">
        <v>7</v>
      </c>
    </row>
    <row r="260" spans="2:18">
      <c r="B260" s="14">
        <f t="shared" si="14"/>
        <v>19001</v>
      </c>
      <c r="C260" s="23">
        <v>1</v>
      </c>
      <c r="D260" s="23"/>
      <c r="E260" s="23"/>
      <c r="F260" s="23"/>
      <c r="G260" s="23">
        <v>1</v>
      </c>
      <c r="H260" s="14">
        <v>19001</v>
      </c>
      <c r="I260" s="16" t="s">
        <v>88</v>
      </c>
      <c r="J260" s="33" t="s">
        <v>1476</v>
      </c>
      <c r="K260" s="33" t="s">
        <v>1477</v>
      </c>
      <c r="L260" s="33" t="s">
        <v>1478</v>
      </c>
      <c r="M260" s="33" t="s">
        <v>3314</v>
      </c>
      <c r="N260" s="14" t="s">
        <v>1479</v>
      </c>
      <c r="O260" s="14" t="s">
        <v>1480</v>
      </c>
      <c r="P260" s="14" t="s">
        <v>1481</v>
      </c>
      <c r="Q260" s="33">
        <v>0</v>
      </c>
      <c r="R260" s="14">
        <v>10</v>
      </c>
    </row>
    <row r="261" spans="2:18">
      <c r="B261" s="14">
        <f t="shared" si="14"/>
        <v>19002</v>
      </c>
      <c r="C261" s="23">
        <v>1</v>
      </c>
      <c r="D261" s="23"/>
      <c r="E261" s="23"/>
      <c r="F261" s="23"/>
      <c r="G261" s="23">
        <v>1</v>
      </c>
      <c r="H261" s="14">
        <v>19002</v>
      </c>
      <c r="I261" s="16" t="s">
        <v>206</v>
      </c>
      <c r="J261" s="33" t="s">
        <v>1826</v>
      </c>
      <c r="K261" s="33" t="s">
        <v>3478</v>
      </c>
      <c r="L261" s="33" t="s">
        <v>1827</v>
      </c>
      <c r="M261" s="33" t="s">
        <v>3479</v>
      </c>
      <c r="N261" s="14" t="s">
        <v>1828</v>
      </c>
      <c r="O261" s="14" t="s">
        <v>1829</v>
      </c>
      <c r="P261" s="14" t="s">
        <v>3480</v>
      </c>
      <c r="Q261" s="33">
        <v>0</v>
      </c>
      <c r="R261" s="14">
        <v>10</v>
      </c>
    </row>
    <row r="262" spans="2:18">
      <c r="B262" s="14">
        <f t="shared" si="14"/>
        <v>19003</v>
      </c>
      <c r="C262" s="23">
        <v>1</v>
      </c>
      <c r="D262" s="23"/>
      <c r="E262" s="23"/>
      <c r="F262" s="23"/>
      <c r="G262" s="23">
        <v>1</v>
      </c>
      <c r="H262" s="14">
        <v>19003</v>
      </c>
      <c r="I262" s="16" t="s">
        <v>207</v>
      </c>
      <c r="J262" s="33" t="s">
        <v>2568</v>
      </c>
      <c r="K262" s="33" t="s">
        <v>1830</v>
      </c>
      <c r="L262" s="33" t="s">
        <v>1831</v>
      </c>
      <c r="M262" s="33" t="s">
        <v>3481</v>
      </c>
      <c r="N262" s="14" t="s">
        <v>1832</v>
      </c>
      <c r="O262" s="14" t="s">
        <v>1833</v>
      </c>
      <c r="P262" s="14" t="s">
        <v>1834</v>
      </c>
      <c r="Q262" s="33">
        <v>0</v>
      </c>
      <c r="R262" s="14">
        <v>10</v>
      </c>
    </row>
    <row r="263" spans="2:18">
      <c r="B263" s="14">
        <f t="shared" si="14"/>
        <v>20001</v>
      </c>
      <c r="C263" s="23">
        <v>1</v>
      </c>
      <c r="D263" s="23"/>
      <c r="E263" s="23"/>
      <c r="F263" s="23"/>
      <c r="G263" s="23">
        <v>1</v>
      </c>
      <c r="H263" s="14">
        <v>20001</v>
      </c>
      <c r="I263" s="16" t="s">
        <v>89</v>
      </c>
      <c r="J263" s="33" t="s">
        <v>1482</v>
      </c>
      <c r="K263" s="33" t="s">
        <v>1483</v>
      </c>
      <c r="L263" s="33" t="s">
        <v>2216</v>
      </c>
      <c r="M263" s="33" t="s">
        <v>3315</v>
      </c>
      <c r="N263" s="14" t="s">
        <v>1484</v>
      </c>
      <c r="O263" s="14" t="s">
        <v>3316</v>
      </c>
      <c r="P263" s="14" t="s">
        <v>1485</v>
      </c>
      <c r="Q263" s="33">
        <v>0</v>
      </c>
      <c r="R263" s="14">
        <v>65</v>
      </c>
    </row>
    <row r="264" spans="2:18">
      <c r="B264" s="14">
        <f t="shared" si="14"/>
        <v>20002</v>
      </c>
      <c r="C264" s="23">
        <v>1</v>
      </c>
      <c r="D264" s="23"/>
      <c r="E264" s="23"/>
      <c r="F264" s="23"/>
      <c r="G264" s="23">
        <v>1</v>
      </c>
      <c r="H264" s="14">
        <v>20002</v>
      </c>
      <c r="I264" s="16" t="s">
        <v>208</v>
      </c>
      <c r="J264" s="33" t="s">
        <v>2569</v>
      </c>
      <c r="K264" s="33" t="s">
        <v>3482</v>
      </c>
      <c r="L264" s="33" t="s">
        <v>1835</v>
      </c>
      <c r="M264" s="33" t="s">
        <v>3483</v>
      </c>
      <c r="N264" s="14" t="s">
        <v>1836</v>
      </c>
      <c r="O264" s="14" t="s">
        <v>1837</v>
      </c>
      <c r="P264" s="14" t="s">
        <v>3484</v>
      </c>
      <c r="Q264" s="33">
        <v>0</v>
      </c>
      <c r="R264" s="14">
        <v>65</v>
      </c>
    </row>
    <row r="265" spans="2:18">
      <c r="B265" s="14">
        <f t="shared" si="14"/>
        <v>20003</v>
      </c>
      <c r="C265" s="23">
        <v>1</v>
      </c>
      <c r="D265" s="23"/>
      <c r="E265" s="23"/>
      <c r="F265" s="23"/>
      <c r="G265" s="23">
        <v>1</v>
      </c>
      <c r="H265" s="14">
        <v>20003</v>
      </c>
      <c r="I265" s="16" t="s">
        <v>209</v>
      </c>
      <c r="J265" s="33" t="s">
        <v>2570</v>
      </c>
      <c r="K265" s="33" t="s">
        <v>1838</v>
      </c>
      <c r="L265" s="33" t="s">
        <v>1839</v>
      </c>
      <c r="M265" s="33" t="s">
        <v>3485</v>
      </c>
      <c r="N265" s="14" t="s">
        <v>1840</v>
      </c>
      <c r="O265" s="14" t="s">
        <v>1841</v>
      </c>
      <c r="P265" s="14" t="s">
        <v>1842</v>
      </c>
      <c r="Q265" s="33">
        <v>0</v>
      </c>
      <c r="R265" s="14">
        <v>65</v>
      </c>
    </row>
    <row r="266" spans="2:18">
      <c r="B266" s="14">
        <f t="shared" si="14"/>
        <v>21019</v>
      </c>
      <c r="C266" s="23">
        <v>1</v>
      </c>
      <c r="D266" s="23"/>
      <c r="E266" s="23"/>
      <c r="F266" s="23"/>
      <c r="G266" s="23">
        <v>1</v>
      </c>
      <c r="H266" s="14">
        <v>21019</v>
      </c>
      <c r="I266" s="16" t="s">
        <v>236</v>
      </c>
      <c r="J266" s="33" t="s">
        <v>2571</v>
      </c>
      <c r="K266" s="33" t="s">
        <v>2572</v>
      </c>
      <c r="L266" s="33" t="s">
        <v>2573</v>
      </c>
      <c r="M266" s="33" t="s">
        <v>2572</v>
      </c>
      <c r="N266" s="14" t="s">
        <v>2574</v>
      </c>
      <c r="O266" s="14" t="s">
        <v>2575</v>
      </c>
      <c r="P266" s="14" t="s">
        <v>2576</v>
      </c>
      <c r="Q266" s="33">
        <v>0</v>
      </c>
      <c r="R266" s="41">
        <v>85.3333333333333</v>
      </c>
    </row>
    <row r="267" spans="2:18">
      <c r="B267" s="14">
        <f t="shared" si="14"/>
        <v>22019</v>
      </c>
      <c r="C267" s="23">
        <v>1</v>
      </c>
      <c r="D267" s="23"/>
      <c r="E267" s="23"/>
      <c r="F267" s="23"/>
      <c r="G267" s="23">
        <v>1</v>
      </c>
      <c r="H267" s="14">
        <v>22019</v>
      </c>
      <c r="I267" s="16" t="s">
        <v>202</v>
      </c>
      <c r="J267" s="33" t="s">
        <v>2577</v>
      </c>
      <c r="K267" s="33" t="s">
        <v>3486</v>
      </c>
      <c r="L267" s="33" t="s">
        <v>2578</v>
      </c>
      <c r="M267" s="33" t="s">
        <v>2579</v>
      </c>
      <c r="N267" s="14" t="s">
        <v>2580</v>
      </c>
      <c r="O267" s="14" t="s">
        <v>2581</v>
      </c>
      <c r="P267" s="14" t="s">
        <v>3487</v>
      </c>
      <c r="Q267" s="33">
        <v>0</v>
      </c>
      <c r="R267" s="41">
        <v>114.333333333333</v>
      </c>
    </row>
    <row r="268" spans="2:18">
      <c r="B268" s="14">
        <f t="shared" si="14"/>
        <v>23019</v>
      </c>
      <c r="C268" s="23">
        <v>1</v>
      </c>
      <c r="D268" s="23"/>
      <c r="E268" s="23"/>
      <c r="F268" s="23"/>
      <c r="G268" s="23">
        <v>1</v>
      </c>
      <c r="H268" s="14">
        <v>23019</v>
      </c>
      <c r="I268" s="16" t="s">
        <v>203</v>
      </c>
      <c r="J268" s="33" t="s">
        <v>2582</v>
      </c>
      <c r="K268" s="33" t="s">
        <v>3488</v>
      </c>
      <c r="L268" s="33" t="s">
        <v>2583</v>
      </c>
      <c r="M268" s="33" t="s">
        <v>2584</v>
      </c>
      <c r="N268" s="14" t="s">
        <v>2585</v>
      </c>
      <c r="O268" s="14" t="s">
        <v>2586</v>
      </c>
      <c r="P268" s="14" t="s">
        <v>3489</v>
      </c>
      <c r="Q268" s="33">
        <v>0</v>
      </c>
      <c r="R268" s="41">
        <v>143.333333333333</v>
      </c>
    </row>
    <row r="269" spans="2:18">
      <c r="B269" s="14">
        <v>27001</v>
      </c>
      <c r="C269" s="23">
        <v>1</v>
      </c>
      <c r="D269" s="23"/>
      <c r="E269" s="23"/>
      <c r="F269" s="23"/>
      <c r="G269" s="23">
        <v>1</v>
      </c>
      <c r="H269" s="14">
        <v>27001</v>
      </c>
      <c r="I269" s="16" t="s">
        <v>248</v>
      </c>
      <c r="J269" s="33" t="s">
        <v>1843</v>
      </c>
      <c r="K269" s="33" t="s">
        <v>2461</v>
      </c>
      <c r="L269" s="33" t="s">
        <v>2462</v>
      </c>
      <c r="M269" s="33" t="s">
        <v>1844</v>
      </c>
      <c r="N269" s="14" t="s">
        <v>1845</v>
      </c>
      <c r="O269" s="14" t="s">
        <v>1846</v>
      </c>
      <c r="P269" s="14" t="s">
        <v>1847</v>
      </c>
      <c r="Q269" s="33">
        <v>0</v>
      </c>
      <c r="R269" s="41">
        <v>143.333333333333</v>
      </c>
    </row>
    <row r="270" spans="2:18">
      <c r="B270" s="14">
        <v>27002</v>
      </c>
      <c r="C270" s="23">
        <v>1</v>
      </c>
      <c r="D270" s="23"/>
      <c r="E270" s="23"/>
      <c r="F270" s="23"/>
      <c r="G270" s="23">
        <v>1</v>
      </c>
      <c r="H270" s="14">
        <v>27002</v>
      </c>
      <c r="I270" s="16" t="s">
        <v>249</v>
      </c>
      <c r="J270" s="33" t="s">
        <v>1805</v>
      </c>
      <c r="K270" s="33" t="s">
        <v>1806</v>
      </c>
      <c r="L270" s="33" t="s">
        <v>1807</v>
      </c>
      <c r="M270" s="33" t="s">
        <v>2587</v>
      </c>
      <c r="N270" s="14" t="s">
        <v>2588</v>
      </c>
      <c r="O270" s="14" t="s">
        <v>2589</v>
      </c>
      <c r="P270" s="14" t="s">
        <v>2590</v>
      </c>
      <c r="Q270" s="33">
        <v>0</v>
      </c>
      <c r="R270" s="41">
        <v>143.333333333333</v>
      </c>
    </row>
    <row r="271" spans="2:18">
      <c r="B271" s="14">
        <v>27003</v>
      </c>
      <c r="C271" s="23">
        <v>1</v>
      </c>
      <c r="D271" s="23"/>
      <c r="E271" s="23"/>
      <c r="F271" s="23"/>
      <c r="G271" s="23">
        <v>1</v>
      </c>
      <c r="H271" s="14">
        <v>27003</v>
      </c>
      <c r="I271" s="16" t="s">
        <v>250</v>
      </c>
      <c r="J271" s="33" t="s">
        <v>2591</v>
      </c>
      <c r="K271" s="33" t="s">
        <v>3490</v>
      </c>
      <c r="L271" s="33" t="s">
        <v>2592</v>
      </c>
      <c r="M271" s="33" t="s">
        <v>2593</v>
      </c>
      <c r="N271" s="14" t="s">
        <v>2594</v>
      </c>
      <c r="O271" s="14" t="s">
        <v>2595</v>
      </c>
      <c r="P271" s="14" t="s">
        <v>2596</v>
      </c>
      <c r="Q271" s="33">
        <v>0</v>
      </c>
      <c r="R271" s="41">
        <v>143.333333333333</v>
      </c>
    </row>
    <row r="272" spans="2:18">
      <c r="B272" s="14">
        <v>28001</v>
      </c>
      <c r="C272" s="23">
        <v>1</v>
      </c>
      <c r="D272" s="23"/>
      <c r="E272" s="23"/>
      <c r="F272" s="23"/>
      <c r="G272" s="23">
        <v>1</v>
      </c>
      <c r="H272" s="14">
        <v>28001</v>
      </c>
      <c r="I272" s="16" t="s">
        <v>251</v>
      </c>
      <c r="J272" s="33" t="s">
        <v>1848</v>
      </c>
      <c r="K272" s="33" t="s">
        <v>1849</v>
      </c>
      <c r="L272" s="33" t="s">
        <v>2597</v>
      </c>
      <c r="M272" s="33" t="s">
        <v>1850</v>
      </c>
      <c r="N272" s="14" t="s">
        <v>1851</v>
      </c>
      <c r="O272" s="14" t="s">
        <v>1852</v>
      </c>
      <c r="P272" s="14" t="s">
        <v>1853</v>
      </c>
      <c r="Q272" s="33">
        <v>0</v>
      </c>
      <c r="R272" s="41">
        <v>143.333333333333</v>
      </c>
    </row>
    <row r="273" spans="2:18">
      <c r="B273" s="14">
        <v>28002</v>
      </c>
      <c r="C273" s="23">
        <v>1</v>
      </c>
      <c r="D273" s="23"/>
      <c r="E273" s="23"/>
      <c r="F273" s="23"/>
      <c r="G273" s="23">
        <v>1</v>
      </c>
      <c r="H273" s="14">
        <v>28002</v>
      </c>
      <c r="I273" s="16" t="s">
        <v>252</v>
      </c>
      <c r="J273" s="33" t="s">
        <v>477</v>
      </c>
      <c r="K273" s="33" t="s">
        <v>475</v>
      </c>
      <c r="L273" s="33" t="s">
        <v>476</v>
      </c>
      <c r="M273" s="33" t="s">
        <v>819</v>
      </c>
      <c r="N273" s="14" t="s">
        <v>789</v>
      </c>
      <c r="O273" s="14" t="s">
        <v>790</v>
      </c>
      <c r="P273" s="14" t="s">
        <v>791</v>
      </c>
      <c r="Q273" s="33">
        <v>0</v>
      </c>
      <c r="R273" s="41">
        <v>143.333333333333</v>
      </c>
    </row>
    <row r="274" spans="2:18">
      <c r="B274" s="14">
        <v>28003</v>
      </c>
      <c r="C274" s="23">
        <v>1</v>
      </c>
      <c r="D274" s="23"/>
      <c r="E274" s="23"/>
      <c r="F274" s="23"/>
      <c r="G274" s="23">
        <v>1</v>
      </c>
      <c r="H274" s="14">
        <v>28003</v>
      </c>
      <c r="I274" s="16" t="s">
        <v>253</v>
      </c>
      <c r="J274" s="33" t="s">
        <v>3491</v>
      </c>
      <c r="K274" s="33" t="s">
        <v>3492</v>
      </c>
      <c r="L274" s="33" t="s">
        <v>3493</v>
      </c>
      <c r="M274" s="33" t="s">
        <v>3494</v>
      </c>
      <c r="N274" s="14" t="s">
        <v>3495</v>
      </c>
      <c r="O274" s="14" t="s">
        <v>3496</v>
      </c>
      <c r="P274" s="14" t="s">
        <v>3497</v>
      </c>
      <c r="Q274" s="33">
        <v>0</v>
      </c>
      <c r="R274" s="41">
        <v>143.333333333333</v>
      </c>
    </row>
    <row r="275" spans="2:18">
      <c r="B275" s="42">
        <f t="shared" si="8"/>
        <v>21001</v>
      </c>
      <c r="C275" s="42">
        <v>1</v>
      </c>
      <c r="D275" s="42"/>
      <c r="E275" s="42"/>
      <c r="F275" s="42"/>
      <c r="G275" s="42">
        <v>1</v>
      </c>
      <c r="H275" s="42">
        <v>21001</v>
      </c>
      <c r="I275" s="43" t="s">
        <v>134</v>
      </c>
      <c r="J275" s="44" t="s">
        <v>1854</v>
      </c>
      <c r="K275" s="44" t="s">
        <v>1855</v>
      </c>
      <c r="L275" s="44" t="s">
        <v>1856</v>
      </c>
      <c r="M275" s="44" t="s">
        <v>1857</v>
      </c>
      <c r="N275" s="14" t="s">
        <v>1858</v>
      </c>
      <c r="O275" s="14" t="s">
        <v>1859</v>
      </c>
      <c r="P275" s="14" t="s">
        <v>1860</v>
      </c>
      <c r="Q275" s="42">
        <v>0</v>
      </c>
      <c r="R275" s="14">
        <f>IF(LEN(I275)&gt;=10, "Text too Long", LEN(I275))</f>
        <v>8</v>
      </c>
    </row>
    <row r="276" spans="2:18">
      <c r="B276" s="14">
        <f t="shared" si="8"/>
        <v>21002</v>
      </c>
      <c r="C276" s="23">
        <v>1</v>
      </c>
      <c r="D276" s="23"/>
      <c r="E276" s="23"/>
      <c r="F276" s="23"/>
      <c r="G276" s="23">
        <v>1</v>
      </c>
      <c r="H276" s="14">
        <v>21002</v>
      </c>
      <c r="I276" s="16" t="s">
        <v>133</v>
      </c>
      <c r="J276" s="33" t="s">
        <v>1861</v>
      </c>
      <c r="K276" s="33" t="s">
        <v>1862</v>
      </c>
      <c r="L276" s="33" t="s">
        <v>1863</v>
      </c>
      <c r="M276" s="33" t="s">
        <v>1864</v>
      </c>
      <c r="N276" s="14" t="s">
        <v>1865</v>
      </c>
      <c r="O276" s="14" t="s">
        <v>1866</v>
      </c>
      <c r="P276" s="14" t="s">
        <v>2598</v>
      </c>
      <c r="Q276" s="14">
        <v>0</v>
      </c>
      <c r="R276" s="14">
        <f>IF(LEN(I276)&gt;=10, "Text too Long", LEN(I276))</f>
        <v>3</v>
      </c>
    </row>
    <row r="277" spans="2:18">
      <c r="B277" s="14">
        <f t="shared" si="8"/>
        <v>21011</v>
      </c>
      <c r="C277" s="23">
        <v>1</v>
      </c>
      <c r="D277" s="23"/>
      <c r="E277" s="23"/>
      <c r="F277" s="23"/>
      <c r="G277" s="23">
        <v>1</v>
      </c>
      <c r="H277" s="14">
        <v>21011</v>
      </c>
      <c r="I277" s="16" t="s">
        <v>140</v>
      </c>
      <c r="J277" s="33" t="s">
        <v>480</v>
      </c>
      <c r="K277" s="33" t="s">
        <v>478</v>
      </c>
      <c r="L277" s="33" t="s">
        <v>479</v>
      </c>
      <c r="M277" s="33" t="s">
        <v>478</v>
      </c>
      <c r="N277" s="14" t="s">
        <v>736</v>
      </c>
      <c r="O277" s="14" t="s">
        <v>737</v>
      </c>
      <c r="P277" s="14" t="s">
        <v>738</v>
      </c>
      <c r="Q277" s="14">
        <v>0</v>
      </c>
      <c r="R277" s="14">
        <f>IF(LEN(I277)&gt;=10, "Text too Long", LEN(I277))</f>
        <v>2</v>
      </c>
    </row>
    <row r="278" spans="2:18">
      <c r="B278" s="14">
        <f t="shared" ref="B278:B300" si="15">H278</f>
        <v>21101</v>
      </c>
      <c r="C278" s="23">
        <v>1</v>
      </c>
      <c r="D278" s="23"/>
      <c r="E278" s="23"/>
      <c r="F278" s="23"/>
      <c r="G278" s="23">
        <v>1</v>
      </c>
      <c r="H278" s="14">
        <v>21101</v>
      </c>
      <c r="I278" s="16" t="s">
        <v>64</v>
      </c>
      <c r="J278" s="33" t="s">
        <v>483</v>
      </c>
      <c r="K278" s="33" t="s">
        <v>481</v>
      </c>
      <c r="L278" s="33" t="s">
        <v>482</v>
      </c>
      <c r="M278" s="33" t="s">
        <v>481</v>
      </c>
      <c r="N278" s="14" t="s">
        <v>739</v>
      </c>
      <c r="O278" s="14" t="s">
        <v>483</v>
      </c>
      <c r="P278" s="14" t="s">
        <v>740</v>
      </c>
      <c r="Q278" s="14">
        <v>0</v>
      </c>
      <c r="R278" s="14">
        <f>IF(LEN(I278)&gt;=10, "Text too Long", LEN(I278))</f>
        <v>2</v>
      </c>
    </row>
    <row r="279" spans="2:18">
      <c r="B279" s="14">
        <f t="shared" si="15"/>
        <v>21401</v>
      </c>
      <c r="C279" s="23">
        <v>1</v>
      </c>
      <c r="D279" s="23"/>
      <c r="E279" s="23"/>
      <c r="F279" s="23"/>
      <c r="G279" s="23">
        <v>1</v>
      </c>
      <c r="H279" s="14">
        <v>21401</v>
      </c>
      <c r="I279" s="16" t="s">
        <v>133</v>
      </c>
      <c r="J279" s="33" t="s">
        <v>1861</v>
      </c>
      <c r="K279" s="33" t="s">
        <v>1862</v>
      </c>
      <c r="L279" s="33" t="s">
        <v>1863</v>
      </c>
      <c r="M279" s="33" t="s">
        <v>1864</v>
      </c>
      <c r="N279" s="14" t="s">
        <v>1865</v>
      </c>
      <c r="O279" s="14" t="s">
        <v>1866</v>
      </c>
      <c r="P279" s="14" t="s">
        <v>2598</v>
      </c>
      <c r="Q279" s="14">
        <v>0</v>
      </c>
      <c r="R279" s="14"/>
    </row>
    <row r="280" spans="2:18">
      <c r="B280" s="42">
        <f t="shared" si="15"/>
        <v>22001</v>
      </c>
      <c r="C280" s="42">
        <v>1</v>
      </c>
      <c r="D280" s="42"/>
      <c r="E280" s="42"/>
      <c r="F280" s="42"/>
      <c r="G280" s="42">
        <v>1</v>
      </c>
      <c r="H280" s="42">
        <v>22001</v>
      </c>
      <c r="I280" s="43" t="s">
        <v>135</v>
      </c>
      <c r="J280" s="44" t="s">
        <v>1867</v>
      </c>
      <c r="K280" s="44" t="s">
        <v>1868</v>
      </c>
      <c r="L280" s="44" t="s">
        <v>1869</v>
      </c>
      <c r="M280" s="44" t="s">
        <v>1870</v>
      </c>
      <c r="N280" s="14" t="s">
        <v>1871</v>
      </c>
      <c r="O280" s="14" t="s">
        <v>1872</v>
      </c>
      <c r="P280" s="14" t="s">
        <v>1873</v>
      </c>
      <c r="Q280" s="42">
        <v>0</v>
      </c>
      <c r="R280" s="14">
        <f t="shared" ref="R280:R287" si="16">IF(LEN(I280)&gt;=20, "Text too Long", LEN(I280))</f>
        <v>8</v>
      </c>
    </row>
    <row r="281" spans="2:18">
      <c r="B281" s="14">
        <f t="shared" si="15"/>
        <v>22002</v>
      </c>
      <c r="C281" s="23">
        <v>1</v>
      </c>
      <c r="D281" s="23"/>
      <c r="E281" s="23"/>
      <c r="F281" s="23"/>
      <c r="G281" s="23">
        <v>1</v>
      </c>
      <c r="H281" s="14">
        <v>22002</v>
      </c>
      <c r="I281" s="16" t="s">
        <v>137</v>
      </c>
      <c r="J281" s="33" t="s">
        <v>486</v>
      </c>
      <c r="K281" s="33" t="s">
        <v>484</v>
      </c>
      <c r="L281" s="33" t="s">
        <v>485</v>
      </c>
      <c r="M281" s="33" t="s">
        <v>484</v>
      </c>
      <c r="N281" s="14" t="s">
        <v>741</v>
      </c>
      <c r="O281" s="14" t="s">
        <v>742</v>
      </c>
      <c r="P281" s="14" t="s">
        <v>743</v>
      </c>
      <c r="Q281" s="14">
        <v>0</v>
      </c>
      <c r="R281" s="14">
        <f t="shared" si="16"/>
        <v>2</v>
      </c>
    </row>
    <row r="282" spans="2:18">
      <c r="B282" s="14">
        <f t="shared" si="15"/>
        <v>22003</v>
      </c>
      <c r="C282" s="23">
        <v>1</v>
      </c>
      <c r="D282" s="23"/>
      <c r="E282" s="23"/>
      <c r="F282" s="23"/>
      <c r="G282" s="23">
        <v>1</v>
      </c>
      <c r="H282" s="14">
        <v>22003</v>
      </c>
      <c r="I282" s="16" t="s">
        <v>138</v>
      </c>
      <c r="J282" s="33" t="s">
        <v>1874</v>
      </c>
      <c r="K282" s="33" t="s">
        <v>1875</v>
      </c>
      <c r="L282" s="33" t="s">
        <v>1876</v>
      </c>
      <c r="M282" s="33" t="s">
        <v>1877</v>
      </c>
      <c r="N282" s="14" t="s">
        <v>1878</v>
      </c>
      <c r="O282" s="14" t="s">
        <v>1879</v>
      </c>
      <c r="P282" s="14" t="s">
        <v>1879</v>
      </c>
      <c r="Q282" s="14">
        <v>0</v>
      </c>
      <c r="R282" s="14">
        <f t="shared" si="16"/>
        <v>2</v>
      </c>
    </row>
    <row r="283" spans="2:18">
      <c r="B283" s="14">
        <f t="shared" si="15"/>
        <v>22004</v>
      </c>
      <c r="C283" s="23">
        <v>1</v>
      </c>
      <c r="D283" s="23"/>
      <c r="E283" s="23"/>
      <c r="F283" s="23"/>
      <c r="G283" s="23">
        <v>1</v>
      </c>
      <c r="H283" s="14">
        <v>22004</v>
      </c>
      <c r="I283" s="16" t="s">
        <v>139</v>
      </c>
      <c r="J283" s="33" t="s">
        <v>139</v>
      </c>
      <c r="K283" s="33" t="s">
        <v>139</v>
      </c>
      <c r="L283" s="33" t="s">
        <v>139</v>
      </c>
      <c r="M283" s="33" t="s">
        <v>139</v>
      </c>
      <c r="N283" s="14" t="s">
        <v>139</v>
      </c>
      <c r="O283" s="14" t="s">
        <v>139</v>
      </c>
      <c r="P283" s="14" t="s">
        <v>139</v>
      </c>
      <c r="Q283" s="14">
        <v>0</v>
      </c>
      <c r="R283" s="14">
        <f t="shared" si="16"/>
        <v>3</v>
      </c>
    </row>
    <row r="284" spans="2:18">
      <c r="B284" s="14">
        <f t="shared" si="15"/>
        <v>22011</v>
      </c>
      <c r="C284" s="23">
        <v>1</v>
      </c>
      <c r="D284" s="23"/>
      <c r="E284" s="23"/>
      <c r="F284" s="23"/>
      <c r="G284" s="23">
        <v>1</v>
      </c>
      <c r="H284" s="14">
        <v>22011</v>
      </c>
      <c r="I284" s="16" t="s">
        <v>141</v>
      </c>
      <c r="J284" s="33" t="s">
        <v>489</v>
      </c>
      <c r="K284" s="33" t="s">
        <v>487</v>
      </c>
      <c r="L284" s="33" t="s">
        <v>488</v>
      </c>
      <c r="M284" s="33" t="s">
        <v>487</v>
      </c>
      <c r="N284" s="14" t="s">
        <v>744</v>
      </c>
      <c r="O284" s="14" t="s">
        <v>745</v>
      </c>
      <c r="P284" s="14" t="s">
        <v>746</v>
      </c>
      <c r="Q284" s="14">
        <v>0</v>
      </c>
      <c r="R284" s="14">
        <f t="shared" si="16"/>
        <v>2</v>
      </c>
    </row>
    <row r="285" spans="2:18">
      <c r="B285" s="14">
        <f t="shared" si="15"/>
        <v>22012</v>
      </c>
      <c r="C285" s="23">
        <v>1</v>
      </c>
      <c r="D285" s="23"/>
      <c r="E285" s="23"/>
      <c r="F285" s="23"/>
      <c r="G285" s="23">
        <v>1</v>
      </c>
      <c r="H285" s="14">
        <v>22012</v>
      </c>
      <c r="I285" s="16" t="s">
        <v>142</v>
      </c>
      <c r="J285" s="33" t="s">
        <v>492</v>
      </c>
      <c r="K285" s="33" t="s">
        <v>490</v>
      </c>
      <c r="L285" s="33" t="s">
        <v>490</v>
      </c>
      <c r="M285" s="33" t="s">
        <v>491</v>
      </c>
      <c r="N285" s="14" t="s">
        <v>744</v>
      </c>
      <c r="O285" s="14" t="s">
        <v>747</v>
      </c>
      <c r="P285" s="14" t="s">
        <v>747</v>
      </c>
      <c r="Q285" s="14">
        <v>0</v>
      </c>
      <c r="R285" s="14">
        <f t="shared" si="16"/>
        <v>2</v>
      </c>
    </row>
    <row r="286" spans="2:18">
      <c r="B286" s="14">
        <f t="shared" si="15"/>
        <v>22013</v>
      </c>
      <c r="C286" s="23">
        <v>1</v>
      </c>
      <c r="D286" s="23"/>
      <c r="E286" s="23"/>
      <c r="F286" s="23"/>
      <c r="G286" s="23">
        <v>1</v>
      </c>
      <c r="H286" s="14">
        <v>22013</v>
      </c>
      <c r="I286" s="16" t="s">
        <v>143</v>
      </c>
      <c r="J286" s="33" t="s">
        <v>496</v>
      </c>
      <c r="K286" s="33" t="s">
        <v>493</v>
      </c>
      <c r="L286" s="33" t="s">
        <v>494</v>
      </c>
      <c r="M286" s="33" t="s">
        <v>495</v>
      </c>
      <c r="N286" s="14" t="s">
        <v>748</v>
      </c>
      <c r="O286" s="14" t="s">
        <v>749</v>
      </c>
      <c r="P286" s="14" t="s">
        <v>749</v>
      </c>
      <c r="Q286" s="14">
        <v>0</v>
      </c>
      <c r="R286" s="14">
        <f t="shared" si="16"/>
        <v>2</v>
      </c>
    </row>
    <row r="287" spans="2:18">
      <c r="B287" s="14">
        <f t="shared" si="15"/>
        <v>22101</v>
      </c>
      <c r="C287" s="23">
        <v>1</v>
      </c>
      <c r="D287" s="23"/>
      <c r="E287" s="23"/>
      <c r="F287" s="23"/>
      <c r="G287" s="23">
        <v>1</v>
      </c>
      <c r="H287" s="14">
        <v>22101</v>
      </c>
      <c r="I287" s="16" t="s">
        <v>181</v>
      </c>
      <c r="J287" s="33" t="s">
        <v>499</v>
      </c>
      <c r="K287" s="33" t="s">
        <v>497</v>
      </c>
      <c r="L287" s="33" t="s">
        <v>498</v>
      </c>
      <c r="M287" s="33" t="s">
        <v>820</v>
      </c>
      <c r="N287" s="14" t="s">
        <v>750</v>
      </c>
      <c r="O287" s="14" t="s">
        <v>751</v>
      </c>
      <c r="P287" s="14" t="s">
        <v>752</v>
      </c>
      <c r="Q287" s="14">
        <v>0</v>
      </c>
      <c r="R287" s="14">
        <f t="shared" si="16"/>
        <v>11</v>
      </c>
    </row>
    <row r="288" spans="2:18">
      <c r="B288" s="14">
        <f t="shared" si="15"/>
        <v>22401</v>
      </c>
      <c r="C288" s="23">
        <v>1</v>
      </c>
      <c r="D288" s="23"/>
      <c r="E288" s="23"/>
      <c r="F288" s="23"/>
      <c r="G288" s="23">
        <v>1</v>
      </c>
      <c r="H288" s="14">
        <v>22401</v>
      </c>
      <c r="I288" s="16" t="s">
        <v>259</v>
      </c>
      <c r="J288" s="33" t="s">
        <v>2599</v>
      </c>
      <c r="K288" s="33" t="s">
        <v>2600</v>
      </c>
      <c r="L288" s="33" t="s">
        <v>2601</v>
      </c>
      <c r="M288" s="33" t="s">
        <v>2602</v>
      </c>
      <c r="N288" s="14" t="s">
        <v>2603</v>
      </c>
      <c r="O288" s="14" t="s">
        <v>2604</v>
      </c>
      <c r="P288" s="14" t="s">
        <v>2605</v>
      </c>
      <c r="Q288" s="14">
        <v>0</v>
      </c>
      <c r="R288" s="14"/>
    </row>
    <row r="289" spans="2:18">
      <c r="B289" s="42">
        <f t="shared" si="15"/>
        <v>23001</v>
      </c>
      <c r="C289" s="42">
        <v>1</v>
      </c>
      <c r="D289" s="42"/>
      <c r="E289" s="42"/>
      <c r="F289" s="42"/>
      <c r="G289" s="42">
        <v>1</v>
      </c>
      <c r="H289" s="42">
        <v>23001</v>
      </c>
      <c r="I289" s="43" t="s">
        <v>136</v>
      </c>
      <c r="J289" s="44" t="s">
        <v>1880</v>
      </c>
      <c r="K289" s="44" t="s">
        <v>1881</v>
      </c>
      <c r="L289" s="44" t="s">
        <v>1882</v>
      </c>
      <c r="M289" s="44" t="s">
        <v>1883</v>
      </c>
      <c r="N289" s="14" t="s">
        <v>1884</v>
      </c>
      <c r="O289" s="14" t="s">
        <v>1885</v>
      </c>
      <c r="P289" s="14" t="s">
        <v>1886</v>
      </c>
      <c r="Q289" s="42">
        <v>0</v>
      </c>
      <c r="R289" s="14">
        <f t="shared" ref="R289:R299" si="17">IF(LEN(I289)&gt;=333, "Text too Long", LEN(I289))</f>
        <v>8</v>
      </c>
    </row>
    <row r="290" spans="2:18">
      <c r="B290" s="14">
        <f t="shared" si="15"/>
        <v>23002</v>
      </c>
      <c r="C290" s="23">
        <v>1</v>
      </c>
      <c r="D290" s="23"/>
      <c r="E290" s="23"/>
      <c r="F290" s="23"/>
      <c r="G290" s="23">
        <v>1</v>
      </c>
      <c r="H290" s="14">
        <v>23002</v>
      </c>
      <c r="I290" s="16" t="s">
        <v>1208</v>
      </c>
      <c r="J290" s="33" t="s">
        <v>1209</v>
      </c>
      <c r="K290" s="33" t="s">
        <v>2606</v>
      </c>
      <c r="L290" s="33" t="s">
        <v>1210</v>
      </c>
      <c r="M290" s="33" t="s">
        <v>1211</v>
      </c>
      <c r="N290" s="14" t="s">
        <v>1212</v>
      </c>
      <c r="O290" s="14" t="s">
        <v>2607</v>
      </c>
      <c r="P290" s="14" t="s">
        <v>1213</v>
      </c>
      <c r="Q290" s="14">
        <v>0</v>
      </c>
      <c r="R290" s="14">
        <f t="shared" si="17"/>
        <v>149</v>
      </c>
    </row>
    <row r="291" spans="2:18">
      <c r="B291" s="14">
        <f t="shared" si="15"/>
        <v>23003</v>
      </c>
      <c r="C291" s="23">
        <v>1</v>
      </c>
      <c r="D291" s="23"/>
      <c r="E291" s="23"/>
      <c r="F291" s="23"/>
      <c r="G291" s="23">
        <v>1</v>
      </c>
      <c r="H291" s="14">
        <v>23003</v>
      </c>
      <c r="I291" s="16" t="s">
        <v>260</v>
      </c>
      <c r="J291" s="33" t="s">
        <v>1887</v>
      </c>
      <c r="K291" s="33" t="s">
        <v>1888</v>
      </c>
      <c r="L291" s="33" t="s">
        <v>1889</v>
      </c>
      <c r="M291" s="33" t="s">
        <v>1890</v>
      </c>
      <c r="N291" s="14" t="s">
        <v>1891</v>
      </c>
      <c r="O291" s="14" t="s">
        <v>1892</v>
      </c>
      <c r="P291" s="14" t="s">
        <v>1893</v>
      </c>
      <c r="Q291" s="14">
        <v>0</v>
      </c>
      <c r="R291" s="14">
        <f t="shared" si="17"/>
        <v>35</v>
      </c>
    </row>
    <row r="292" spans="2:18">
      <c r="B292" s="14">
        <f t="shared" si="15"/>
        <v>23004</v>
      </c>
      <c r="C292" s="23">
        <v>1</v>
      </c>
      <c r="D292" s="23"/>
      <c r="E292" s="23"/>
      <c r="F292" s="23"/>
      <c r="G292" s="23">
        <v>1</v>
      </c>
      <c r="H292" s="14">
        <v>23004</v>
      </c>
      <c r="I292" s="16" t="s">
        <v>265</v>
      </c>
      <c r="J292" s="33" t="s">
        <v>1894</v>
      </c>
      <c r="K292" s="33" t="s">
        <v>2608</v>
      </c>
      <c r="L292" s="33" t="s">
        <v>1895</v>
      </c>
      <c r="M292" s="33" t="s">
        <v>1896</v>
      </c>
      <c r="N292" s="14" t="s">
        <v>1897</v>
      </c>
      <c r="O292" s="14" t="s">
        <v>1898</v>
      </c>
      <c r="P292" s="14" t="s">
        <v>1899</v>
      </c>
      <c r="Q292" s="14">
        <v>0</v>
      </c>
      <c r="R292" s="14">
        <f t="shared" si="17"/>
        <v>69</v>
      </c>
    </row>
    <row r="293" spans="2:18">
      <c r="B293" s="14">
        <f t="shared" si="15"/>
        <v>23005</v>
      </c>
      <c r="C293" s="23">
        <v>1</v>
      </c>
      <c r="D293" s="23"/>
      <c r="E293" s="23"/>
      <c r="F293" s="23"/>
      <c r="G293" s="23">
        <v>1</v>
      </c>
      <c r="H293" s="14">
        <v>23005</v>
      </c>
      <c r="I293" s="16" t="s">
        <v>201</v>
      </c>
      <c r="J293" s="33" t="s">
        <v>1900</v>
      </c>
      <c r="K293" s="33" t="s">
        <v>1901</v>
      </c>
      <c r="L293" s="33" t="s">
        <v>1902</v>
      </c>
      <c r="M293" s="33" t="s">
        <v>1903</v>
      </c>
      <c r="N293" s="14" t="s">
        <v>1904</v>
      </c>
      <c r="O293" s="14" t="s">
        <v>1905</v>
      </c>
      <c r="P293" s="14" t="s">
        <v>1906</v>
      </c>
      <c r="Q293" s="14">
        <v>0</v>
      </c>
      <c r="R293" s="14">
        <f t="shared" si="17"/>
        <v>25</v>
      </c>
    </row>
    <row r="294" spans="2:18">
      <c r="B294" s="14">
        <f t="shared" si="15"/>
        <v>23006</v>
      </c>
      <c r="C294" s="23">
        <v>1</v>
      </c>
      <c r="D294" s="23"/>
      <c r="E294" s="23"/>
      <c r="F294" s="23"/>
      <c r="G294" s="23">
        <v>1</v>
      </c>
      <c r="H294" s="14">
        <v>23006</v>
      </c>
      <c r="I294" s="16" t="s">
        <v>261</v>
      </c>
      <c r="J294" s="33" t="s">
        <v>1907</v>
      </c>
      <c r="K294" s="33" t="s">
        <v>1908</v>
      </c>
      <c r="L294" s="33" t="s">
        <v>3498</v>
      </c>
      <c r="M294" s="33" t="s">
        <v>1909</v>
      </c>
      <c r="N294" s="14" t="s">
        <v>1910</v>
      </c>
      <c r="O294" s="14" t="s">
        <v>1911</v>
      </c>
      <c r="P294" s="14" t="s">
        <v>1912</v>
      </c>
      <c r="Q294" s="14">
        <v>0</v>
      </c>
      <c r="R294" s="14">
        <f t="shared" si="17"/>
        <v>63</v>
      </c>
    </row>
    <row r="295" spans="2:18">
      <c r="B295" s="14">
        <f t="shared" si="15"/>
        <v>23101</v>
      </c>
      <c r="C295" s="23">
        <v>1</v>
      </c>
      <c r="D295" s="23"/>
      <c r="E295" s="23"/>
      <c r="F295" s="23"/>
      <c r="G295" s="23">
        <v>1</v>
      </c>
      <c r="H295" s="14">
        <v>23101</v>
      </c>
      <c r="I295" s="16" t="s">
        <v>262</v>
      </c>
      <c r="J295" s="33" t="s">
        <v>1913</v>
      </c>
      <c r="K295" s="33" t="s">
        <v>2609</v>
      </c>
      <c r="L295" s="33" t="s">
        <v>1914</v>
      </c>
      <c r="M295" s="33" t="s">
        <v>1915</v>
      </c>
      <c r="N295" s="14" t="s">
        <v>2610</v>
      </c>
      <c r="O295" s="14" t="s">
        <v>2611</v>
      </c>
      <c r="P295" s="14" t="s">
        <v>1916</v>
      </c>
      <c r="Q295" s="14">
        <v>0</v>
      </c>
      <c r="R295" s="14">
        <f t="shared" si="17"/>
        <v>121</v>
      </c>
    </row>
    <row r="296" spans="2:18">
      <c r="B296" s="14">
        <f t="shared" si="15"/>
        <v>23102</v>
      </c>
      <c r="C296" s="23">
        <v>1</v>
      </c>
      <c r="D296" s="23"/>
      <c r="E296" s="23"/>
      <c r="F296" s="23"/>
      <c r="G296" s="23">
        <v>1</v>
      </c>
      <c r="H296" s="14">
        <v>23102</v>
      </c>
      <c r="I296" s="16" t="s">
        <v>266</v>
      </c>
      <c r="J296" s="33" t="s">
        <v>2612</v>
      </c>
      <c r="K296" s="33" t="s">
        <v>1917</v>
      </c>
      <c r="L296" s="33" t="s">
        <v>1918</v>
      </c>
      <c r="M296" s="33" t="s">
        <v>1919</v>
      </c>
      <c r="N296" s="14" t="s">
        <v>2613</v>
      </c>
      <c r="O296" s="14" t="s">
        <v>2614</v>
      </c>
      <c r="P296" s="14" t="s">
        <v>2615</v>
      </c>
      <c r="Q296" s="14">
        <v>0</v>
      </c>
      <c r="R296" s="14">
        <f t="shared" si="17"/>
        <v>119</v>
      </c>
    </row>
    <row r="297" spans="2:18">
      <c r="B297" s="14">
        <f t="shared" si="15"/>
        <v>23201</v>
      </c>
      <c r="C297" s="23">
        <v>1</v>
      </c>
      <c r="D297" s="23"/>
      <c r="E297" s="23"/>
      <c r="F297" s="23"/>
      <c r="G297" s="23">
        <v>1</v>
      </c>
      <c r="H297" s="14">
        <v>23201</v>
      </c>
      <c r="I297" s="16" t="s">
        <v>199</v>
      </c>
      <c r="J297" s="33" t="s">
        <v>1920</v>
      </c>
      <c r="K297" s="33" t="s">
        <v>1921</v>
      </c>
      <c r="L297" s="33" t="s">
        <v>1922</v>
      </c>
      <c r="M297" s="33" t="s">
        <v>1923</v>
      </c>
      <c r="N297" s="14" t="s">
        <v>1924</v>
      </c>
      <c r="O297" s="14" t="s">
        <v>1925</v>
      </c>
      <c r="P297" s="14" t="s">
        <v>1926</v>
      </c>
      <c r="Q297" s="14">
        <v>0</v>
      </c>
      <c r="R297" s="14">
        <f t="shared" si="17"/>
        <v>80</v>
      </c>
    </row>
    <row r="298" spans="2:18">
      <c r="B298" s="14">
        <f t="shared" si="15"/>
        <v>23202</v>
      </c>
      <c r="C298" s="23">
        <v>1</v>
      </c>
      <c r="D298" s="23"/>
      <c r="E298" s="23"/>
      <c r="F298" s="23"/>
      <c r="G298" s="23">
        <v>1</v>
      </c>
      <c r="H298" s="14">
        <v>23202</v>
      </c>
      <c r="I298" s="16" t="s">
        <v>200</v>
      </c>
      <c r="J298" s="33" t="s">
        <v>502</v>
      </c>
      <c r="K298" s="33" t="s">
        <v>500</v>
      </c>
      <c r="L298" s="33" t="s">
        <v>501</v>
      </c>
      <c r="M298" s="33" t="s">
        <v>821</v>
      </c>
      <c r="N298" s="14" t="s">
        <v>753</v>
      </c>
      <c r="O298" s="14" t="s">
        <v>754</v>
      </c>
      <c r="P298" s="14" t="s">
        <v>755</v>
      </c>
      <c r="Q298" s="14">
        <v>0</v>
      </c>
      <c r="R298" s="14">
        <f t="shared" si="17"/>
        <v>65</v>
      </c>
    </row>
    <row r="299" spans="2:18">
      <c r="B299" s="14">
        <f t="shared" si="15"/>
        <v>23301</v>
      </c>
      <c r="C299" s="23">
        <v>1</v>
      </c>
      <c r="D299" s="23"/>
      <c r="E299" s="23"/>
      <c r="F299" s="23"/>
      <c r="G299" s="23">
        <v>1</v>
      </c>
      <c r="H299" s="14">
        <v>23301</v>
      </c>
      <c r="I299" s="16" t="s">
        <v>263</v>
      </c>
      <c r="J299" s="33" t="s">
        <v>505</v>
      </c>
      <c r="K299" s="33" t="s">
        <v>503</v>
      </c>
      <c r="L299" s="33" t="s">
        <v>504</v>
      </c>
      <c r="M299" s="33" t="s">
        <v>822</v>
      </c>
      <c r="N299" s="14" t="s">
        <v>792</v>
      </c>
      <c r="O299" s="14" t="s">
        <v>793</v>
      </c>
      <c r="P299" s="14" t="s">
        <v>794</v>
      </c>
      <c r="Q299" s="14">
        <v>0</v>
      </c>
      <c r="R299" s="14">
        <f t="shared" si="17"/>
        <v>74</v>
      </c>
    </row>
    <row r="300" spans="2:18">
      <c r="B300" s="14">
        <f t="shared" si="15"/>
        <v>23401</v>
      </c>
      <c r="C300" s="23">
        <v>1</v>
      </c>
      <c r="D300" s="23"/>
      <c r="E300" s="23"/>
      <c r="F300" s="23"/>
      <c r="G300" s="23">
        <v>1</v>
      </c>
      <c r="H300" s="14">
        <v>23401</v>
      </c>
      <c r="I300" s="16" t="s">
        <v>264</v>
      </c>
      <c r="J300" s="33" t="s">
        <v>1927</v>
      </c>
      <c r="K300" s="33" t="s">
        <v>1928</v>
      </c>
      <c r="L300" s="33" t="s">
        <v>1929</v>
      </c>
      <c r="M300" s="33" t="s">
        <v>1930</v>
      </c>
      <c r="N300" s="14" t="s">
        <v>1931</v>
      </c>
      <c r="O300" s="14" t="s">
        <v>1932</v>
      </c>
      <c r="P300" s="14" t="s">
        <v>1933</v>
      </c>
      <c r="Q300" s="14">
        <v>0</v>
      </c>
      <c r="R300" s="14"/>
    </row>
    <row r="301" spans="2:18">
      <c r="B301" s="42">
        <f t="shared" ref="B301" si="18">H301</f>
        <v>24000</v>
      </c>
      <c r="C301" s="42">
        <v>1</v>
      </c>
      <c r="D301" s="42"/>
      <c r="E301" s="42"/>
      <c r="F301" s="42"/>
      <c r="G301" s="42">
        <v>1</v>
      </c>
      <c r="H301" s="42">
        <v>24000</v>
      </c>
      <c r="I301" s="43" t="s">
        <v>172</v>
      </c>
      <c r="J301" s="44" t="s">
        <v>533</v>
      </c>
      <c r="K301" s="44" t="s">
        <v>506</v>
      </c>
      <c r="L301" s="44" t="s">
        <v>507</v>
      </c>
      <c r="M301" s="44" t="s">
        <v>506</v>
      </c>
      <c r="N301" s="14" t="s">
        <v>756</v>
      </c>
      <c r="O301" s="14" t="s">
        <v>757</v>
      </c>
      <c r="P301" s="14" t="s">
        <v>758</v>
      </c>
      <c r="Q301" s="42">
        <v>0</v>
      </c>
      <c r="R301" s="14">
        <f>IF(LEN(I301)&gt;=333, "Text too Long", LEN(I301))</f>
        <v>2</v>
      </c>
    </row>
    <row r="302" spans="2:18">
      <c r="B302" s="14">
        <f t="shared" si="8"/>
        <v>24001</v>
      </c>
      <c r="C302" s="14">
        <v>1</v>
      </c>
      <c r="D302" s="14"/>
      <c r="E302" s="14"/>
      <c r="F302" s="14"/>
      <c r="G302" s="14">
        <v>1</v>
      </c>
      <c r="H302" s="14">
        <v>24001</v>
      </c>
      <c r="I302" s="16" t="s">
        <v>191</v>
      </c>
      <c r="J302" s="33" t="s">
        <v>511</v>
      </c>
      <c r="K302" s="33" t="s">
        <v>508</v>
      </c>
      <c r="L302" s="33" t="s">
        <v>509</v>
      </c>
      <c r="M302" s="33" t="s">
        <v>510</v>
      </c>
      <c r="N302" s="14" t="s">
        <v>759</v>
      </c>
      <c r="O302" s="14" t="s">
        <v>760</v>
      </c>
      <c r="P302" s="14" t="s">
        <v>761</v>
      </c>
      <c r="Q302" s="14">
        <v>0</v>
      </c>
      <c r="R302" s="14">
        <f>IF(LEN(I302)&gt;=10, "Text too Long", LEN(I302))</f>
        <v>5</v>
      </c>
    </row>
    <row r="303" spans="2:18">
      <c r="B303" s="14">
        <f t="shared" si="8"/>
        <v>25001</v>
      </c>
      <c r="C303" s="14">
        <v>1</v>
      </c>
      <c r="D303" s="14"/>
      <c r="E303" s="14"/>
      <c r="F303" s="14"/>
      <c r="G303" s="14">
        <v>1</v>
      </c>
      <c r="H303" s="14">
        <v>25001</v>
      </c>
      <c r="I303" s="16" t="s">
        <v>154</v>
      </c>
      <c r="J303" s="33" t="s">
        <v>1430</v>
      </c>
      <c r="K303" s="33" t="s">
        <v>2616</v>
      </c>
      <c r="L303" s="33" t="s">
        <v>1431</v>
      </c>
      <c r="M303" s="33" t="s">
        <v>1432</v>
      </c>
      <c r="N303" s="14" t="s">
        <v>1433</v>
      </c>
      <c r="O303" s="14" t="s">
        <v>1434</v>
      </c>
      <c r="P303" s="14" t="s">
        <v>1435</v>
      </c>
      <c r="Q303" s="14">
        <v>0</v>
      </c>
      <c r="R303" s="14">
        <f>IF(LEN(I303)&gt;=20, "Text too Long", LEN(I303))</f>
        <v>10</v>
      </c>
    </row>
    <row r="304" spans="2:18">
      <c r="B304" s="14">
        <f t="shared" si="8"/>
        <v>26001</v>
      </c>
      <c r="C304" s="14">
        <v>1</v>
      </c>
      <c r="D304" s="14"/>
      <c r="E304" s="14"/>
      <c r="F304" s="14"/>
      <c r="G304" s="14">
        <v>1</v>
      </c>
      <c r="H304" s="14">
        <v>26001</v>
      </c>
      <c r="I304" s="16" t="s">
        <v>237</v>
      </c>
      <c r="J304" s="33" t="s">
        <v>2617</v>
      </c>
      <c r="K304" s="33" t="s">
        <v>2618</v>
      </c>
      <c r="L304" s="33" t="s">
        <v>2619</v>
      </c>
      <c r="M304" s="33" t="s">
        <v>2620</v>
      </c>
      <c r="N304" s="14" t="s">
        <v>2621</v>
      </c>
      <c r="O304" s="14" t="s">
        <v>2622</v>
      </c>
      <c r="P304" s="14" t="s">
        <v>2623</v>
      </c>
      <c r="Q304" s="14">
        <v>0</v>
      </c>
      <c r="R304" s="14">
        <f>IF(LEN(I304)&gt;=333, "Text too Long", LEN(I304))</f>
        <v>21</v>
      </c>
    </row>
    <row r="305" spans="2:18">
      <c r="B305" s="14">
        <f t="shared" si="8"/>
        <v>24002</v>
      </c>
      <c r="C305" s="14">
        <v>1</v>
      </c>
      <c r="D305" s="14"/>
      <c r="E305" s="14"/>
      <c r="F305" s="14"/>
      <c r="G305" s="14">
        <v>1</v>
      </c>
      <c r="H305" s="14">
        <v>24002</v>
      </c>
      <c r="I305" s="16" t="s">
        <v>155</v>
      </c>
      <c r="J305" s="33" t="s">
        <v>515</v>
      </c>
      <c r="K305" s="33" t="s">
        <v>512</v>
      </c>
      <c r="L305" s="33" t="s">
        <v>513</v>
      </c>
      <c r="M305" s="33" t="s">
        <v>514</v>
      </c>
      <c r="N305" s="14" t="s">
        <v>762</v>
      </c>
      <c r="O305" s="14" t="s">
        <v>763</v>
      </c>
      <c r="P305" s="14" t="s">
        <v>764</v>
      </c>
      <c r="Q305" s="14">
        <v>0</v>
      </c>
      <c r="R305" s="14">
        <f>IF(LEN(I305)&gt;=10, "Text too Long", LEN(I305))</f>
        <v>5</v>
      </c>
    </row>
    <row r="306" spans="2:18">
      <c r="B306" s="14">
        <f t="shared" si="8"/>
        <v>25002</v>
      </c>
      <c r="C306" s="14">
        <v>1</v>
      </c>
      <c r="D306" s="14"/>
      <c r="E306" s="14"/>
      <c r="F306" s="14"/>
      <c r="G306" s="14">
        <v>1</v>
      </c>
      <c r="H306" s="14">
        <v>25002</v>
      </c>
      <c r="I306" s="16" t="s">
        <v>156</v>
      </c>
      <c r="J306" s="33" t="s">
        <v>2624</v>
      </c>
      <c r="K306" s="33" t="s">
        <v>2625</v>
      </c>
      <c r="L306" s="33" t="s">
        <v>2626</v>
      </c>
      <c r="M306" s="33" t="s">
        <v>2627</v>
      </c>
      <c r="N306" s="14" t="s">
        <v>2628</v>
      </c>
      <c r="O306" s="14" t="s">
        <v>2629</v>
      </c>
      <c r="P306" s="14" t="s">
        <v>2630</v>
      </c>
      <c r="Q306" s="14">
        <v>0</v>
      </c>
      <c r="R306" s="14">
        <f>IF(LEN(I306)&gt;=20, "Text too Long", LEN(I306))</f>
        <v>10</v>
      </c>
    </row>
    <row r="307" spans="2:18">
      <c r="B307" s="14">
        <f t="shared" si="8"/>
        <v>26002</v>
      </c>
      <c r="C307" s="14">
        <v>1</v>
      </c>
      <c r="D307" s="14"/>
      <c r="E307" s="14"/>
      <c r="F307" s="14"/>
      <c r="G307" s="14">
        <v>1</v>
      </c>
      <c r="H307" s="14">
        <v>26002</v>
      </c>
      <c r="I307" s="16" t="s">
        <v>238</v>
      </c>
      <c r="J307" s="33" t="s">
        <v>2631</v>
      </c>
      <c r="K307" s="33" t="s">
        <v>2632</v>
      </c>
      <c r="L307" s="33" t="s">
        <v>2633</v>
      </c>
      <c r="M307" s="33" t="s">
        <v>2634</v>
      </c>
      <c r="N307" s="14" t="s">
        <v>2635</v>
      </c>
      <c r="O307" s="14" t="s">
        <v>2636</v>
      </c>
      <c r="P307" s="14" t="s">
        <v>2637</v>
      </c>
      <c r="Q307" s="14">
        <v>0</v>
      </c>
      <c r="R307" s="14">
        <f>IF(LEN(I307)&gt;=333, "Text too Long", LEN(I307))</f>
        <v>20</v>
      </c>
    </row>
    <row r="308" spans="2:18">
      <c r="B308" s="14">
        <f t="shared" si="8"/>
        <v>24003</v>
      </c>
      <c r="C308" s="14">
        <v>1</v>
      </c>
      <c r="D308" s="14"/>
      <c r="E308" s="14"/>
      <c r="F308" s="14"/>
      <c r="G308" s="14">
        <v>1</v>
      </c>
      <c r="H308" s="14">
        <v>24003</v>
      </c>
      <c r="I308" s="16" t="s">
        <v>157</v>
      </c>
      <c r="J308" s="33" t="s">
        <v>519</v>
      </c>
      <c r="K308" s="33" t="s">
        <v>516</v>
      </c>
      <c r="L308" s="33" t="s">
        <v>517</v>
      </c>
      <c r="M308" s="33" t="s">
        <v>518</v>
      </c>
      <c r="N308" s="14" t="s">
        <v>765</v>
      </c>
      <c r="O308" s="14" t="s">
        <v>766</v>
      </c>
      <c r="P308" s="14" t="s">
        <v>767</v>
      </c>
      <c r="Q308" s="14">
        <v>0</v>
      </c>
      <c r="R308" s="14">
        <f>IF(LEN(I308)&gt;=10, "Text too Long", LEN(I308))</f>
        <v>5</v>
      </c>
    </row>
    <row r="309" spans="2:18">
      <c r="B309" s="14">
        <f t="shared" ref="B309:B328" si="19">H309</f>
        <v>25003</v>
      </c>
      <c r="C309" s="14">
        <v>1</v>
      </c>
      <c r="D309" s="14"/>
      <c r="E309" s="14"/>
      <c r="F309" s="14"/>
      <c r="G309" s="14">
        <v>1</v>
      </c>
      <c r="H309" s="14">
        <v>25003</v>
      </c>
      <c r="I309" s="16" t="s">
        <v>158</v>
      </c>
      <c r="J309" s="33" t="s">
        <v>522</v>
      </c>
      <c r="K309" s="33" t="s">
        <v>520</v>
      </c>
      <c r="L309" s="33" t="s">
        <v>521</v>
      </c>
      <c r="M309" s="33" t="s">
        <v>823</v>
      </c>
      <c r="N309" s="14" t="s">
        <v>768</v>
      </c>
      <c r="O309" s="14" t="s">
        <v>769</v>
      </c>
      <c r="P309" s="14" t="s">
        <v>770</v>
      </c>
      <c r="Q309" s="14">
        <v>0</v>
      </c>
      <c r="R309" s="14">
        <f>IF(LEN(I309)&gt;=20, "Text too Long", LEN(I309))</f>
        <v>13</v>
      </c>
    </row>
    <row r="310" spans="2:18">
      <c r="B310" s="14">
        <f t="shared" si="19"/>
        <v>26003</v>
      </c>
      <c r="C310" s="14">
        <v>1</v>
      </c>
      <c r="D310" s="14"/>
      <c r="E310" s="14"/>
      <c r="F310" s="14"/>
      <c r="G310" s="14">
        <v>1</v>
      </c>
      <c r="H310" s="14">
        <v>26003</v>
      </c>
      <c r="I310" s="16" t="s">
        <v>159</v>
      </c>
      <c r="J310" s="33" t="s">
        <v>2638</v>
      </c>
      <c r="K310" s="33" t="s">
        <v>2639</v>
      </c>
      <c r="L310" s="33" t="s">
        <v>2640</v>
      </c>
      <c r="M310" s="33" t="s">
        <v>2641</v>
      </c>
      <c r="N310" s="14" t="s">
        <v>2642</v>
      </c>
      <c r="O310" s="14" t="s">
        <v>2924</v>
      </c>
      <c r="P310" s="14" t="s">
        <v>2643</v>
      </c>
      <c r="Q310" s="14">
        <v>0</v>
      </c>
      <c r="R310" s="14">
        <f>IF(LEN(I310)&gt;=333, "Text too Long", LEN(I310))</f>
        <v>75</v>
      </c>
    </row>
    <row r="311" spans="2:18">
      <c r="B311" s="14">
        <f t="shared" si="19"/>
        <v>24004</v>
      </c>
      <c r="C311" s="14">
        <v>1</v>
      </c>
      <c r="D311" s="14"/>
      <c r="E311" s="14"/>
      <c r="F311" s="14"/>
      <c r="G311" s="14">
        <v>1</v>
      </c>
      <c r="H311" s="14">
        <v>24004</v>
      </c>
      <c r="I311" s="16" t="s">
        <v>2644</v>
      </c>
      <c r="J311" s="33" t="s">
        <v>2645</v>
      </c>
      <c r="K311" s="33" t="s">
        <v>2646</v>
      </c>
      <c r="L311" s="33" t="s">
        <v>2647</v>
      </c>
      <c r="M311" s="33" t="s">
        <v>2646</v>
      </c>
      <c r="N311" s="14" t="s">
        <v>2648</v>
      </c>
      <c r="O311" s="14" t="s">
        <v>2649</v>
      </c>
      <c r="P311" s="14" t="s">
        <v>2650</v>
      </c>
      <c r="Q311" s="14">
        <v>0</v>
      </c>
      <c r="R311" s="14">
        <f>IF(LEN(I311)&gt;=10, "Text too Long", LEN(I311))</f>
        <v>5</v>
      </c>
    </row>
    <row r="312" spans="2:18">
      <c r="B312" s="14">
        <f t="shared" si="19"/>
        <v>25004</v>
      </c>
      <c r="C312" s="14">
        <v>1</v>
      </c>
      <c r="D312" s="14"/>
      <c r="E312" s="14"/>
      <c r="F312" s="14"/>
      <c r="G312" s="14">
        <v>1</v>
      </c>
      <c r="H312" s="14">
        <v>25004</v>
      </c>
      <c r="I312" s="16" t="s">
        <v>2651</v>
      </c>
      <c r="J312" s="33" t="s">
        <v>2652</v>
      </c>
      <c r="K312" s="33" t="s">
        <v>2653</v>
      </c>
      <c r="L312" s="33" t="s">
        <v>2654</v>
      </c>
      <c r="M312" s="33" t="s">
        <v>2655</v>
      </c>
      <c r="N312" s="14" t="s">
        <v>2648</v>
      </c>
      <c r="O312" s="14" t="s">
        <v>2656</v>
      </c>
      <c r="P312" s="14" t="s">
        <v>2657</v>
      </c>
      <c r="Q312" s="14">
        <v>0</v>
      </c>
      <c r="R312" s="14">
        <f>IF(LEN(I312)&gt;=20, "Text too Long", LEN(I312))</f>
        <v>12</v>
      </c>
    </row>
    <row r="313" spans="2:18">
      <c r="B313" s="14">
        <f t="shared" si="19"/>
        <v>26004</v>
      </c>
      <c r="C313" s="14">
        <v>1</v>
      </c>
      <c r="D313" s="14"/>
      <c r="E313" s="14"/>
      <c r="F313" s="14"/>
      <c r="G313" s="14">
        <v>1</v>
      </c>
      <c r="H313" s="14">
        <v>26004</v>
      </c>
      <c r="I313" s="16" t="s">
        <v>160</v>
      </c>
      <c r="J313" s="33" t="s">
        <v>2658</v>
      </c>
      <c r="K313" s="33" t="s">
        <v>2659</v>
      </c>
      <c r="L313" s="33" t="s">
        <v>2660</v>
      </c>
      <c r="M313" s="33" t="s">
        <v>2661</v>
      </c>
      <c r="N313" s="14" t="s">
        <v>2662</v>
      </c>
      <c r="O313" s="14" t="s">
        <v>2663</v>
      </c>
      <c r="P313" s="14" t="s">
        <v>2664</v>
      </c>
      <c r="Q313" s="14">
        <v>0</v>
      </c>
      <c r="R313" s="14">
        <f>IF(LEN(I313)&gt;=333, "Text too Long", LEN(I313))</f>
        <v>33</v>
      </c>
    </row>
    <row r="314" spans="2:18">
      <c r="B314" s="14">
        <f t="shared" si="19"/>
        <v>24005</v>
      </c>
      <c r="C314" s="14">
        <v>1</v>
      </c>
      <c r="D314" s="14"/>
      <c r="E314" s="14"/>
      <c r="F314" s="14"/>
      <c r="G314" s="14">
        <v>1</v>
      </c>
      <c r="H314" s="14">
        <v>24005</v>
      </c>
      <c r="I314" s="16" t="s">
        <v>161</v>
      </c>
      <c r="J314" s="33" t="s">
        <v>2665</v>
      </c>
      <c r="K314" s="33" t="s">
        <v>2666</v>
      </c>
      <c r="L314" s="33" t="s">
        <v>2667</v>
      </c>
      <c r="M314" s="33" t="s">
        <v>2666</v>
      </c>
      <c r="N314" s="14" t="s">
        <v>2668</v>
      </c>
      <c r="O314" s="14" t="s">
        <v>2669</v>
      </c>
      <c r="P314" s="14" t="s">
        <v>2670</v>
      </c>
      <c r="Q314" s="14">
        <v>0</v>
      </c>
      <c r="R314" s="14">
        <f>IF(LEN(I314)&gt;=10, "Text too Long", LEN(I314))</f>
        <v>5</v>
      </c>
    </row>
    <row r="315" spans="2:18">
      <c r="B315" s="14">
        <f t="shared" si="19"/>
        <v>25005</v>
      </c>
      <c r="C315" s="14">
        <v>1</v>
      </c>
      <c r="D315" s="14"/>
      <c r="E315" s="14"/>
      <c r="F315" s="14"/>
      <c r="G315" s="14">
        <v>1</v>
      </c>
      <c r="H315" s="14">
        <v>25005</v>
      </c>
      <c r="I315" s="16" t="s">
        <v>2671</v>
      </c>
      <c r="J315" s="33" t="s">
        <v>2672</v>
      </c>
      <c r="K315" s="33" t="s">
        <v>2673</v>
      </c>
      <c r="L315" s="33" t="s">
        <v>2674</v>
      </c>
      <c r="M315" s="33" t="s">
        <v>2675</v>
      </c>
      <c r="N315" s="14" t="s">
        <v>2668</v>
      </c>
      <c r="O315" s="14" t="s">
        <v>2676</v>
      </c>
      <c r="P315" s="14" t="s">
        <v>2677</v>
      </c>
      <c r="Q315" s="14">
        <v>0</v>
      </c>
      <c r="R315" s="14">
        <f>IF(LEN(I315)&gt;=20, "Text too Long", LEN(I315))</f>
        <v>12</v>
      </c>
    </row>
    <row r="316" spans="2:18">
      <c r="B316" s="14">
        <f t="shared" si="19"/>
        <v>26005</v>
      </c>
      <c r="C316" s="14">
        <v>1</v>
      </c>
      <c r="D316" s="14"/>
      <c r="E316" s="14"/>
      <c r="F316" s="14"/>
      <c r="G316" s="14">
        <v>1</v>
      </c>
      <c r="H316" s="14">
        <v>26005</v>
      </c>
      <c r="I316" s="16" t="s">
        <v>162</v>
      </c>
      <c r="J316" s="33" t="s">
        <v>3499</v>
      </c>
      <c r="K316" s="33" t="s">
        <v>3500</v>
      </c>
      <c r="L316" s="33" t="s">
        <v>3501</v>
      </c>
      <c r="M316" s="33" t="s">
        <v>3502</v>
      </c>
      <c r="N316" s="14" t="s">
        <v>3503</v>
      </c>
      <c r="O316" s="14" t="s">
        <v>3504</v>
      </c>
      <c r="P316" s="14" t="s">
        <v>3505</v>
      </c>
      <c r="Q316" s="14">
        <v>0</v>
      </c>
      <c r="R316" s="14">
        <f>IF(LEN(I316)&gt;=333, "Text too Long", LEN(I316))</f>
        <v>56</v>
      </c>
    </row>
    <row r="317" spans="2:18">
      <c r="B317" s="14">
        <f t="shared" si="19"/>
        <v>24006</v>
      </c>
      <c r="C317" s="14">
        <v>1</v>
      </c>
      <c r="D317" s="14"/>
      <c r="E317" s="14"/>
      <c r="F317" s="14"/>
      <c r="G317" s="14">
        <v>1</v>
      </c>
      <c r="H317" s="14">
        <v>24006</v>
      </c>
      <c r="I317" s="16" t="s">
        <v>163</v>
      </c>
      <c r="J317" s="33" t="s">
        <v>2678</v>
      </c>
      <c r="K317" s="33" t="s">
        <v>2679</v>
      </c>
      <c r="L317" s="33" t="s">
        <v>2680</v>
      </c>
      <c r="M317" s="33" t="s">
        <v>2681</v>
      </c>
      <c r="N317" s="14" t="s">
        <v>2682</v>
      </c>
      <c r="O317" s="14" t="s">
        <v>2683</v>
      </c>
      <c r="P317" s="14" t="s">
        <v>2684</v>
      </c>
      <c r="Q317" s="14">
        <v>0</v>
      </c>
      <c r="R317" s="14">
        <f>IF(LEN(I317)&gt;=10, "Text too Long", LEN(I317))</f>
        <v>8</v>
      </c>
    </row>
    <row r="318" spans="2:18">
      <c r="B318" s="14">
        <f t="shared" si="19"/>
        <v>25006</v>
      </c>
      <c r="C318" s="14">
        <v>1</v>
      </c>
      <c r="D318" s="14"/>
      <c r="E318" s="14"/>
      <c r="F318" s="14"/>
      <c r="G318" s="14">
        <v>1</v>
      </c>
      <c r="H318" s="14">
        <v>25006</v>
      </c>
      <c r="I318" s="16" t="s">
        <v>2685</v>
      </c>
      <c r="J318" s="33" t="s">
        <v>2686</v>
      </c>
      <c r="K318" s="33" t="s">
        <v>2687</v>
      </c>
      <c r="L318" s="33" t="s">
        <v>2688</v>
      </c>
      <c r="M318" s="33" t="s">
        <v>2689</v>
      </c>
      <c r="N318" s="14" t="s">
        <v>2682</v>
      </c>
      <c r="O318" s="14" t="s">
        <v>2690</v>
      </c>
      <c r="P318" s="14" t="s">
        <v>2691</v>
      </c>
      <c r="Q318" s="14">
        <v>0</v>
      </c>
      <c r="R318" s="14">
        <f>IF(LEN(I318)&gt;=20, "Text too Long", LEN(I318))</f>
        <v>15</v>
      </c>
    </row>
    <row r="319" spans="2:18">
      <c r="B319" s="14">
        <f t="shared" si="19"/>
        <v>26006</v>
      </c>
      <c r="C319" s="14">
        <v>1</v>
      </c>
      <c r="D319" s="14"/>
      <c r="E319" s="14"/>
      <c r="F319" s="14"/>
      <c r="G319" s="14">
        <v>1</v>
      </c>
      <c r="H319" s="14">
        <v>26006</v>
      </c>
      <c r="I319" s="16" t="s">
        <v>160</v>
      </c>
      <c r="J319" s="33" t="s">
        <v>525</v>
      </c>
      <c r="K319" s="33" t="s">
        <v>523</v>
      </c>
      <c r="L319" s="33" t="s">
        <v>524</v>
      </c>
      <c r="M319" s="33" t="s">
        <v>824</v>
      </c>
      <c r="N319" s="14" t="s">
        <v>771</v>
      </c>
      <c r="O319" s="14" t="s">
        <v>773</v>
      </c>
      <c r="P319" s="14" t="s">
        <v>772</v>
      </c>
      <c r="Q319" s="14">
        <v>0</v>
      </c>
      <c r="R319" s="14">
        <f>IF(LEN(I319)&gt;=333, "Text too Long", LEN(I319))</f>
        <v>33</v>
      </c>
    </row>
    <row r="320" spans="2:18">
      <c r="B320" s="14">
        <f t="shared" si="19"/>
        <v>24007</v>
      </c>
      <c r="C320" s="14">
        <v>1</v>
      </c>
      <c r="D320" s="14"/>
      <c r="E320" s="14"/>
      <c r="F320" s="14"/>
      <c r="G320" s="14">
        <v>1</v>
      </c>
      <c r="H320" s="14">
        <v>24007</v>
      </c>
      <c r="I320" s="16" t="s">
        <v>2692</v>
      </c>
      <c r="J320" s="33" t="s">
        <v>2693</v>
      </c>
      <c r="K320" s="33" t="s">
        <v>2694</v>
      </c>
      <c r="L320" s="33" t="s">
        <v>2695</v>
      </c>
      <c r="M320" s="33" t="s">
        <v>2696</v>
      </c>
      <c r="N320" s="14" t="s">
        <v>2697</v>
      </c>
      <c r="O320" s="14" t="s">
        <v>2698</v>
      </c>
      <c r="P320" s="14" t="s">
        <v>2699</v>
      </c>
      <c r="Q320" s="14">
        <v>0</v>
      </c>
      <c r="R320" s="14">
        <f>IF(LEN(I320)&gt;=10, "Text too Long", LEN(I320))</f>
        <v>8</v>
      </c>
    </row>
    <row r="321" spans="2:18">
      <c r="B321" s="14">
        <f t="shared" si="19"/>
        <v>25007</v>
      </c>
      <c r="C321" s="14">
        <v>1</v>
      </c>
      <c r="D321" s="14"/>
      <c r="E321" s="14"/>
      <c r="F321" s="14"/>
      <c r="G321" s="14">
        <v>1</v>
      </c>
      <c r="H321" s="14">
        <v>25007</v>
      </c>
      <c r="I321" s="16" t="s">
        <v>2700</v>
      </c>
      <c r="J321" s="33" t="s">
        <v>2701</v>
      </c>
      <c r="K321" s="33" t="s">
        <v>2702</v>
      </c>
      <c r="L321" s="33" t="s">
        <v>2703</v>
      </c>
      <c r="M321" s="33" t="s">
        <v>2704</v>
      </c>
      <c r="N321" s="14" t="s">
        <v>2697</v>
      </c>
      <c r="O321" s="14" t="s">
        <v>2705</v>
      </c>
      <c r="P321" s="14" t="s">
        <v>2706</v>
      </c>
      <c r="Q321" s="14">
        <v>0</v>
      </c>
      <c r="R321" s="14">
        <f>IF(LEN(I321)&gt;=20, "Text too Long", LEN(I321))</f>
        <v>15</v>
      </c>
    </row>
    <row r="322" spans="2:18">
      <c r="B322" s="14">
        <f t="shared" si="19"/>
        <v>26007</v>
      </c>
      <c r="C322" s="14">
        <v>1</v>
      </c>
      <c r="D322" s="14"/>
      <c r="E322" s="14"/>
      <c r="F322" s="14"/>
      <c r="G322" s="14">
        <v>1</v>
      </c>
      <c r="H322" s="14">
        <v>26007</v>
      </c>
      <c r="I322" s="16" t="s">
        <v>162</v>
      </c>
      <c r="J322" s="33" t="s">
        <v>3499</v>
      </c>
      <c r="K322" s="33" t="s">
        <v>3500</v>
      </c>
      <c r="L322" s="33" t="s">
        <v>3501</v>
      </c>
      <c r="M322" s="33" t="s">
        <v>3502</v>
      </c>
      <c r="N322" s="14" t="s">
        <v>3503</v>
      </c>
      <c r="O322" s="14" t="s">
        <v>3504</v>
      </c>
      <c r="P322" s="14" t="s">
        <v>3505</v>
      </c>
      <c r="Q322" s="14">
        <v>0</v>
      </c>
      <c r="R322" s="14">
        <f>IF(LEN(I322)&gt;=333, "Text too Long", LEN(I322))</f>
        <v>56</v>
      </c>
    </row>
    <row r="323" spans="2:18">
      <c r="B323" s="14">
        <f t="shared" si="19"/>
        <v>24008</v>
      </c>
      <c r="C323" s="14">
        <v>1</v>
      </c>
      <c r="D323" s="14"/>
      <c r="E323" s="14"/>
      <c r="F323" s="14"/>
      <c r="G323" s="14">
        <v>1</v>
      </c>
      <c r="H323" s="14">
        <v>24008</v>
      </c>
      <c r="I323" s="16" t="s">
        <v>1934</v>
      </c>
      <c r="J323" s="33" t="s">
        <v>1935</v>
      </c>
      <c r="K323" s="33" t="s">
        <v>1936</v>
      </c>
      <c r="L323" s="33" t="s">
        <v>2707</v>
      </c>
      <c r="M323" s="33" t="s">
        <v>1937</v>
      </c>
      <c r="N323" s="14" t="s">
        <v>1938</v>
      </c>
      <c r="O323" s="14" t="s">
        <v>1939</v>
      </c>
      <c r="P323" s="14" t="s">
        <v>1940</v>
      </c>
      <c r="Q323" s="14">
        <v>0</v>
      </c>
      <c r="R323" s="14">
        <f>IF(LEN(I323)&gt;=10, "Text too Long", LEN(I323))</f>
        <v>6</v>
      </c>
    </row>
    <row r="324" spans="2:18">
      <c r="B324" s="14">
        <f t="shared" si="19"/>
        <v>25008</v>
      </c>
      <c r="C324" s="14">
        <v>1</v>
      </c>
      <c r="D324" s="14"/>
      <c r="E324" s="14"/>
      <c r="F324" s="14"/>
      <c r="G324" s="14">
        <v>1</v>
      </c>
      <c r="H324" s="14">
        <v>25008</v>
      </c>
      <c r="I324" s="16" t="s">
        <v>1941</v>
      </c>
      <c r="J324" s="33" t="s">
        <v>1942</v>
      </c>
      <c r="K324" s="33" t="s">
        <v>1943</v>
      </c>
      <c r="L324" s="33" t="s">
        <v>2708</v>
      </c>
      <c r="M324" s="33" t="s">
        <v>1944</v>
      </c>
      <c r="N324" s="14" t="s">
        <v>1945</v>
      </c>
      <c r="O324" s="14" t="s">
        <v>1968</v>
      </c>
      <c r="P324" s="14" t="s">
        <v>1946</v>
      </c>
      <c r="Q324" s="14">
        <v>0</v>
      </c>
      <c r="R324" s="14">
        <f>IF(LEN(I324)&gt;=20, "Text too Long", LEN(I324))</f>
        <v>14</v>
      </c>
    </row>
    <row r="325" spans="2:18">
      <c r="B325" s="14">
        <f t="shared" si="19"/>
        <v>26008</v>
      </c>
      <c r="C325" s="14">
        <v>1</v>
      </c>
      <c r="D325" s="14"/>
      <c r="E325" s="14"/>
      <c r="F325" s="14"/>
      <c r="G325" s="14">
        <v>1</v>
      </c>
      <c r="H325" s="14">
        <v>26008</v>
      </c>
      <c r="I325" s="16" t="s">
        <v>255</v>
      </c>
      <c r="J325" s="33" t="s">
        <v>1947</v>
      </c>
      <c r="K325" s="33" t="s">
        <v>1948</v>
      </c>
      <c r="L325" s="33" t="s">
        <v>2709</v>
      </c>
      <c r="M325" s="33" t="s">
        <v>1949</v>
      </c>
      <c r="N325" s="14" t="s">
        <v>1950</v>
      </c>
      <c r="O325" s="14" t="s">
        <v>1951</v>
      </c>
      <c r="P325" s="14" t="s">
        <v>1952</v>
      </c>
      <c r="Q325" s="14">
        <v>0</v>
      </c>
      <c r="R325" s="14">
        <f>IF(LEN(I325)&gt;=333, "Text too Long", LEN(I325))</f>
        <v>64</v>
      </c>
    </row>
    <row r="326" spans="2:18">
      <c r="B326" s="14">
        <f t="shared" si="19"/>
        <v>24009</v>
      </c>
      <c r="C326" s="14">
        <v>1</v>
      </c>
      <c r="D326" s="14"/>
      <c r="E326" s="14"/>
      <c r="F326" s="14"/>
      <c r="G326" s="14">
        <v>1</v>
      </c>
      <c r="H326" s="14">
        <v>24009</v>
      </c>
      <c r="I326" s="16" t="s">
        <v>1953</v>
      </c>
      <c r="J326" s="33" t="s">
        <v>1954</v>
      </c>
      <c r="K326" s="33" t="s">
        <v>1955</v>
      </c>
      <c r="L326" s="33" t="s">
        <v>2710</v>
      </c>
      <c r="M326" s="33" t="s">
        <v>1956</v>
      </c>
      <c r="N326" s="14" t="s">
        <v>1957</v>
      </c>
      <c r="O326" s="14" t="s">
        <v>1958</v>
      </c>
      <c r="P326" s="14" t="s">
        <v>1959</v>
      </c>
      <c r="Q326" s="14">
        <v>0</v>
      </c>
      <c r="R326" s="14">
        <f>IF(LEN(I326)&gt;=10, "Text too Long", LEN(I326))</f>
        <v>6</v>
      </c>
    </row>
    <row r="327" spans="2:18">
      <c r="B327" s="14">
        <f t="shared" si="19"/>
        <v>25009</v>
      </c>
      <c r="C327" s="14">
        <v>1</v>
      </c>
      <c r="D327" s="14"/>
      <c r="E327" s="14"/>
      <c r="F327" s="14"/>
      <c r="G327" s="14">
        <v>1</v>
      </c>
      <c r="H327" s="14">
        <v>25009</v>
      </c>
      <c r="I327" s="16" t="s">
        <v>1960</v>
      </c>
      <c r="J327" s="33" t="s">
        <v>1961</v>
      </c>
      <c r="K327" s="33" t="s">
        <v>1962</v>
      </c>
      <c r="L327" s="33" t="s">
        <v>2711</v>
      </c>
      <c r="M327" s="33" t="s">
        <v>1963</v>
      </c>
      <c r="N327" s="14" t="s">
        <v>1964</v>
      </c>
      <c r="O327" s="14" t="s">
        <v>1965</v>
      </c>
      <c r="P327" s="14" t="s">
        <v>1966</v>
      </c>
      <c r="Q327" s="14">
        <v>0</v>
      </c>
      <c r="R327" s="14">
        <f>IF(LEN(I327)&gt;=20, "Text too Long", LEN(I327))</f>
        <v>14</v>
      </c>
    </row>
    <row r="328" spans="2:18" ht="17.25" thickBot="1">
      <c r="B328" s="88">
        <f t="shared" si="19"/>
        <v>26009</v>
      </c>
      <c r="C328" s="88">
        <v>1</v>
      </c>
      <c r="D328" s="88"/>
      <c r="E328" s="88"/>
      <c r="F328" s="88"/>
      <c r="G328" s="88">
        <v>1</v>
      </c>
      <c r="H328" s="88">
        <v>26009</v>
      </c>
      <c r="I328" s="89" t="s">
        <v>164</v>
      </c>
      <c r="J328" s="90" t="s">
        <v>1967</v>
      </c>
      <c r="K328" s="90" t="s">
        <v>2925</v>
      </c>
      <c r="L328" s="90" t="s">
        <v>2712</v>
      </c>
      <c r="M328" s="90" t="s">
        <v>2926</v>
      </c>
      <c r="N328" s="88" t="s">
        <v>3506</v>
      </c>
      <c r="O328" s="88" t="s">
        <v>2927</v>
      </c>
      <c r="P328" s="88" t="s">
        <v>2928</v>
      </c>
      <c r="Q328" s="88">
        <v>0</v>
      </c>
      <c r="R328" s="88">
        <f t="shared" ref="R328:R343" si="20">IF(LEN(I328)&gt;=333, "Text too Long", LEN(I328))</f>
        <v>60</v>
      </c>
    </row>
    <row r="329" spans="2:18">
      <c r="B329" s="118">
        <f t="shared" ref="B329:B337" si="21">H329</f>
        <v>26110</v>
      </c>
      <c r="C329" s="100">
        <v>1</v>
      </c>
      <c r="D329" s="100"/>
      <c r="E329" s="100"/>
      <c r="F329" s="100" t="s">
        <v>1025</v>
      </c>
      <c r="G329" s="100">
        <v>1</v>
      </c>
      <c r="H329" s="100">
        <v>26110</v>
      </c>
      <c r="I329" s="119" t="s">
        <v>1019</v>
      </c>
      <c r="J329" s="117" t="s">
        <v>1026</v>
      </c>
      <c r="K329" s="90" t="s">
        <v>1027</v>
      </c>
      <c r="L329" s="90" t="s">
        <v>1028</v>
      </c>
      <c r="M329" s="90" t="s">
        <v>1027</v>
      </c>
      <c r="N329" s="88" t="s">
        <v>1029</v>
      </c>
      <c r="O329" s="88" t="s">
        <v>1030</v>
      </c>
      <c r="P329" s="88" t="s">
        <v>1031</v>
      </c>
      <c r="Q329" s="88">
        <v>0</v>
      </c>
      <c r="R329" s="88">
        <f t="shared" ref="R329:R334" si="22">IF(LEN(I329)&gt;=333, "Text too Long", LEN(I329))</f>
        <v>7</v>
      </c>
    </row>
    <row r="330" spans="2:18">
      <c r="B330" s="120">
        <f t="shared" si="21"/>
        <v>26220</v>
      </c>
      <c r="C330" s="88">
        <v>1</v>
      </c>
      <c r="D330" s="88"/>
      <c r="E330" s="88"/>
      <c r="F330" s="88" t="s">
        <v>1025</v>
      </c>
      <c r="G330" s="88">
        <v>1</v>
      </c>
      <c r="H330" s="88">
        <v>26220</v>
      </c>
      <c r="I330" s="121" t="s">
        <v>1020</v>
      </c>
      <c r="J330" s="117" t="s">
        <v>1032</v>
      </c>
      <c r="K330" s="90" t="s">
        <v>1033</v>
      </c>
      <c r="L330" s="90" t="s">
        <v>1034</v>
      </c>
      <c r="M330" s="90" t="s">
        <v>1035</v>
      </c>
      <c r="N330" s="88" t="s">
        <v>1036</v>
      </c>
      <c r="O330" s="88" t="s">
        <v>1037</v>
      </c>
      <c r="P330" s="88" t="s">
        <v>1038</v>
      </c>
      <c r="Q330" s="88">
        <v>0</v>
      </c>
      <c r="R330" s="88">
        <f t="shared" si="22"/>
        <v>14</v>
      </c>
    </row>
    <row r="331" spans="2:18">
      <c r="B331" s="120">
        <f t="shared" si="21"/>
        <v>26330</v>
      </c>
      <c r="C331" s="88">
        <v>1</v>
      </c>
      <c r="D331" s="88"/>
      <c r="E331" s="88"/>
      <c r="F331" s="88" t="s">
        <v>1025</v>
      </c>
      <c r="G331" s="88">
        <v>1</v>
      </c>
      <c r="H331" s="88">
        <v>26330</v>
      </c>
      <c r="I331" s="121" t="s">
        <v>1021</v>
      </c>
      <c r="J331" s="117" t="s">
        <v>525</v>
      </c>
      <c r="K331" s="90" t="s">
        <v>1039</v>
      </c>
      <c r="L331" s="90" t="s">
        <v>1040</v>
      </c>
      <c r="M331" s="90" t="s">
        <v>1041</v>
      </c>
      <c r="N331" s="88" t="s">
        <v>1042</v>
      </c>
      <c r="O331" s="88" t="s">
        <v>1043</v>
      </c>
      <c r="P331" s="88" t="s">
        <v>1044</v>
      </c>
      <c r="Q331" s="88">
        <v>0</v>
      </c>
      <c r="R331" s="88">
        <f t="shared" si="22"/>
        <v>37</v>
      </c>
    </row>
    <row r="332" spans="2:18">
      <c r="B332" s="120">
        <f t="shared" si="21"/>
        <v>26111</v>
      </c>
      <c r="C332" s="88">
        <v>1</v>
      </c>
      <c r="D332" s="88"/>
      <c r="E332" s="88"/>
      <c r="F332" s="88" t="s">
        <v>1025</v>
      </c>
      <c r="G332" s="88">
        <v>1</v>
      </c>
      <c r="H332" s="88">
        <v>26111</v>
      </c>
      <c r="I332" s="121" t="s">
        <v>1022</v>
      </c>
      <c r="J332" s="117" t="s">
        <v>1045</v>
      </c>
      <c r="K332" s="90" t="s">
        <v>1046</v>
      </c>
      <c r="L332" s="90" t="s">
        <v>1047</v>
      </c>
      <c r="M332" s="90" t="s">
        <v>1046</v>
      </c>
      <c r="N332" s="88" t="s">
        <v>1048</v>
      </c>
      <c r="O332" s="88" t="s">
        <v>1049</v>
      </c>
      <c r="P332" s="88" t="s">
        <v>1050</v>
      </c>
      <c r="Q332" s="88">
        <v>0</v>
      </c>
      <c r="R332" s="88">
        <f t="shared" si="22"/>
        <v>7</v>
      </c>
    </row>
    <row r="333" spans="2:18">
      <c r="B333" s="120">
        <f t="shared" si="21"/>
        <v>26222</v>
      </c>
      <c r="C333" s="88">
        <v>1</v>
      </c>
      <c r="D333" s="88"/>
      <c r="E333" s="88"/>
      <c r="F333" s="88" t="s">
        <v>1025</v>
      </c>
      <c r="G333" s="88">
        <v>1</v>
      </c>
      <c r="H333" s="88">
        <v>26222</v>
      </c>
      <c r="I333" s="121" t="s">
        <v>1023</v>
      </c>
      <c r="J333" s="117" t="s">
        <v>1051</v>
      </c>
      <c r="K333" s="90" t="s">
        <v>1052</v>
      </c>
      <c r="L333" s="90" t="s">
        <v>1053</v>
      </c>
      <c r="M333" s="90" t="s">
        <v>1054</v>
      </c>
      <c r="N333" s="88" t="s">
        <v>1048</v>
      </c>
      <c r="O333" s="88" t="s">
        <v>1055</v>
      </c>
      <c r="P333" s="88" t="s">
        <v>1056</v>
      </c>
      <c r="Q333" s="88">
        <v>0</v>
      </c>
      <c r="R333" s="88">
        <f t="shared" si="22"/>
        <v>14</v>
      </c>
    </row>
    <row r="334" spans="2:18" ht="17.25" thickBot="1">
      <c r="B334" s="98">
        <f t="shared" si="21"/>
        <v>26333</v>
      </c>
      <c r="C334" s="76">
        <v>1</v>
      </c>
      <c r="D334" s="76"/>
      <c r="E334" s="76"/>
      <c r="F334" s="76" t="s">
        <v>1025</v>
      </c>
      <c r="G334" s="76">
        <v>1</v>
      </c>
      <c r="H334" s="76">
        <v>26333</v>
      </c>
      <c r="I334" s="122" t="s">
        <v>1024</v>
      </c>
      <c r="J334" s="117" t="s">
        <v>1057</v>
      </c>
      <c r="K334" s="90" t="s">
        <v>1058</v>
      </c>
      <c r="L334" s="90" t="s">
        <v>1059</v>
      </c>
      <c r="M334" s="90" t="s">
        <v>1060</v>
      </c>
      <c r="N334" s="88" t="s">
        <v>1061</v>
      </c>
      <c r="O334" s="88" t="s">
        <v>1062</v>
      </c>
      <c r="P334" s="88" t="s">
        <v>1063</v>
      </c>
      <c r="Q334" s="88">
        <v>0</v>
      </c>
      <c r="R334" s="88">
        <f t="shared" si="22"/>
        <v>58</v>
      </c>
    </row>
    <row r="335" spans="2:18" ht="83.25" thickBot="1">
      <c r="B335" s="14">
        <f t="shared" si="21"/>
        <v>24012</v>
      </c>
      <c r="C335" s="14">
        <v>1</v>
      </c>
      <c r="D335" s="88" t="s">
        <v>3731</v>
      </c>
      <c r="E335" s="14"/>
      <c r="F335" s="88" t="s">
        <v>3732</v>
      </c>
      <c r="G335" s="76">
        <v>1</v>
      </c>
      <c r="H335" s="129">
        <v>24012</v>
      </c>
      <c r="I335" s="130" t="s">
        <v>3736</v>
      </c>
      <c r="J335" s="55" t="s">
        <v>3737</v>
      </c>
      <c r="K335" s="55" t="s">
        <v>3738</v>
      </c>
      <c r="L335" s="55" t="s">
        <v>3739</v>
      </c>
      <c r="M335" s="55" t="s">
        <v>3738</v>
      </c>
      <c r="N335" s="55" t="s">
        <v>3740</v>
      </c>
      <c r="O335" s="55" t="s">
        <v>3741</v>
      </c>
      <c r="P335" s="55" t="s">
        <v>3742</v>
      </c>
      <c r="Q335" s="53">
        <v>0</v>
      </c>
      <c r="R335" s="14">
        <f>IF(LEN(I335)&gt;=10, "Text too Long", LEN(I335))</f>
        <v>6</v>
      </c>
    </row>
    <row r="336" spans="2:18" ht="83.25" thickBot="1">
      <c r="B336" s="14">
        <f t="shared" si="21"/>
        <v>25012</v>
      </c>
      <c r="C336" s="14">
        <v>1</v>
      </c>
      <c r="D336" s="88" t="s">
        <v>3731</v>
      </c>
      <c r="E336" s="14"/>
      <c r="F336" s="88" t="s">
        <v>3732</v>
      </c>
      <c r="G336" s="76">
        <v>1</v>
      </c>
      <c r="H336" s="129">
        <v>25012</v>
      </c>
      <c r="I336" s="130" t="s">
        <v>3743</v>
      </c>
      <c r="J336" s="55" t="s">
        <v>3744</v>
      </c>
      <c r="K336" s="55" t="s">
        <v>3745</v>
      </c>
      <c r="L336" s="55" t="s">
        <v>3746</v>
      </c>
      <c r="M336" s="55" t="s">
        <v>3747</v>
      </c>
      <c r="N336" s="55" t="s">
        <v>3748</v>
      </c>
      <c r="O336" s="55" t="s">
        <v>3749</v>
      </c>
      <c r="P336" s="55" t="s">
        <v>3750</v>
      </c>
      <c r="Q336" s="53">
        <v>0</v>
      </c>
      <c r="R336" s="14">
        <f>IF(LEN(I336)&gt;=20, "Text too Long", LEN(I336))</f>
        <v>15</v>
      </c>
    </row>
    <row r="337" spans="2:18" ht="165.75" thickBot="1">
      <c r="B337" s="14">
        <f t="shared" si="21"/>
        <v>26012</v>
      </c>
      <c r="C337" s="14">
        <v>1</v>
      </c>
      <c r="D337" s="88" t="s">
        <v>3731</v>
      </c>
      <c r="E337" s="14"/>
      <c r="F337" s="88" t="s">
        <v>3732</v>
      </c>
      <c r="G337" s="76">
        <v>1</v>
      </c>
      <c r="H337" s="129">
        <v>26012</v>
      </c>
      <c r="I337" s="130" t="s">
        <v>3751</v>
      </c>
      <c r="J337" s="55" t="s">
        <v>3752</v>
      </c>
      <c r="K337" s="55" t="s">
        <v>3753</v>
      </c>
      <c r="L337" s="55" t="s">
        <v>3754</v>
      </c>
      <c r="M337" s="55" t="s">
        <v>3755</v>
      </c>
      <c r="N337" s="55" t="s">
        <v>3756</v>
      </c>
      <c r="O337" s="55" t="s">
        <v>3757</v>
      </c>
      <c r="P337" s="55" t="s">
        <v>3758</v>
      </c>
      <c r="Q337" s="53">
        <v>0</v>
      </c>
      <c r="R337" s="14">
        <f t="shared" ref="R337" si="23">IF(LEN(I337)&gt;=333, "Text too Long", LEN(I337))</f>
        <v>36</v>
      </c>
    </row>
    <row r="338" spans="2:18">
      <c r="B338" s="91">
        <f t="shared" ref="B338:B343" si="24">H338</f>
        <v>24010</v>
      </c>
      <c r="C338" s="92">
        <v>1</v>
      </c>
      <c r="D338" s="92" t="s">
        <v>969</v>
      </c>
      <c r="E338" s="92">
        <v>0</v>
      </c>
      <c r="F338" s="92" t="s">
        <v>970</v>
      </c>
      <c r="G338" s="92">
        <v>1</v>
      </c>
      <c r="H338" s="92">
        <v>24010</v>
      </c>
      <c r="I338" s="93" t="s">
        <v>1934</v>
      </c>
      <c r="J338" s="94" t="s">
        <v>1935</v>
      </c>
      <c r="K338" s="94" t="s">
        <v>1936</v>
      </c>
      <c r="L338" s="94" t="s">
        <v>2707</v>
      </c>
      <c r="M338" s="94" t="s">
        <v>1937</v>
      </c>
      <c r="N338" s="92" t="s">
        <v>3507</v>
      </c>
      <c r="O338" s="92" t="s">
        <v>1939</v>
      </c>
      <c r="P338" s="92" t="s">
        <v>1940</v>
      </c>
      <c r="Q338" s="92">
        <v>0</v>
      </c>
      <c r="R338" s="95">
        <f t="shared" si="20"/>
        <v>6</v>
      </c>
    </row>
    <row r="339" spans="2:18">
      <c r="B339" s="96">
        <f t="shared" si="24"/>
        <v>25010</v>
      </c>
      <c r="C339" s="14">
        <v>1</v>
      </c>
      <c r="D339" s="14" t="s">
        <v>969</v>
      </c>
      <c r="E339" s="14">
        <v>0</v>
      </c>
      <c r="F339" s="14" t="s">
        <v>970</v>
      </c>
      <c r="G339" s="14">
        <v>1</v>
      </c>
      <c r="H339" s="14">
        <v>25010</v>
      </c>
      <c r="I339" s="16" t="s">
        <v>1941</v>
      </c>
      <c r="J339" s="33" t="s">
        <v>1942</v>
      </c>
      <c r="K339" s="33" t="s">
        <v>1943</v>
      </c>
      <c r="L339" s="33" t="s">
        <v>2708</v>
      </c>
      <c r="M339" s="33" t="s">
        <v>1944</v>
      </c>
      <c r="N339" s="14" t="s">
        <v>3508</v>
      </c>
      <c r="O339" s="14" t="s">
        <v>1968</v>
      </c>
      <c r="P339" s="14" t="s">
        <v>1969</v>
      </c>
      <c r="Q339" s="14">
        <v>0</v>
      </c>
      <c r="R339" s="97">
        <f t="shared" si="20"/>
        <v>14</v>
      </c>
    </row>
    <row r="340" spans="2:18">
      <c r="B340" s="96">
        <f t="shared" si="24"/>
        <v>26010</v>
      </c>
      <c r="C340" s="14">
        <v>1</v>
      </c>
      <c r="D340" s="14" t="s">
        <v>969</v>
      </c>
      <c r="E340" s="14">
        <v>0</v>
      </c>
      <c r="F340" s="14" t="s">
        <v>970</v>
      </c>
      <c r="G340" s="14">
        <v>1</v>
      </c>
      <c r="H340" s="14">
        <v>26010</v>
      </c>
      <c r="I340" s="16" t="s">
        <v>1970</v>
      </c>
      <c r="J340" s="33" t="s">
        <v>1971</v>
      </c>
      <c r="K340" s="33" t="s">
        <v>2713</v>
      </c>
      <c r="L340" s="33" t="s">
        <v>2714</v>
      </c>
      <c r="M340" s="33" t="s">
        <v>1972</v>
      </c>
      <c r="N340" s="14" t="s">
        <v>3509</v>
      </c>
      <c r="O340" s="14" t="s">
        <v>1973</v>
      </c>
      <c r="P340" s="14" t="s">
        <v>1974</v>
      </c>
      <c r="Q340" s="14">
        <v>0</v>
      </c>
      <c r="R340" s="97">
        <f t="shared" si="20"/>
        <v>71</v>
      </c>
    </row>
    <row r="341" spans="2:18">
      <c r="B341" s="96">
        <f t="shared" si="24"/>
        <v>24011</v>
      </c>
      <c r="C341" s="14">
        <v>1</v>
      </c>
      <c r="D341" s="14" t="s">
        <v>969</v>
      </c>
      <c r="E341" s="14">
        <v>0</v>
      </c>
      <c r="F341" s="14" t="s">
        <v>970</v>
      </c>
      <c r="G341" s="14">
        <v>1</v>
      </c>
      <c r="H341" s="14">
        <v>24011</v>
      </c>
      <c r="I341" s="16" t="s">
        <v>1953</v>
      </c>
      <c r="J341" s="33" t="s">
        <v>1954</v>
      </c>
      <c r="K341" s="33" t="s">
        <v>1955</v>
      </c>
      <c r="L341" s="33" t="s">
        <v>2710</v>
      </c>
      <c r="M341" s="33" t="s">
        <v>1956</v>
      </c>
      <c r="N341" s="14" t="s">
        <v>3510</v>
      </c>
      <c r="O341" s="14" t="s">
        <v>1958</v>
      </c>
      <c r="P341" s="14" t="s">
        <v>1959</v>
      </c>
      <c r="Q341" s="14">
        <v>0</v>
      </c>
      <c r="R341" s="97">
        <f t="shared" si="20"/>
        <v>6</v>
      </c>
    </row>
    <row r="342" spans="2:18">
      <c r="B342" s="96">
        <f t="shared" si="24"/>
        <v>25011</v>
      </c>
      <c r="C342" s="14">
        <v>1</v>
      </c>
      <c r="D342" s="14" t="s">
        <v>969</v>
      </c>
      <c r="E342" s="14">
        <v>0</v>
      </c>
      <c r="F342" s="14" t="s">
        <v>970</v>
      </c>
      <c r="G342" s="14">
        <v>1</v>
      </c>
      <c r="H342" s="14">
        <v>25011</v>
      </c>
      <c r="I342" s="16" t="s">
        <v>1960</v>
      </c>
      <c r="J342" s="33" t="s">
        <v>1961</v>
      </c>
      <c r="K342" s="33" t="s">
        <v>1962</v>
      </c>
      <c r="L342" s="33" t="s">
        <v>2711</v>
      </c>
      <c r="M342" s="33" t="s">
        <v>1963</v>
      </c>
      <c r="N342" s="14" t="s">
        <v>3511</v>
      </c>
      <c r="O342" s="14" t="s">
        <v>1965</v>
      </c>
      <c r="P342" s="14" t="s">
        <v>1975</v>
      </c>
      <c r="Q342" s="14">
        <v>0</v>
      </c>
      <c r="R342" s="97">
        <f t="shared" si="20"/>
        <v>14</v>
      </c>
    </row>
    <row r="343" spans="2:18" ht="17.25" thickBot="1">
      <c r="B343" s="98">
        <f t="shared" si="24"/>
        <v>26011</v>
      </c>
      <c r="C343" s="76">
        <v>1</v>
      </c>
      <c r="D343" s="76" t="s">
        <v>969</v>
      </c>
      <c r="E343" s="76">
        <v>0</v>
      </c>
      <c r="F343" s="76" t="s">
        <v>970</v>
      </c>
      <c r="G343" s="76">
        <v>1</v>
      </c>
      <c r="H343" s="76">
        <v>26011</v>
      </c>
      <c r="I343" s="78" t="s">
        <v>1976</v>
      </c>
      <c r="J343" s="79" t="s">
        <v>1977</v>
      </c>
      <c r="K343" s="79" t="s">
        <v>2929</v>
      </c>
      <c r="L343" s="79" t="s">
        <v>2715</v>
      </c>
      <c r="M343" s="79" t="s">
        <v>1978</v>
      </c>
      <c r="N343" s="76" t="s">
        <v>3512</v>
      </c>
      <c r="O343" s="76" t="s">
        <v>1979</v>
      </c>
      <c r="P343" s="76" t="s">
        <v>1980</v>
      </c>
      <c r="Q343" s="76">
        <v>0</v>
      </c>
      <c r="R343" s="99">
        <f t="shared" si="20"/>
        <v>66</v>
      </c>
    </row>
    <row r="344" spans="2:18">
      <c r="B344" s="42">
        <f t="shared" ref="B344:B345" si="25">H344</f>
        <v>36001</v>
      </c>
      <c r="C344" s="42">
        <v>1</v>
      </c>
      <c r="D344" s="42"/>
      <c r="E344" s="42"/>
      <c r="F344" s="42"/>
      <c r="G344" s="42">
        <v>1</v>
      </c>
      <c r="H344" s="42">
        <v>36001</v>
      </c>
      <c r="I344" s="43" t="s">
        <v>2716</v>
      </c>
      <c r="J344" s="44" t="s">
        <v>2201</v>
      </c>
      <c r="K344" s="44" t="s">
        <v>2201</v>
      </c>
      <c r="L344" s="44" t="s">
        <v>2201</v>
      </c>
      <c r="M344" s="44" t="s">
        <v>2201</v>
      </c>
      <c r="N344" s="48" t="s">
        <v>2201</v>
      </c>
      <c r="O344" s="44" t="s">
        <v>2201</v>
      </c>
      <c r="P344" s="44" t="s">
        <v>2201</v>
      </c>
      <c r="Q344" s="42">
        <v>0</v>
      </c>
      <c r="R344" s="14">
        <f t="shared" ref="R344:R358" si="26">IF(LEN(I344)&gt;=20, "Text too Long", LEN(I344))</f>
        <v>14</v>
      </c>
    </row>
    <row r="345" spans="2:18">
      <c r="B345" s="14">
        <f t="shared" si="25"/>
        <v>36002</v>
      </c>
      <c r="C345" s="23">
        <v>1</v>
      </c>
      <c r="D345" s="23"/>
      <c r="E345" s="23"/>
      <c r="F345" s="23"/>
      <c r="G345" s="23">
        <v>1</v>
      </c>
      <c r="H345" s="14">
        <v>36002</v>
      </c>
      <c r="I345" s="16" t="s">
        <v>1981</v>
      </c>
      <c r="J345" s="33" t="s">
        <v>1982</v>
      </c>
      <c r="K345" s="33" t="s">
        <v>1983</v>
      </c>
      <c r="L345" s="33" t="s">
        <v>1984</v>
      </c>
      <c r="M345" s="33" t="s">
        <v>1985</v>
      </c>
      <c r="N345" s="49" t="s">
        <v>2717</v>
      </c>
      <c r="O345" s="33" t="s">
        <v>1986</v>
      </c>
      <c r="P345" s="33" t="s">
        <v>1987</v>
      </c>
      <c r="Q345" s="14">
        <v>0</v>
      </c>
      <c r="R345" s="14">
        <f t="shared" si="26"/>
        <v>11</v>
      </c>
    </row>
    <row r="346" spans="2:18">
      <c r="B346" s="14">
        <f t="shared" ref="B346:B348" si="27">H346</f>
        <v>36003</v>
      </c>
      <c r="C346" s="23">
        <v>1</v>
      </c>
      <c r="D346" s="23"/>
      <c r="E346" s="23"/>
      <c r="F346" s="23"/>
      <c r="G346" s="23">
        <v>1</v>
      </c>
      <c r="H346" s="14">
        <v>36003</v>
      </c>
      <c r="I346" s="45" t="s">
        <v>1988</v>
      </c>
      <c r="J346" s="33" t="s">
        <v>1989</v>
      </c>
      <c r="K346" s="33" t="s">
        <v>1990</v>
      </c>
      <c r="L346" s="33" t="s">
        <v>1991</v>
      </c>
      <c r="M346" s="33" t="s">
        <v>1992</v>
      </c>
      <c r="N346" s="49" t="s">
        <v>2718</v>
      </c>
      <c r="O346" s="33" t="s">
        <v>1993</v>
      </c>
      <c r="P346" s="33" t="s">
        <v>1994</v>
      </c>
      <c r="Q346" s="14">
        <v>0</v>
      </c>
      <c r="R346" s="14">
        <f t="shared" si="26"/>
        <v>11</v>
      </c>
    </row>
    <row r="347" spans="2:18">
      <c r="B347" s="14">
        <f t="shared" si="27"/>
        <v>36004</v>
      </c>
      <c r="C347" s="23">
        <v>1</v>
      </c>
      <c r="D347" s="23"/>
      <c r="E347" s="23"/>
      <c r="F347" s="23"/>
      <c r="G347" s="23">
        <v>1</v>
      </c>
      <c r="H347" s="14">
        <v>36004</v>
      </c>
      <c r="I347" s="16" t="s">
        <v>536</v>
      </c>
      <c r="J347" s="33" t="s">
        <v>1995</v>
      </c>
      <c r="K347" s="33" t="s">
        <v>1996</v>
      </c>
      <c r="L347" s="33" t="s">
        <v>1997</v>
      </c>
      <c r="M347" s="50" t="s">
        <v>1998</v>
      </c>
      <c r="N347" s="49" t="s">
        <v>1999</v>
      </c>
      <c r="O347" s="33" t="s">
        <v>2000</v>
      </c>
      <c r="P347" s="33" t="s">
        <v>2719</v>
      </c>
      <c r="Q347" s="14">
        <v>0</v>
      </c>
      <c r="R347" s="14">
        <f t="shared" si="26"/>
        <v>8</v>
      </c>
    </row>
    <row r="348" spans="2:18">
      <c r="B348" s="14">
        <f t="shared" si="27"/>
        <v>36005</v>
      </c>
      <c r="C348" s="23">
        <v>1</v>
      </c>
      <c r="D348" s="23"/>
      <c r="E348" s="23"/>
      <c r="F348" s="23"/>
      <c r="G348" s="23">
        <v>1</v>
      </c>
      <c r="H348" s="14">
        <v>36005</v>
      </c>
      <c r="I348" s="16" t="s">
        <v>537</v>
      </c>
      <c r="J348" s="33" t="s">
        <v>2001</v>
      </c>
      <c r="K348" s="33" t="s">
        <v>2002</v>
      </c>
      <c r="L348" s="33" t="s">
        <v>2003</v>
      </c>
      <c r="M348" s="50" t="s">
        <v>2004</v>
      </c>
      <c r="N348" s="52" t="s">
        <v>2005</v>
      </c>
      <c r="O348" s="33" t="s">
        <v>2006</v>
      </c>
      <c r="P348" s="33" t="s">
        <v>2720</v>
      </c>
      <c r="Q348" s="14">
        <v>0</v>
      </c>
      <c r="R348" s="14">
        <f t="shared" si="26"/>
        <v>8</v>
      </c>
    </row>
    <row r="349" spans="2:18">
      <c r="B349" s="14">
        <f t="shared" ref="B349:B356" si="28">H349</f>
        <v>36006</v>
      </c>
      <c r="C349" s="23">
        <v>1</v>
      </c>
      <c r="D349" s="23"/>
      <c r="E349" s="23"/>
      <c r="F349" s="23"/>
      <c r="G349" s="23">
        <v>1</v>
      </c>
      <c r="H349" s="14">
        <v>36006</v>
      </c>
      <c r="I349" s="16" t="s">
        <v>1988</v>
      </c>
      <c r="J349" s="33" t="s">
        <v>1989</v>
      </c>
      <c r="K349" s="33" t="s">
        <v>1990</v>
      </c>
      <c r="L349" s="33" t="s">
        <v>1991</v>
      </c>
      <c r="M349" s="33" t="s">
        <v>1992</v>
      </c>
      <c r="N349" s="49" t="s">
        <v>2718</v>
      </c>
      <c r="O349" s="33" t="s">
        <v>1993</v>
      </c>
      <c r="P349" s="33" t="s">
        <v>1994</v>
      </c>
      <c r="Q349" s="14">
        <v>0</v>
      </c>
      <c r="R349" s="14">
        <f t="shared" si="26"/>
        <v>11</v>
      </c>
    </row>
    <row r="350" spans="2:18">
      <c r="B350" s="14">
        <f t="shared" si="28"/>
        <v>36007</v>
      </c>
      <c r="C350" s="23">
        <v>1</v>
      </c>
      <c r="D350" s="23"/>
      <c r="E350" s="23"/>
      <c r="F350" s="23"/>
      <c r="G350" s="23">
        <v>1</v>
      </c>
      <c r="H350" s="14">
        <v>36007</v>
      </c>
      <c r="I350" s="16" t="s">
        <v>1988</v>
      </c>
      <c r="J350" s="33" t="s">
        <v>1989</v>
      </c>
      <c r="K350" s="33" t="s">
        <v>1990</v>
      </c>
      <c r="L350" s="33" t="s">
        <v>1991</v>
      </c>
      <c r="M350" s="33" t="s">
        <v>1992</v>
      </c>
      <c r="N350" s="49" t="s">
        <v>2718</v>
      </c>
      <c r="O350" s="33" t="s">
        <v>1993</v>
      </c>
      <c r="P350" s="33" t="s">
        <v>1994</v>
      </c>
      <c r="Q350" s="14">
        <v>0</v>
      </c>
      <c r="R350" s="14">
        <f t="shared" si="26"/>
        <v>11</v>
      </c>
    </row>
    <row r="351" spans="2:18">
      <c r="B351" s="14">
        <f t="shared" si="28"/>
        <v>36008</v>
      </c>
      <c r="C351" s="23">
        <v>1</v>
      </c>
      <c r="D351" s="23"/>
      <c r="E351" s="23"/>
      <c r="F351" s="23"/>
      <c r="G351" s="23">
        <v>1</v>
      </c>
      <c r="H351" s="14">
        <v>36008</v>
      </c>
      <c r="I351" s="45" t="s">
        <v>1988</v>
      </c>
      <c r="J351" s="33" t="s">
        <v>1989</v>
      </c>
      <c r="K351" s="33" t="s">
        <v>1990</v>
      </c>
      <c r="L351" s="33" t="s">
        <v>1991</v>
      </c>
      <c r="M351" s="33" t="s">
        <v>1992</v>
      </c>
      <c r="N351" s="49" t="s">
        <v>2718</v>
      </c>
      <c r="O351" s="33" t="s">
        <v>1993</v>
      </c>
      <c r="P351" s="33" t="s">
        <v>1994</v>
      </c>
      <c r="Q351" s="14">
        <v>0</v>
      </c>
      <c r="R351" s="14">
        <f t="shared" ref="R351" si="29">IF(LEN(I351)&gt;=20, "Text too Long", LEN(I351))</f>
        <v>11</v>
      </c>
    </row>
    <row r="352" spans="2:18">
      <c r="B352" s="42">
        <f t="shared" si="28"/>
        <v>37001</v>
      </c>
      <c r="C352" s="42">
        <v>1</v>
      </c>
      <c r="D352" s="42"/>
      <c r="E352" s="42"/>
      <c r="F352" s="42"/>
      <c r="G352" s="42">
        <v>1</v>
      </c>
      <c r="H352" s="42">
        <v>37001</v>
      </c>
      <c r="I352" s="43" t="s">
        <v>2721</v>
      </c>
      <c r="J352" s="44" t="s">
        <v>2201</v>
      </c>
      <c r="K352" s="44" t="s">
        <v>2201</v>
      </c>
      <c r="L352" s="44" t="s">
        <v>2201</v>
      </c>
      <c r="M352" s="44" t="s">
        <v>2201</v>
      </c>
      <c r="N352" s="48" t="s">
        <v>2201</v>
      </c>
      <c r="O352" s="44" t="s">
        <v>2201</v>
      </c>
      <c r="P352" s="44" t="s">
        <v>2201</v>
      </c>
      <c r="Q352" s="42">
        <v>0</v>
      </c>
      <c r="R352" s="14">
        <f t="shared" si="26"/>
        <v>17</v>
      </c>
    </row>
    <row r="353" spans="2:33">
      <c r="B353" s="14">
        <f t="shared" si="28"/>
        <v>37002</v>
      </c>
      <c r="C353" s="23">
        <v>1</v>
      </c>
      <c r="D353" s="23"/>
      <c r="E353" s="23"/>
      <c r="F353" s="23"/>
      <c r="G353" s="23">
        <v>1</v>
      </c>
      <c r="H353" s="14">
        <v>37002</v>
      </c>
      <c r="I353" s="16" t="s">
        <v>2007</v>
      </c>
      <c r="J353" s="33" t="s">
        <v>2008</v>
      </c>
      <c r="K353" s="33" t="s">
        <v>2009</v>
      </c>
      <c r="L353" s="33" t="s">
        <v>2010</v>
      </c>
      <c r="M353" s="33" t="s">
        <v>2011</v>
      </c>
      <c r="N353" s="49" t="s">
        <v>2722</v>
      </c>
      <c r="O353" s="33" t="s">
        <v>2012</v>
      </c>
      <c r="P353" s="33" t="s">
        <v>2013</v>
      </c>
      <c r="Q353" s="14">
        <v>0</v>
      </c>
      <c r="R353" s="14">
        <f t="shared" si="26"/>
        <v>18</v>
      </c>
    </row>
    <row r="354" spans="2:33">
      <c r="B354" s="14">
        <f t="shared" si="28"/>
        <v>37003</v>
      </c>
      <c r="C354" s="23">
        <v>1</v>
      </c>
      <c r="D354" s="23"/>
      <c r="E354" s="23"/>
      <c r="F354" s="23"/>
      <c r="G354" s="23">
        <v>1</v>
      </c>
      <c r="H354" s="14">
        <v>37003</v>
      </c>
      <c r="I354" s="45" t="s">
        <v>1436</v>
      </c>
      <c r="J354" s="33" t="s">
        <v>1437</v>
      </c>
      <c r="K354" s="33" t="s">
        <v>1438</v>
      </c>
      <c r="L354" s="33" t="s">
        <v>1439</v>
      </c>
      <c r="M354" s="33" t="s">
        <v>1440</v>
      </c>
      <c r="N354" s="49" t="s">
        <v>1441</v>
      </c>
      <c r="O354" s="33" t="s">
        <v>1442</v>
      </c>
      <c r="P354" s="33" t="s">
        <v>3513</v>
      </c>
      <c r="Q354" s="14">
        <v>0</v>
      </c>
      <c r="R354" s="14">
        <f t="shared" si="26"/>
        <v>18</v>
      </c>
    </row>
    <row r="355" spans="2:33">
      <c r="B355" s="14">
        <f t="shared" si="28"/>
        <v>37004</v>
      </c>
      <c r="C355" s="23">
        <v>1</v>
      </c>
      <c r="D355" s="23"/>
      <c r="E355" s="23"/>
      <c r="F355" s="23"/>
      <c r="G355" s="23">
        <v>1</v>
      </c>
      <c r="H355" s="14">
        <v>37004</v>
      </c>
      <c r="I355" s="16" t="s">
        <v>538</v>
      </c>
      <c r="J355" s="33" t="s">
        <v>2014</v>
      </c>
      <c r="K355" s="33" t="s">
        <v>2015</v>
      </c>
      <c r="L355" s="33" t="s">
        <v>2016</v>
      </c>
      <c r="M355" s="50" t="s">
        <v>2017</v>
      </c>
      <c r="N355" s="49" t="s">
        <v>2018</v>
      </c>
      <c r="O355" s="33" t="s">
        <v>2019</v>
      </c>
      <c r="P355" s="33" t="s">
        <v>2723</v>
      </c>
      <c r="Q355" s="14">
        <v>0</v>
      </c>
      <c r="R355" s="14">
        <f t="shared" si="26"/>
        <v>15</v>
      </c>
    </row>
    <row r="356" spans="2:33">
      <c r="B356" s="14">
        <f t="shared" si="28"/>
        <v>37005</v>
      </c>
      <c r="C356" s="23">
        <v>1</v>
      </c>
      <c r="D356" s="23"/>
      <c r="E356" s="23"/>
      <c r="F356" s="23"/>
      <c r="G356" s="23">
        <v>1</v>
      </c>
      <c r="H356" s="14">
        <v>37005</v>
      </c>
      <c r="I356" s="16" t="s">
        <v>539</v>
      </c>
      <c r="J356" s="33" t="s">
        <v>2020</v>
      </c>
      <c r="K356" s="33" t="s">
        <v>2021</v>
      </c>
      <c r="L356" s="33" t="s">
        <v>2022</v>
      </c>
      <c r="M356" s="50" t="s">
        <v>2023</v>
      </c>
      <c r="N356" s="49" t="s">
        <v>2024</v>
      </c>
      <c r="O356" s="33" t="s">
        <v>2025</v>
      </c>
      <c r="P356" s="33" t="s">
        <v>3514</v>
      </c>
      <c r="Q356" s="14">
        <v>0</v>
      </c>
      <c r="R356" s="14">
        <f t="shared" si="26"/>
        <v>15</v>
      </c>
    </row>
    <row r="357" spans="2:33">
      <c r="B357" s="14">
        <f t="shared" ref="B357:B364" si="30">H357</f>
        <v>37006</v>
      </c>
      <c r="C357" s="23">
        <v>1</v>
      </c>
      <c r="D357" s="23"/>
      <c r="E357" s="23"/>
      <c r="F357" s="23"/>
      <c r="G357" s="23">
        <v>1</v>
      </c>
      <c r="H357" s="14">
        <v>37006</v>
      </c>
      <c r="I357" s="16" t="s">
        <v>1436</v>
      </c>
      <c r="J357" s="33" t="s">
        <v>1437</v>
      </c>
      <c r="K357" s="33" t="s">
        <v>1438</v>
      </c>
      <c r="L357" s="33" t="s">
        <v>1439</v>
      </c>
      <c r="M357" s="33" t="s">
        <v>1440</v>
      </c>
      <c r="N357" s="49" t="s">
        <v>1441</v>
      </c>
      <c r="O357" s="33" t="s">
        <v>1442</v>
      </c>
      <c r="P357" s="33" t="s">
        <v>3513</v>
      </c>
      <c r="Q357" s="14">
        <v>0</v>
      </c>
      <c r="R357" s="14">
        <f t="shared" si="26"/>
        <v>18</v>
      </c>
      <c r="W357" s="45"/>
      <c r="X357" s="45"/>
      <c r="Y357" s="45"/>
      <c r="Z357" s="45"/>
      <c r="AA357" s="45"/>
      <c r="AB357" s="45"/>
      <c r="AC357" s="45"/>
      <c r="AD357" s="45"/>
      <c r="AE357" s="45"/>
      <c r="AF357" s="45"/>
      <c r="AG357" s="45"/>
    </row>
    <row r="358" spans="2:33">
      <c r="B358" s="14">
        <f t="shared" si="30"/>
        <v>37007</v>
      </c>
      <c r="C358" s="23">
        <v>1</v>
      </c>
      <c r="D358" s="23"/>
      <c r="E358" s="23"/>
      <c r="F358" s="23"/>
      <c r="G358" s="23">
        <v>1</v>
      </c>
      <c r="H358" s="14">
        <v>37007</v>
      </c>
      <c r="I358" s="16" t="s">
        <v>1436</v>
      </c>
      <c r="J358" s="33" t="s">
        <v>1437</v>
      </c>
      <c r="K358" s="33" t="s">
        <v>1438</v>
      </c>
      <c r="L358" s="33" t="s">
        <v>1439</v>
      </c>
      <c r="M358" s="33" t="s">
        <v>1440</v>
      </c>
      <c r="N358" s="49" t="s">
        <v>1441</v>
      </c>
      <c r="O358" s="33" t="s">
        <v>1442</v>
      </c>
      <c r="P358" s="33" t="s">
        <v>3513</v>
      </c>
      <c r="Q358" s="14">
        <v>0</v>
      </c>
      <c r="R358" s="14">
        <f t="shared" si="26"/>
        <v>18</v>
      </c>
      <c r="W358" s="45"/>
      <c r="X358" s="45"/>
      <c r="Y358" s="45"/>
      <c r="Z358" s="45"/>
      <c r="AA358" s="45"/>
      <c r="AB358" s="45"/>
      <c r="AC358" s="45"/>
      <c r="AD358" s="45"/>
      <c r="AE358" s="45"/>
      <c r="AF358" s="45"/>
      <c r="AG358" s="45"/>
    </row>
    <row r="359" spans="2:33">
      <c r="B359" s="14">
        <f t="shared" ref="B359" si="31">H359</f>
        <v>37008</v>
      </c>
      <c r="C359" s="23">
        <v>1</v>
      </c>
      <c r="D359" s="23"/>
      <c r="E359" s="23"/>
      <c r="F359" s="23"/>
      <c r="G359" s="23">
        <v>1</v>
      </c>
      <c r="H359" s="14">
        <v>37008</v>
      </c>
      <c r="I359" s="45" t="s">
        <v>1436</v>
      </c>
      <c r="J359" s="33" t="s">
        <v>1437</v>
      </c>
      <c r="K359" s="33" t="s">
        <v>1438</v>
      </c>
      <c r="L359" s="33" t="s">
        <v>1439</v>
      </c>
      <c r="M359" s="33" t="s">
        <v>1440</v>
      </c>
      <c r="N359" s="49" t="s">
        <v>1441</v>
      </c>
      <c r="O359" s="33" t="s">
        <v>1442</v>
      </c>
      <c r="P359" s="33" t="s">
        <v>3513</v>
      </c>
      <c r="Q359" s="14">
        <v>0</v>
      </c>
      <c r="R359" s="14">
        <f t="shared" ref="R359" si="32">IF(LEN(I359)&gt;=20, "Text too Long", LEN(I359))</f>
        <v>18</v>
      </c>
    </row>
    <row r="360" spans="2:33">
      <c r="B360" s="42">
        <f t="shared" si="30"/>
        <v>38001</v>
      </c>
      <c r="C360" s="42">
        <v>1</v>
      </c>
      <c r="D360" s="42"/>
      <c r="E360" s="42"/>
      <c r="F360" s="42"/>
      <c r="G360" s="42">
        <v>1</v>
      </c>
      <c r="H360" s="42">
        <v>38001</v>
      </c>
      <c r="I360" s="43" t="s">
        <v>2724</v>
      </c>
      <c r="J360" s="44" t="s">
        <v>2201</v>
      </c>
      <c r="K360" s="44" t="s">
        <v>2201</v>
      </c>
      <c r="L360" s="44" t="s">
        <v>2201</v>
      </c>
      <c r="M360" s="44" t="s">
        <v>2201</v>
      </c>
      <c r="N360" s="48" t="s">
        <v>2201</v>
      </c>
      <c r="O360" s="44" t="s">
        <v>2201</v>
      </c>
      <c r="P360" s="44" t="s">
        <v>2201</v>
      </c>
      <c r="Q360" s="42">
        <v>0</v>
      </c>
      <c r="R360" s="14">
        <f t="shared" ref="R360:R366" si="33">IF(LEN(I360)&gt;=333, "Text too Long", LEN(I360))</f>
        <v>14</v>
      </c>
    </row>
    <row r="361" spans="2:33">
      <c r="B361" s="14">
        <f t="shared" si="30"/>
        <v>38002</v>
      </c>
      <c r="C361" s="23">
        <v>1</v>
      </c>
      <c r="D361" s="23"/>
      <c r="E361" s="23"/>
      <c r="F361" s="23"/>
      <c r="G361" s="23">
        <v>1</v>
      </c>
      <c r="H361" s="14">
        <v>38002</v>
      </c>
      <c r="I361" s="16" t="s">
        <v>3121</v>
      </c>
      <c r="J361" s="33" t="s">
        <v>3122</v>
      </c>
      <c r="K361" s="33" t="s">
        <v>3125</v>
      </c>
      <c r="L361" s="33" t="s">
        <v>3126</v>
      </c>
      <c r="M361" s="33" t="s">
        <v>3127</v>
      </c>
      <c r="N361" s="51" t="s">
        <v>3128</v>
      </c>
      <c r="O361" s="33" t="s">
        <v>3129</v>
      </c>
      <c r="P361" s="33" t="s">
        <v>3130</v>
      </c>
      <c r="Q361" s="14">
        <v>0</v>
      </c>
      <c r="R361" s="14">
        <f t="shared" si="33"/>
        <v>123</v>
      </c>
    </row>
    <row r="362" spans="2:33">
      <c r="B362" s="14">
        <f t="shared" si="30"/>
        <v>38003</v>
      </c>
      <c r="C362" s="23">
        <v>1</v>
      </c>
      <c r="D362" s="23"/>
      <c r="E362" s="23"/>
      <c r="F362" s="23"/>
      <c r="G362" s="23">
        <v>1</v>
      </c>
      <c r="H362" s="14">
        <v>38003</v>
      </c>
      <c r="I362" s="16" t="s">
        <v>569</v>
      </c>
      <c r="J362" s="33" t="s">
        <v>2026</v>
      </c>
      <c r="K362" s="33" t="s">
        <v>2725</v>
      </c>
      <c r="L362" s="33" t="s">
        <v>2027</v>
      </c>
      <c r="M362" s="33" t="s">
        <v>2028</v>
      </c>
      <c r="N362" s="51" t="s">
        <v>2726</v>
      </c>
      <c r="O362" s="33" t="s">
        <v>2029</v>
      </c>
      <c r="P362" s="33" t="s">
        <v>3515</v>
      </c>
      <c r="Q362" s="14">
        <v>0</v>
      </c>
      <c r="R362" s="14">
        <f t="shared" si="33"/>
        <v>112</v>
      </c>
    </row>
    <row r="363" spans="2:33">
      <c r="B363" s="14">
        <f t="shared" si="30"/>
        <v>38004</v>
      </c>
      <c r="C363" s="23">
        <v>1</v>
      </c>
      <c r="D363" s="23"/>
      <c r="E363" s="23"/>
      <c r="F363" s="23"/>
      <c r="G363" s="23">
        <v>1</v>
      </c>
      <c r="H363" s="14">
        <v>38004</v>
      </c>
      <c r="I363" s="16" t="s">
        <v>570</v>
      </c>
      <c r="J363" s="33" t="s">
        <v>2030</v>
      </c>
      <c r="K363" s="33" t="s">
        <v>2727</v>
      </c>
      <c r="L363" s="33" t="s">
        <v>2031</v>
      </c>
      <c r="M363" s="50" t="s">
        <v>2032</v>
      </c>
      <c r="N363" s="51" t="s">
        <v>2033</v>
      </c>
      <c r="O363" s="33" t="s">
        <v>2034</v>
      </c>
      <c r="P363" s="33" t="s">
        <v>2728</v>
      </c>
      <c r="Q363" s="14">
        <v>0</v>
      </c>
      <c r="R363" s="14">
        <f t="shared" si="33"/>
        <v>51</v>
      </c>
    </row>
    <row r="364" spans="2:33">
      <c r="B364" s="14">
        <f t="shared" si="30"/>
        <v>38005</v>
      </c>
      <c r="C364" s="23">
        <v>1</v>
      </c>
      <c r="D364" s="23"/>
      <c r="E364" s="23"/>
      <c r="F364" s="23"/>
      <c r="G364" s="23">
        <v>1</v>
      </c>
      <c r="H364" s="14">
        <v>38005</v>
      </c>
      <c r="I364" s="16" t="s">
        <v>571</v>
      </c>
      <c r="J364" s="33" t="s">
        <v>2035</v>
      </c>
      <c r="K364" s="33" t="s">
        <v>2036</v>
      </c>
      <c r="L364" s="33" t="s">
        <v>2037</v>
      </c>
      <c r="M364" s="50" t="s">
        <v>2038</v>
      </c>
      <c r="N364" s="51" t="s">
        <v>2039</v>
      </c>
      <c r="O364" s="33" t="s">
        <v>2040</v>
      </c>
      <c r="P364" s="33" t="s">
        <v>2729</v>
      </c>
      <c r="Q364" s="14">
        <v>0</v>
      </c>
      <c r="R364" s="14">
        <f t="shared" si="33"/>
        <v>34</v>
      </c>
    </row>
    <row r="365" spans="2:33" ht="33">
      <c r="B365" s="14">
        <f t="shared" ref="B365:B366" si="34">H365</f>
        <v>38006</v>
      </c>
      <c r="C365" s="23">
        <v>1</v>
      </c>
      <c r="D365" s="23"/>
      <c r="E365" s="23"/>
      <c r="F365" s="23"/>
      <c r="G365" s="23">
        <v>1</v>
      </c>
      <c r="H365" s="14">
        <v>38006</v>
      </c>
      <c r="I365" s="68" t="s">
        <v>882</v>
      </c>
      <c r="J365" s="67" t="s">
        <v>1443</v>
      </c>
      <c r="K365" s="67" t="s">
        <v>1444</v>
      </c>
      <c r="L365" s="67" t="s">
        <v>1445</v>
      </c>
      <c r="M365" s="67" t="s">
        <v>1446</v>
      </c>
      <c r="N365" s="69" t="s">
        <v>1447</v>
      </c>
      <c r="O365" s="67" t="s">
        <v>1448</v>
      </c>
      <c r="P365" s="67" t="s">
        <v>3516</v>
      </c>
      <c r="Q365" s="14">
        <v>0</v>
      </c>
      <c r="R365" s="14">
        <f t="shared" si="33"/>
        <v>45</v>
      </c>
    </row>
    <row r="366" spans="2:33">
      <c r="B366" s="14">
        <f t="shared" si="34"/>
        <v>38007</v>
      </c>
      <c r="C366" s="23">
        <v>1</v>
      </c>
      <c r="D366" s="23"/>
      <c r="E366" s="23"/>
      <c r="F366" s="23"/>
      <c r="G366" s="23">
        <v>1</v>
      </c>
      <c r="H366" s="14">
        <v>38007</v>
      </c>
      <c r="I366" s="66" t="s">
        <v>883</v>
      </c>
      <c r="J366" s="67" t="s">
        <v>1449</v>
      </c>
      <c r="K366" s="67" t="s">
        <v>1450</v>
      </c>
      <c r="L366" s="67" t="s">
        <v>1451</v>
      </c>
      <c r="M366" s="67" t="s">
        <v>1452</v>
      </c>
      <c r="N366" s="69" t="s">
        <v>1453</v>
      </c>
      <c r="O366" s="67" t="s">
        <v>1454</v>
      </c>
      <c r="P366" s="67" t="s">
        <v>3517</v>
      </c>
      <c r="Q366" s="14">
        <v>0</v>
      </c>
      <c r="R366" s="14">
        <f t="shared" si="33"/>
        <v>44</v>
      </c>
    </row>
    <row r="367" spans="2:33">
      <c r="B367" s="14">
        <f t="shared" ref="B367:B368" si="35">H367</f>
        <v>38008</v>
      </c>
      <c r="C367" s="23">
        <v>1</v>
      </c>
      <c r="D367" s="23"/>
      <c r="E367" s="23"/>
      <c r="F367" s="23"/>
      <c r="G367" s="23">
        <v>1</v>
      </c>
      <c r="H367" s="14">
        <v>38008</v>
      </c>
      <c r="I367" s="16" t="s">
        <v>787</v>
      </c>
      <c r="J367" s="33" t="s">
        <v>1455</v>
      </c>
      <c r="K367" s="33" t="s">
        <v>1456</v>
      </c>
      <c r="L367" s="33" t="s">
        <v>1439</v>
      </c>
      <c r="M367" s="33" t="s">
        <v>1440</v>
      </c>
      <c r="N367" s="49" t="s">
        <v>1457</v>
      </c>
      <c r="O367" s="33" t="s">
        <v>1458</v>
      </c>
      <c r="P367" s="33" t="s">
        <v>3518</v>
      </c>
      <c r="Q367" s="14">
        <v>0</v>
      </c>
      <c r="R367" s="14">
        <f t="shared" ref="R367:R368" si="36">IF(LEN(I367)&gt;=333, "Text too Long", LEN(I367))</f>
        <v>37</v>
      </c>
    </row>
    <row r="368" spans="2:33">
      <c r="B368" s="14">
        <f t="shared" si="35"/>
        <v>36101</v>
      </c>
      <c r="C368" s="23">
        <v>1</v>
      </c>
      <c r="D368" s="23"/>
      <c r="E368" s="23"/>
      <c r="F368" s="23" t="s">
        <v>849</v>
      </c>
      <c r="G368" s="23">
        <v>1</v>
      </c>
      <c r="H368" s="14">
        <v>36101</v>
      </c>
      <c r="I368" s="16" t="s">
        <v>828</v>
      </c>
      <c r="J368" s="33" t="s">
        <v>2041</v>
      </c>
      <c r="K368" s="33" t="s">
        <v>2042</v>
      </c>
      <c r="L368" s="33" t="s">
        <v>2043</v>
      </c>
      <c r="M368" s="33" t="s">
        <v>2044</v>
      </c>
      <c r="N368" s="33" t="s">
        <v>2045</v>
      </c>
      <c r="O368" s="33" t="s">
        <v>2046</v>
      </c>
      <c r="P368" s="33" t="s">
        <v>2047</v>
      </c>
      <c r="Q368" s="14">
        <v>0</v>
      </c>
      <c r="R368" s="14">
        <f t="shared" si="36"/>
        <v>15</v>
      </c>
    </row>
    <row r="369" spans="2:18">
      <c r="B369" s="14">
        <f t="shared" ref="B369:B370" si="37">H369</f>
        <v>37101</v>
      </c>
      <c r="C369" s="23">
        <v>1</v>
      </c>
      <c r="D369" s="23"/>
      <c r="E369" s="23"/>
      <c r="F369" s="23" t="s">
        <v>849</v>
      </c>
      <c r="G369" s="23">
        <v>1</v>
      </c>
      <c r="H369" s="14">
        <v>37101</v>
      </c>
      <c r="I369" s="16" t="s">
        <v>829</v>
      </c>
      <c r="J369" s="33" t="s">
        <v>2048</v>
      </c>
      <c r="K369" s="33" t="s">
        <v>2049</v>
      </c>
      <c r="L369" s="33" t="s">
        <v>2050</v>
      </c>
      <c r="M369" s="33" t="s">
        <v>2051</v>
      </c>
      <c r="N369" s="33" t="s">
        <v>2052</v>
      </c>
      <c r="O369" s="33" t="s">
        <v>2053</v>
      </c>
      <c r="P369" s="33" t="s">
        <v>2054</v>
      </c>
      <c r="Q369" s="14">
        <v>0</v>
      </c>
      <c r="R369" s="14">
        <f t="shared" ref="R369:R371" si="38">IF(LEN(I369)&gt;=333, "Text too Long", LEN(I369))</f>
        <v>18</v>
      </c>
    </row>
    <row r="370" spans="2:18">
      <c r="B370" s="14">
        <f t="shared" si="37"/>
        <v>38101</v>
      </c>
      <c r="C370" s="23">
        <v>1</v>
      </c>
      <c r="D370" s="23"/>
      <c r="E370" s="23"/>
      <c r="F370" s="23" t="s">
        <v>849</v>
      </c>
      <c r="G370" s="23">
        <v>1</v>
      </c>
      <c r="H370" s="14">
        <v>38101</v>
      </c>
      <c r="I370" s="16" t="s">
        <v>884</v>
      </c>
      <c r="J370" s="33" t="s">
        <v>2730</v>
      </c>
      <c r="K370" s="33" t="s">
        <v>2731</v>
      </c>
      <c r="L370" s="33" t="s">
        <v>2732</v>
      </c>
      <c r="M370" s="33" t="s">
        <v>2733</v>
      </c>
      <c r="N370" s="51" t="s">
        <v>2734</v>
      </c>
      <c r="O370" s="33" t="s">
        <v>2735</v>
      </c>
      <c r="P370" s="33" t="s">
        <v>885</v>
      </c>
      <c r="Q370" s="14">
        <v>0</v>
      </c>
      <c r="R370" s="14">
        <f t="shared" si="38"/>
        <v>99</v>
      </c>
    </row>
    <row r="371" spans="2:18" ht="33">
      <c r="B371" s="14">
        <f>H371</f>
        <v>36102</v>
      </c>
      <c r="C371" s="23">
        <v>1</v>
      </c>
      <c r="D371" s="23"/>
      <c r="E371" s="23"/>
      <c r="F371" s="23" t="s">
        <v>850</v>
      </c>
      <c r="G371" s="23">
        <v>1</v>
      </c>
      <c r="H371" s="14">
        <v>36102</v>
      </c>
      <c r="I371" s="16" t="s">
        <v>851</v>
      </c>
      <c r="J371" s="57" t="s">
        <v>3519</v>
      </c>
      <c r="K371" s="55" t="s">
        <v>3520</v>
      </c>
      <c r="L371" s="55" t="s">
        <v>3521</v>
      </c>
      <c r="M371" s="56" t="s">
        <v>3522</v>
      </c>
      <c r="N371" s="57" t="s">
        <v>3523</v>
      </c>
      <c r="O371" s="57" t="s">
        <v>3524</v>
      </c>
      <c r="P371" s="57" t="s">
        <v>3525</v>
      </c>
      <c r="Q371" s="14">
        <v>0</v>
      </c>
      <c r="R371" s="14">
        <f t="shared" si="38"/>
        <v>9</v>
      </c>
    </row>
    <row r="372" spans="2:18">
      <c r="B372" s="14">
        <f t="shared" ref="B372:B373" si="39">H372</f>
        <v>37102</v>
      </c>
      <c r="C372" s="23">
        <v>1</v>
      </c>
      <c r="D372" s="23"/>
      <c r="E372" s="23"/>
      <c r="F372" s="23" t="s">
        <v>850</v>
      </c>
      <c r="G372" s="23">
        <v>1</v>
      </c>
      <c r="H372" s="14">
        <v>37102</v>
      </c>
      <c r="I372" s="16" t="s">
        <v>848</v>
      </c>
      <c r="J372" s="81" t="s">
        <v>3526</v>
      </c>
      <c r="K372" s="82" t="s">
        <v>3527</v>
      </c>
      <c r="L372" s="82" t="s">
        <v>3528</v>
      </c>
      <c r="M372" s="83" t="s">
        <v>3529</v>
      </c>
      <c r="N372" s="81" t="s">
        <v>3530</v>
      </c>
      <c r="O372" s="81" t="s">
        <v>3531</v>
      </c>
      <c r="P372" s="81" t="s">
        <v>3532</v>
      </c>
      <c r="Q372" s="14">
        <v>0</v>
      </c>
      <c r="R372" s="14">
        <f t="shared" ref="R372:R374" si="40">IF(LEN(I372)&gt;=333, "Text too Long", LEN(I372))</f>
        <v>16</v>
      </c>
    </row>
    <row r="373" spans="2:18">
      <c r="B373" s="14">
        <f t="shared" si="39"/>
        <v>38102</v>
      </c>
      <c r="C373" s="23">
        <v>1</v>
      </c>
      <c r="D373" s="23"/>
      <c r="E373" s="23"/>
      <c r="F373" s="23" t="s">
        <v>850</v>
      </c>
      <c r="G373" s="23">
        <v>1</v>
      </c>
      <c r="H373" s="14">
        <v>38102</v>
      </c>
      <c r="I373" s="16" t="s">
        <v>852</v>
      </c>
      <c r="J373" s="81" t="s">
        <v>2055</v>
      </c>
      <c r="K373" s="82" t="s">
        <v>2056</v>
      </c>
      <c r="L373" s="82" t="s">
        <v>2057</v>
      </c>
      <c r="M373" s="83" t="s">
        <v>2058</v>
      </c>
      <c r="N373" s="81" t="s">
        <v>2059</v>
      </c>
      <c r="O373" s="81" t="s">
        <v>3533</v>
      </c>
      <c r="P373" s="81" t="s">
        <v>2736</v>
      </c>
      <c r="Q373" s="14">
        <v>0</v>
      </c>
      <c r="R373" s="14">
        <f t="shared" si="40"/>
        <v>60</v>
      </c>
    </row>
    <row r="374" spans="2:18" ht="33">
      <c r="B374" s="14">
        <f>H374</f>
        <v>36103</v>
      </c>
      <c r="C374" s="23">
        <v>1</v>
      </c>
      <c r="D374" s="23"/>
      <c r="E374" s="23"/>
      <c r="F374" s="23" t="s">
        <v>850</v>
      </c>
      <c r="G374" s="23">
        <v>1</v>
      </c>
      <c r="H374" s="14">
        <v>36103</v>
      </c>
      <c r="I374" s="16" t="s">
        <v>853</v>
      </c>
      <c r="J374" s="81" t="s">
        <v>3534</v>
      </c>
      <c r="K374" s="84" t="s">
        <v>3535</v>
      </c>
      <c r="L374" s="84" t="s">
        <v>3536</v>
      </c>
      <c r="M374" s="83" t="s">
        <v>3537</v>
      </c>
      <c r="N374" s="81" t="s">
        <v>3538</v>
      </c>
      <c r="O374" s="81" t="s">
        <v>3539</v>
      </c>
      <c r="P374" s="81" t="s">
        <v>3540</v>
      </c>
      <c r="Q374" s="14">
        <v>0</v>
      </c>
      <c r="R374" s="14">
        <f t="shared" si="40"/>
        <v>13</v>
      </c>
    </row>
    <row r="375" spans="2:18">
      <c r="B375" s="14">
        <f t="shared" ref="B375:B376" si="41">H375</f>
        <v>37103</v>
      </c>
      <c r="C375" s="23">
        <v>1</v>
      </c>
      <c r="D375" s="23"/>
      <c r="E375" s="23"/>
      <c r="F375" s="23" t="s">
        <v>850</v>
      </c>
      <c r="G375" s="23">
        <v>1</v>
      </c>
      <c r="H375" s="14">
        <v>37103</v>
      </c>
      <c r="I375" s="16" t="s">
        <v>854</v>
      </c>
      <c r="J375" s="81" t="s">
        <v>3541</v>
      </c>
      <c r="K375" s="82" t="s">
        <v>3542</v>
      </c>
      <c r="L375" s="82" t="s">
        <v>3543</v>
      </c>
      <c r="M375" s="83" t="s">
        <v>3544</v>
      </c>
      <c r="N375" s="81" t="s">
        <v>3545</v>
      </c>
      <c r="O375" s="81" t="s">
        <v>3546</v>
      </c>
      <c r="P375" s="81" t="s">
        <v>3547</v>
      </c>
      <c r="Q375" s="14">
        <v>0</v>
      </c>
      <c r="R375" s="14">
        <f t="shared" ref="R375:R377" si="42">IF(LEN(I375)&gt;=333, "Text too Long", LEN(I375))</f>
        <v>24</v>
      </c>
    </row>
    <row r="376" spans="2:18">
      <c r="B376" s="14">
        <f t="shared" si="41"/>
        <v>38103</v>
      </c>
      <c r="C376" s="23">
        <v>1</v>
      </c>
      <c r="D376" s="23"/>
      <c r="E376" s="23"/>
      <c r="F376" s="23" t="s">
        <v>850</v>
      </c>
      <c r="G376" s="23">
        <v>1</v>
      </c>
      <c r="H376" s="14">
        <v>38103</v>
      </c>
      <c r="I376" s="16" t="s">
        <v>855</v>
      </c>
      <c r="J376" s="81" t="s">
        <v>2060</v>
      </c>
      <c r="K376" s="82" t="s">
        <v>3548</v>
      </c>
      <c r="L376" s="82" t="s">
        <v>2061</v>
      </c>
      <c r="M376" s="83" t="s">
        <v>2062</v>
      </c>
      <c r="N376" s="81" t="s">
        <v>2063</v>
      </c>
      <c r="O376" s="81" t="s">
        <v>2064</v>
      </c>
      <c r="P376" s="81" t="s">
        <v>2737</v>
      </c>
      <c r="Q376" s="14">
        <v>0</v>
      </c>
      <c r="R376" s="14">
        <f t="shared" si="42"/>
        <v>64</v>
      </c>
    </row>
    <row r="377" spans="2:18" ht="33">
      <c r="B377" s="14">
        <f>H377</f>
        <v>36104</v>
      </c>
      <c r="C377" s="23">
        <v>1</v>
      </c>
      <c r="D377" s="23"/>
      <c r="E377" s="23"/>
      <c r="F377" s="23" t="s">
        <v>856</v>
      </c>
      <c r="G377" s="23">
        <v>1</v>
      </c>
      <c r="H377" s="14">
        <v>36104</v>
      </c>
      <c r="I377" s="16" t="s">
        <v>858</v>
      </c>
      <c r="J377" s="57" t="s">
        <v>861</v>
      </c>
      <c r="K377" s="55" t="s">
        <v>864</v>
      </c>
      <c r="L377" s="55" t="s">
        <v>865</v>
      </c>
      <c r="M377" s="56" t="s">
        <v>866</v>
      </c>
      <c r="N377" s="57" t="s">
        <v>867</v>
      </c>
      <c r="O377" s="57" t="s">
        <v>868</v>
      </c>
      <c r="P377" s="57" t="s">
        <v>869</v>
      </c>
      <c r="Q377" s="14">
        <v>0</v>
      </c>
      <c r="R377" s="14">
        <f t="shared" si="42"/>
        <v>12</v>
      </c>
    </row>
    <row r="378" spans="2:18">
      <c r="B378" s="14">
        <f t="shared" ref="B378:B379" si="43">H378</f>
        <v>37104</v>
      </c>
      <c r="C378" s="23">
        <v>1</v>
      </c>
      <c r="D378" s="23"/>
      <c r="E378" s="23"/>
      <c r="F378" s="23" t="s">
        <v>856</v>
      </c>
      <c r="G378" s="23">
        <v>1</v>
      </c>
      <c r="H378" s="14">
        <v>37104</v>
      </c>
      <c r="I378" s="16" t="s">
        <v>857</v>
      </c>
      <c r="J378" s="58" t="s">
        <v>2738</v>
      </c>
      <c r="K378" s="33" t="s">
        <v>2739</v>
      </c>
      <c r="L378" s="33" t="s">
        <v>2740</v>
      </c>
      <c r="M378" s="56" t="s">
        <v>2741</v>
      </c>
      <c r="N378" s="58" t="s">
        <v>2742</v>
      </c>
      <c r="O378" s="58" t="s">
        <v>2743</v>
      </c>
      <c r="P378" s="58" t="s">
        <v>3549</v>
      </c>
      <c r="Q378" s="14">
        <v>0</v>
      </c>
      <c r="R378" s="14">
        <f t="shared" ref="R378:R380" si="44">IF(LEN(I378)&gt;=333, "Text too Long", LEN(I378))</f>
        <v>23</v>
      </c>
    </row>
    <row r="379" spans="2:18">
      <c r="B379" s="14">
        <f t="shared" si="43"/>
        <v>38104</v>
      </c>
      <c r="C379" s="23">
        <v>1</v>
      </c>
      <c r="D379" s="23"/>
      <c r="E379" s="23"/>
      <c r="F379" s="23" t="s">
        <v>856</v>
      </c>
      <c r="G379" s="23">
        <v>1</v>
      </c>
      <c r="H379" s="14">
        <v>38104</v>
      </c>
      <c r="I379" s="70" t="s">
        <v>2744</v>
      </c>
      <c r="J379" s="57" t="s">
        <v>2745</v>
      </c>
      <c r="K379" s="33" t="s">
        <v>3550</v>
      </c>
      <c r="L379" s="33" t="s">
        <v>3551</v>
      </c>
      <c r="M379" s="56" t="s">
        <v>2746</v>
      </c>
      <c r="N379" s="57" t="s">
        <v>2747</v>
      </c>
      <c r="O379" s="57" t="s">
        <v>2748</v>
      </c>
      <c r="P379" s="57" t="s">
        <v>3552</v>
      </c>
      <c r="Q379" s="14">
        <v>0</v>
      </c>
      <c r="R379" s="14">
        <f t="shared" si="44"/>
        <v>87</v>
      </c>
    </row>
    <row r="380" spans="2:18" ht="33">
      <c r="B380" s="14">
        <f>H380</f>
        <v>36105</v>
      </c>
      <c r="C380" s="23">
        <v>1</v>
      </c>
      <c r="D380" s="23"/>
      <c r="E380" s="23"/>
      <c r="F380" s="23" t="s">
        <v>856</v>
      </c>
      <c r="G380" s="23">
        <v>1</v>
      </c>
      <c r="H380" s="14">
        <v>36105</v>
      </c>
      <c r="I380" s="16" t="s">
        <v>859</v>
      </c>
      <c r="J380" s="57" t="s">
        <v>862</v>
      </c>
      <c r="K380" s="55" t="s">
        <v>870</v>
      </c>
      <c r="L380" s="55" t="s">
        <v>871</v>
      </c>
      <c r="M380" s="56" t="s">
        <v>872</v>
      </c>
      <c r="N380" s="57" t="s">
        <v>873</v>
      </c>
      <c r="O380" s="57" t="s">
        <v>874</v>
      </c>
      <c r="P380" s="57" t="s">
        <v>874</v>
      </c>
      <c r="Q380" s="14">
        <v>0</v>
      </c>
      <c r="R380" s="14">
        <f t="shared" si="44"/>
        <v>12</v>
      </c>
    </row>
    <row r="381" spans="2:18">
      <c r="B381" s="14">
        <f t="shared" ref="B381:B385" si="45">H381</f>
        <v>37105</v>
      </c>
      <c r="C381" s="23">
        <v>1</v>
      </c>
      <c r="D381" s="23"/>
      <c r="E381" s="23"/>
      <c r="F381" s="23" t="s">
        <v>856</v>
      </c>
      <c r="G381" s="23">
        <v>1</v>
      </c>
      <c r="H381" s="14">
        <v>37105</v>
      </c>
      <c r="I381" s="16" t="s">
        <v>860</v>
      </c>
      <c r="J381" s="58" t="s">
        <v>863</v>
      </c>
      <c r="K381" s="33" t="s">
        <v>875</v>
      </c>
      <c r="L381" s="33" t="s">
        <v>876</v>
      </c>
      <c r="M381" s="56" t="s">
        <v>877</v>
      </c>
      <c r="N381" s="58" t="s">
        <v>878</v>
      </c>
      <c r="O381" s="58" t="s">
        <v>879</v>
      </c>
      <c r="P381" s="58" t="s">
        <v>880</v>
      </c>
      <c r="Q381" s="14">
        <v>0</v>
      </c>
      <c r="R381" s="14">
        <f t="shared" ref="R381:R385" si="46">IF(LEN(I381)&gt;=333, "Text too Long", LEN(I381))</f>
        <v>24</v>
      </c>
    </row>
    <row r="382" spans="2:18">
      <c r="B382" s="14">
        <f t="shared" si="45"/>
        <v>38105</v>
      </c>
      <c r="C382" s="23">
        <v>1</v>
      </c>
      <c r="D382" s="23"/>
      <c r="E382" s="23"/>
      <c r="F382" s="23" t="s">
        <v>856</v>
      </c>
      <c r="G382" s="23">
        <v>1</v>
      </c>
      <c r="H382" s="14">
        <v>38105</v>
      </c>
      <c r="I382" s="70" t="s">
        <v>2749</v>
      </c>
      <c r="J382" s="57" t="s">
        <v>2750</v>
      </c>
      <c r="K382" s="33" t="s">
        <v>2751</v>
      </c>
      <c r="L382" s="33" t="s">
        <v>2752</v>
      </c>
      <c r="M382" s="56" t="s">
        <v>2753</v>
      </c>
      <c r="N382" s="57" t="s">
        <v>2754</v>
      </c>
      <c r="O382" s="57" t="s">
        <v>2755</v>
      </c>
      <c r="P382" s="57" t="s">
        <v>2756</v>
      </c>
      <c r="Q382" s="14">
        <v>0</v>
      </c>
      <c r="R382" s="14">
        <f t="shared" si="46"/>
        <v>88</v>
      </c>
    </row>
    <row r="383" spans="2:18">
      <c r="B383" s="14">
        <f t="shared" si="45"/>
        <v>36106</v>
      </c>
      <c r="C383" s="23">
        <v>1</v>
      </c>
      <c r="D383" s="23"/>
      <c r="E383" s="23"/>
      <c r="F383" s="23" t="s">
        <v>908</v>
      </c>
      <c r="G383" s="23">
        <v>1</v>
      </c>
      <c r="H383" s="14">
        <v>36106</v>
      </c>
      <c r="I383" s="16" t="s">
        <v>2065</v>
      </c>
      <c r="J383" s="33" t="s">
        <v>2066</v>
      </c>
      <c r="K383" s="33" t="s">
        <v>2067</v>
      </c>
      <c r="L383" s="33" t="s">
        <v>2068</v>
      </c>
      <c r="M383" s="33" t="s">
        <v>2069</v>
      </c>
      <c r="N383" s="33" t="s">
        <v>2070</v>
      </c>
      <c r="O383" s="33" t="s">
        <v>2071</v>
      </c>
      <c r="P383" s="33" t="s">
        <v>2072</v>
      </c>
      <c r="Q383" s="14">
        <v>0</v>
      </c>
      <c r="R383" s="14">
        <f t="shared" si="46"/>
        <v>14</v>
      </c>
    </row>
    <row r="384" spans="2:18">
      <c r="B384" s="14">
        <f t="shared" si="45"/>
        <v>37106</v>
      </c>
      <c r="C384" s="23">
        <v>1</v>
      </c>
      <c r="D384" s="23"/>
      <c r="E384" s="23"/>
      <c r="F384" s="23" t="s">
        <v>908</v>
      </c>
      <c r="G384" s="23">
        <v>1</v>
      </c>
      <c r="H384" s="14">
        <v>37106</v>
      </c>
      <c r="I384" s="16" t="s">
        <v>2073</v>
      </c>
      <c r="J384" s="33" t="s">
        <v>2074</v>
      </c>
      <c r="K384" s="33" t="s">
        <v>2075</v>
      </c>
      <c r="L384" s="33" t="s">
        <v>2076</v>
      </c>
      <c r="M384" s="33" t="s">
        <v>2077</v>
      </c>
      <c r="N384" s="33" t="s">
        <v>2078</v>
      </c>
      <c r="O384" s="33" t="s">
        <v>2079</v>
      </c>
      <c r="P384" s="33" t="s">
        <v>2080</v>
      </c>
      <c r="Q384" s="14">
        <v>0</v>
      </c>
      <c r="R384" s="14">
        <f t="shared" si="46"/>
        <v>17</v>
      </c>
    </row>
    <row r="385" spans="2:18">
      <c r="B385" s="14">
        <f t="shared" si="45"/>
        <v>38106</v>
      </c>
      <c r="C385" s="23">
        <v>1</v>
      </c>
      <c r="D385" s="23"/>
      <c r="E385" s="23"/>
      <c r="F385" s="23" t="s">
        <v>908</v>
      </c>
      <c r="G385" s="23">
        <v>1</v>
      </c>
      <c r="H385" s="14">
        <v>38106</v>
      </c>
      <c r="I385" s="16" t="s">
        <v>2757</v>
      </c>
      <c r="J385" s="33" t="s">
        <v>2758</v>
      </c>
      <c r="K385" s="33" t="s">
        <v>2759</v>
      </c>
      <c r="L385" s="33" t="s">
        <v>2760</v>
      </c>
      <c r="M385" s="33" t="s">
        <v>2761</v>
      </c>
      <c r="N385" s="51" t="s">
        <v>2762</v>
      </c>
      <c r="O385" s="33" t="s">
        <v>2763</v>
      </c>
      <c r="P385" s="33" t="s">
        <v>2764</v>
      </c>
      <c r="Q385" s="14">
        <v>0</v>
      </c>
      <c r="R385" s="14">
        <f t="shared" si="46"/>
        <v>98</v>
      </c>
    </row>
    <row r="386" spans="2:18">
      <c r="B386" s="14">
        <f t="shared" ref="B386:B388" si="47">H386</f>
        <v>36107</v>
      </c>
      <c r="C386" s="23">
        <v>1</v>
      </c>
      <c r="D386" s="23"/>
      <c r="E386" s="23"/>
      <c r="F386" s="23" t="s">
        <v>908</v>
      </c>
      <c r="G386" s="23">
        <v>1</v>
      </c>
      <c r="H386" s="14">
        <v>36107</v>
      </c>
      <c r="I386" s="16" t="s">
        <v>2081</v>
      </c>
      <c r="J386" s="33" t="s">
        <v>2082</v>
      </c>
      <c r="K386" s="33" t="s">
        <v>2083</v>
      </c>
      <c r="L386" s="33" t="s">
        <v>2084</v>
      </c>
      <c r="M386" s="33" t="s">
        <v>2085</v>
      </c>
      <c r="N386" s="33" t="s">
        <v>2086</v>
      </c>
      <c r="O386" s="33" t="s">
        <v>2087</v>
      </c>
      <c r="P386" s="33" t="s">
        <v>2088</v>
      </c>
      <c r="Q386" s="14">
        <v>0</v>
      </c>
      <c r="R386" s="14">
        <f t="shared" ref="R386:R388" si="48">IF(LEN(I386)&gt;=333, "Text too Long", LEN(I386))</f>
        <v>14</v>
      </c>
    </row>
    <row r="387" spans="2:18">
      <c r="B387" s="14">
        <f t="shared" si="47"/>
        <v>37107</v>
      </c>
      <c r="C387" s="23">
        <v>1</v>
      </c>
      <c r="D387" s="23"/>
      <c r="E387" s="23"/>
      <c r="F387" s="23" t="s">
        <v>908</v>
      </c>
      <c r="G387" s="23">
        <v>1</v>
      </c>
      <c r="H387" s="14">
        <v>37107</v>
      </c>
      <c r="I387" s="16" t="s">
        <v>2089</v>
      </c>
      <c r="J387" s="33" t="s">
        <v>2090</v>
      </c>
      <c r="K387" s="33" t="s">
        <v>2091</v>
      </c>
      <c r="L387" s="33" t="s">
        <v>2092</v>
      </c>
      <c r="M387" s="33" t="s">
        <v>2093</v>
      </c>
      <c r="N387" s="33" t="s">
        <v>2094</v>
      </c>
      <c r="O387" s="33" t="s">
        <v>2095</v>
      </c>
      <c r="P387" s="33" t="s">
        <v>2096</v>
      </c>
      <c r="Q387" s="14">
        <v>0</v>
      </c>
      <c r="R387" s="14">
        <f t="shared" si="48"/>
        <v>17</v>
      </c>
    </row>
    <row r="388" spans="2:18">
      <c r="B388" s="14">
        <f t="shared" si="47"/>
        <v>38107</v>
      </c>
      <c r="C388" s="23">
        <v>1</v>
      </c>
      <c r="D388" s="23"/>
      <c r="E388" s="23"/>
      <c r="F388" s="23" t="s">
        <v>908</v>
      </c>
      <c r="G388" s="23">
        <v>1</v>
      </c>
      <c r="H388" s="14">
        <v>38107</v>
      </c>
      <c r="I388" s="16" t="s">
        <v>2765</v>
      </c>
      <c r="J388" s="33" t="s">
        <v>2766</v>
      </c>
      <c r="K388" s="33" t="s">
        <v>2767</v>
      </c>
      <c r="L388" s="33" t="s">
        <v>2768</v>
      </c>
      <c r="M388" s="33" t="s">
        <v>2769</v>
      </c>
      <c r="N388" s="51" t="s">
        <v>2770</v>
      </c>
      <c r="O388" s="33" t="s">
        <v>2771</v>
      </c>
      <c r="P388" s="33" t="s">
        <v>2772</v>
      </c>
      <c r="Q388" s="14">
        <v>0</v>
      </c>
      <c r="R388" s="14">
        <f t="shared" si="48"/>
        <v>98</v>
      </c>
    </row>
    <row r="389" spans="2:18">
      <c r="B389" s="14">
        <f t="shared" ref="B389:B394" si="49">H389</f>
        <v>36108</v>
      </c>
      <c r="C389" s="23">
        <v>1</v>
      </c>
      <c r="D389" s="23"/>
      <c r="E389" s="23"/>
      <c r="F389" s="23" t="s">
        <v>908</v>
      </c>
      <c r="G389" s="23">
        <v>1</v>
      </c>
      <c r="H389" s="14">
        <v>36108</v>
      </c>
      <c r="I389" s="87" t="s">
        <v>917</v>
      </c>
      <c r="J389" s="33" t="s">
        <v>933</v>
      </c>
      <c r="K389" s="33" t="s">
        <v>934</v>
      </c>
      <c r="L389" s="33" t="s">
        <v>935</v>
      </c>
      <c r="M389" s="33" t="s">
        <v>936</v>
      </c>
      <c r="N389" s="33" t="s">
        <v>937</v>
      </c>
      <c r="O389" s="33" t="s">
        <v>938</v>
      </c>
      <c r="P389" s="33" t="s">
        <v>939</v>
      </c>
      <c r="Q389" s="14">
        <v>0</v>
      </c>
      <c r="R389" s="14">
        <f t="shared" ref="R389:R394" si="50">IF(LEN(I389)&gt;=333, "Text too Long", LEN(I389))</f>
        <v>9</v>
      </c>
    </row>
    <row r="390" spans="2:18">
      <c r="B390" s="14">
        <f t="shared" si="49"/>
        <v>37108</v>
      </c>
      <c r="C390" s="23">
        <v>1</v>
      </c>
      <c r="D390" s="23"/>
      <c r="E390" s="23"/>
      <c r="F390" s="23" t="s">
        <v>908</v>
      </c>
      <c r="G390" s="23">
        <v>1</v>
      </c>
      <c r="H390" s="14">
        <v>37108</v>
      </c>
      <c r="I390" s="87" t="s">
        <v>915</v>
      </c>
      <c r="J390" s="33" t="s">
        <v>940</v>
      </c>
      <c r="K390" s="33" t="s">
        <v>941</v>
      </c>
      <c r="L390" s="33" t="s">
        <v>942</v>
      </c>
      <c r="M390" s="33" t="s">
        <v>943</v>
      </c>
      <c r="N390" s="33" t="s">
        <v>944</v>
      </c>
      <c r="O390" s="33" t="s">
        <v>945</v>
      </c>
      <c r="P390" s="33" t="s">
        <v>946</v>
      </c>
      <c r="Q390" s="14">
        <v>0</v>
      </c>
      <c r="R390" s="14">
        <f t="shared" si="50"/>
        <v>21</v>
      </c>
    </row>
    <row r="391" spans="2:18">
      <c r="B391" s="14">
        <f t="shared" si="49"/>
        <v>38108</v>
      </c>
      <c r="C391" s="23">
        <v>1</v>
      </c>
      <c r="D391" s="23"/>
      <c r="E391" s="23"/>
      <c r="F391" s="23" t="s">
        <v>908</v>
      </c>
      <c r="G391" s="23">
        <v>1</v>
      </c>
      <c r="H391" s="14">
        <v>38108</v>
      </c>
      <c r="I391" s="87" t="s">
        <v>2773</v>
      </c>
      <c r="J391" s="33" t="s">
        <v>2774</v>
      </c>
      <c r="K391" s="33" t="s">
        <v>2775</v>
      </c>
      <c r="L391" s="33" t="s">
        <v>2776</v>
      </c>
      <c r="M391" s="33" t="s">
        <v>2777</v>
      </c>
      <c r="N391" s="33" t="s">
        <v>2778</v>
      </c>
      <c r="O391" s="33" t="s">
        <v>2779</v>
      </c>
      <c r="P391" s="33" t="s">
        <v>2780</v>
      </c>
      <c r="Q391" s="14">
        <v>0</v>
      </c>
      <c r="R391" s="14">
        <f t="shared" si="50"/>
        <v>105</v>
      </c>
    </row>
    <row r="392" spans="2:18">
      <c r="B392" s="14">
        <f t="shared" si="49"/>
        <v>36109</v>
      </c>
      <c r="C392" s="23">
        <v>1</v>
      </c>
      <c r="D392" s="23"/>
      <c r="E392" s="23"/>
      <c r="F392" s="23" t="s">
        <v>908</v>
      </c>
      <c r="G392" s="23">
        <v>1</v>
      </c>
      <c r="H392" s="14">
        <v>36109</v>
      </c>
      <c r="I392" s="87" t="s">
        <v>914</v>
      </c>
      <c r="J392" s="33" t="s">
        <v>933</v>
      </c>
      <c r="K392" s="33" t="s">
        <v>934</v>
      </c>
      <c r="L392" s="33" t="s">
        <v>935</v>
      </c>
      <c r="M392" s="33" t="s">
        <v>936</v>
      </c>
      <c r="N392" s="33" t="s">
        <v>937</v>
      </c>
      <c r="O392" s="33" t="s">
        <v>938</v>
      </c>
      <c r="P392" s="33" t="s">
        <v>939</v>
      </c>
      <c r="Q392" s="14">
        <v>0</v>
      </c>
      <c r="R392" s="14">
        <f t="shared" si="50"/>
        <v>9</v>
      </c>
    </row>
    <row r="393" spans="2:18">
      <c r="B393" s="14">
        <f t="shared" si="49"/>
        <v>37109</v>
      </c>
      <c r="C393" s="23">
        <v>1</v>
      </c>
      <c r="D393" s="23"/>
      <c r="E393" s="23"/>
      <c r="F393" s="23" t="s">
        <v>908</v>
      </c>
      <c r="G393" s="23">
        <v>1</v>
      </c>
      <c r="H393" s="14">
        <v>37109</v>
      </c>
      <c r="I393" s="87" t="s">
        <v>2781</v>
      </c>
      <c r="J393" s="33" t="s">
        <v>2782</v>
      </c>
      <c r="K393" s="33" t="s">
        <v>2783</v>
      </c>
      <c r="L393" s="33" t="s">
        <v>2784</v>
      </c>
      <c r="M393" s="33" t="s">
        <v>2785</v>
      </c>
      <c r="N393" s="33" t="s">
        <v>2786</v>
      </c>
      <c r="O393" s="33" t="s">
        <v>2787</v>
      </c>
      <c r="P393" s="33" t="s">
        <v>2788</v>
      </c>
      <c r="Q393" s="14">
        <v>0</v>
      </c>
      <c r="R393" s="14">
        <f t="shared" si="50"/>
        <v>25</v>
      </c>
    </row>
    <row r="394" spans="2:18">
      <c r="B394" s="14">
        <f t="shared" si="49"/>
        <v>38109</v>
      </c>
      <c r="C394" s="23">
        <v>1</v>
      </c>
      <c r="D394" s="23"/>
      <c r="E394" s="23"/>
      <c r="F394" s="23" t="s">
        <v>908</v>
      </c>
      <c r="G394" s="23">
        <v>1</v>
      </c>
      <c r="H394" s="14">
        <v>38109</v>
      </c>
      <c r="I394" s="87" t="s">
        <v>2789</v>
      </c>
      <c r="J394" s="33" t="s">
        <v>2790</v>
      </c>
      <c r="K394" s="33" t="s">
        <v>2791</v>
      </c>
      <c r="L394" s="33" t="s">
        <v>2792</v>
      </c>
      <c r="M394" s="33" t="s">
        <v>2793</v>
      </c>
      <c r="N394" s="33" t="s">
        <v>2794</v>
      </c>
      <c r="O394" s="33" t="s">
        <v>2795</v>
      </c>
      <c r="P394" s="33" t="s">
        <v>2796</v>
      </c>
      <c r="Q394" s="14">
        <v>0</v>
      </c>
      <c r="R394" s="14">
        <f t="shared" si="50"/>
        <v>109</v>
      </c>
    </row>
    <row r="395" spans="2:18">
      <c r="B395" s="14">
        <f t="shared" ref="B395:B400" si="51">H395</f>
        <v>36201</v>
      </c>
      <c r="C395" s="23">
        <v>1</v>
      </c>
      <c r="D395" s="23"/>
      <c r="E395" s="23"/>
      <c r="F395" s="23" t="s">
        <v>894</v>
      </c>
      <c r="G395" s="23">
        <v>1</v>
      </c>
      <c r="H395" s="80">
        <v>36201</v>
      </c>
      <c r="I395" s="16" t="s">
        <v>1390</v>
      </c>
      <c r="J395" s="33" t="s">
        <v>1391</v>
      </c>
      <c r="K395" s="33" t="s">
        <v>1392</v>
      </c>
      <c r="L395" s="33" t="s">
        <v>1393</v>
      </c>
      <c r="M395" s="33" t="s">
        <v>1392</v>
      </c>
      <c r="N395" s="49" t="s">
        <v>1394</v>
      </c>
      <c r="O395" s="33" t="s">
        <v>1395</v>
      </c>
      <c r="P395" s="33" t="s">
        <v>1396</v>
      </c>
      <c r="Q395" s="14">
        <v>0</v>
      </c>
      <c r="R395" s="14">
        <f t="shared" ref="R395:R398" si="52">IF(LEN(I395)&gt;=20, "Text too Long", LEN(I395))</f>
        <v>11</v>
      </c>
    </row>
    <row r="396" spans="2:18">
      <c r="B396" s="14">
        <f t="shared" si="51"/>
        <v>36202</v>
      </c>
      <c r="C396" s="23">
        <v>1</v>
      </c>
      <c r="D396" s="23"/>
      <c r="E396" s="23"/>
      <c r="F396" s="23" t="s">
        <v>894</v>
      </c>
      <c r="G396" s="23">
        <v>1</v>
      </c>
      <c r="H396" s="34">
        <v>36202</v>
      </c>
      <c r="I396" s="45" t="s">
        <v>1397</v>
      </c>
      <c r="J396" s="33" t="s">
        <v>1398</v>
      </c>
      <c r="K396" s="33" t="s">
        <v>1399</v>
      </c>
      <c r="L396" s="33" t="s">
        <v>1400</v>
      </c>
      <c r="M396" s="33" t="s">
        <v>1399</v>
      </c>
      <c r="N396" s="49" t="s">
        <v>1401</v>
      </c>
      <c r="O396" s="33" t="s">
        <v>1402</v>
      </c>
      <c r="P396" s="33" t="s">
        <v>1403</v>
      </c>
      <c r="Q396" s="14">
        <v>0</v>
      </c>
      <c r="R396" s="14">
        <f t="shared" si="52"/>
        <v>11</v>
      </c>
    </row>
    <row r="397" spans="2:18">
      <c r="B397" s="14">
        <f t="shared" si="51"/>
        <v>37201</v>
      </c>
      <c r="C397" s="23">
        <v>1</v>
      </c>
      <c r="D397" s="23"/>
      <c r="E397" s="23"/>
      <c r="F397" s="23" t="s">
        <v>894</v>
      </c>
      <c r="G397" s="23">
        <v>1</v>
      </c>
      <c r="H397" s="80">
        <v>37201</v>
      </c>
      <c r="I397" s="16" t="s">
        <v>1404</v>
      </c>
      <c r="J397" s="33" t="s">
        <v>1405</v>
      </c>
      <c r="K397" s="33" t="s">
        <v>1406</v>
      </c>
      <c r="L397" s="33" t="s">
        <v>1407</v>
      </c>
      <c r="M397" s="33" t="s">
        <v>1408</v>
      </c>
      <c r="N397" s="49" t="s">
        <v>1409</v>
      </c>
      <c r="O397" s="33" t="s">
        <v>1410</v>
      </c>
      <c r="P397" s="33" t="s">
        <v>1411</v>
      </c>
      <c r="Q397" s="14">
        <v>0</v>
      </c>
      <c r="R397" s="14">
        <f t="shared" si="52"/>
        <v>18</v>
      </c>
    </row>
    <row r="398" spans="2:18">
      <c r="B398" s="14">
        <f t="shared" si="51"/>
        <v>37202</v>
      </c>
      <c r="C398" s="23">
        <v>1</v>
      </c>
      <c r="D398" s="23"/>
      <c r="E398" s="23"/>
      <c r="F398" s="23" t="s">
        <v>894</v>
      </c>
      <c r="G398" s="23">
        <v>1</v>
      </c>
      <c r="H398" s="34">
        <v>37202</v>
      </c>
      <c r="I398" s="45" t="s">
        <v>1412</v>
      </c>
      <c r="J398" s="33" t="s">
        <v>1413</v>
      </c>
      <c r="K398" s="33" t="s">
        <v>1414</v>
      </c>
      <c r="L398" s="33" t="s">
        <v>1415</v>
      </c>
      <c r="M398" s="33" t="s">
        <v>1416</v>
      </c>
      <c r="N398" s="49" t="s">
        <v>1417</v>
      </c>
      <c r="O398" s="33" t="s">
        <v>1418</v>
      </c>
      <c r="P398" s="33" t="s">
        <v>3553</v>
      </c>
      <c r="Q398" s="14">
        <v>0</v>
      </c>
      <c r="R398" s="14">
        <f t="shared" si="52"/>
        <v>18</v>
      </c>
    </row>
    <row r="399" spans="2:18">
      <c r="B399" s="14">
        <f t="shared" si="51"/>
        <v>38201</v>
      </c>
      <c r="C399" s="23">
        <v>1</v>
      </c>
      <c r="D399" s="23"/>
      <c r="E399" s="23"/>
      <c r="F399" s="23" t="s">
        <v>894</v>
      </c>
      <c r="G399" s="23">
        <v>1</v>
      </c>
      <c r="H399" s="80">
        <v>38201</v>
      </c>
      <c r="I399" s="16" t="s">
        <v>3123</v>
      </c>
      <c r="J399" s="33" t="s">
        <v>3124</v>
      </c>
      <c r="K399" s="33" t="s">
        <v>3131</v>
      </c>
      <c r="L399" s="33" t="s">
        <v>3132</v>
      </c>
      <c r="M399" s="33" t="s">
        <v>3133</v>
      </c>
      <c r="N399" s="51" t="s">
        <v>3134</v>
      </c>
      <c r="O399" s="33" t="s">
        <v>3135</v>
      </c>
      <c r="P399" s="33" t="s">
        <v>3136</v>
      </c>
      <c r="Q399" s="14">
        <v>0</v>
      </c>
      <c r="R399" s="14">
        <f t="shared" ref="R399:R400" si="53">IF(LEN(I399)&gt;=333, "Text too Long", LEN(I399))</f>
        <v>144</v>
      </c>
    </row>
    <row r="400" spans="2:18">
      <c r="B400" s="14">
        <f t="shared" si="51"/>
        <v>38202</v>
      </c>
      <c r="C400" s="23">
        <v>1</v>
      </c>
      <c r="D400" s="23"/>
      <c r="E400" s="23"/>
      <c r="F400" s="23" t="s">
        <v>894</v>
      </c>
      <c r="G400" s="23">
        <v>1</v>
      </c>
      <c r="H400" s="34">
        <v>38202</v>
      </c>
      <c r="I400" s="16" t="s">
        <v>916</v>
      </c>
      <c r="J400" s="33" t="s">
        <v>1419</v>
      </c>
      <c r="K400" s="33" t="s">
        <v>1420</v>
      </c>
      <c r="L400" s="33" t="s">
        <v>1421</v>
      </c>
      <c r="M400" s="33" t="s">
        <v>1422</v>
      </c>
      <c r="N400" s="51" t="s">
        <v>1423</v>
      </c>
      <c r="O400" s="33" t="s">
        <v>1424</v>
      </c>
      <c r="P400" s="33" t="s">
        <v>3554</v>
      </c>
      <c r="Q400" s="14">
        <v>0</v>
      </c>
      <c r="R400" s="14">
        <f t="shared" si="53"/>
        <v>120</v>
      </c>
    </row>
    <row r="401" spans="2:18">
      <c r="B401" s="14">
        <f t="shared" ref="B401:B427" si="54">H401</f>
        <v>36301</v>
      </c>
      <c r="C401" s="23">
        <v>1</v>
      </c>
      <c r="D401" s="23"/>
      <c r="E401" s="23"/>
      <c r="F401" s="23" t="s">
        <v>894</v>
      </c>
      <c r="G401" s="23">
        <v>1</v>
      </c>
      <c r="H401" s="80">
        <v>36301</v>
      </c>
      <c r="I401" s="16" t="s">
        <v>3159</v>
      </c>
      <c r="J401" s="33" t="s">
        <v>3251</v>
      </c>
      <c r="K401" s="33" t="s">
        <v>3252</v>
      </c>
      <c r="L401" s="33" t="s">
        <v>3253</v>
      </c>
      <c r="M401" s="33" t="s">
        <v>3254</v>
      </c>
      <c r="N401" s="49" t="s">
        <v>3255</v>
      </c>
      <c r="O401" s="33" t="s">
        <v>3256</v>
      </c>
      <c r="P401" s="33" t="s">
        <v>3257</v>
      </c>
      <c r="Q401" s="14">
        <v>0</v>
      </c>
      <c r="R401" s="14">
        <f t="shared" ref="R401:R404" si="55">IF(LEN(I401)&gt;=20, "Text too Long", LEN(I401))</f>
        <v>12</v>
      </c>
    </row>
    <row r="402" spans="2:18">
      <c r="B402" s="14">
        <f t="shared" si="54"/>
        <v>36302</v>
      </c>
      <c r="C402" s="23">
        <v>1</v>
      </c>
      <c r="D402" s="23"/>
      <c r="E402" s="23"/>
      <c r="F402" s="23" t="s">
        <v>894</v>
      </c>
      <c r="G402" s="23">
        <v>1</v>
      </c>
      <c r="H402" s="34">
        <v>36302</v>
      </c>
      <c r="I402" s="16" t="s">
        <v>3160</v>
      </c>
      <c r="J402" s="33" t="s">
        <v>3258</v>
      </c>
      <c r="K402" s="33" t="s">
        <v>3259</v>
      </c>
      <c r="L402" s="33" t="s">
        <v>3260</v>
      </c>
      <c r="M402" s="33" t="s">
        <v>3261</v>
      </c>
      <c r="N402" s="49" t="s">
        <v>3262</v>
      </c>
      <c r="O402" s="33" t="s">
        <v>3263</v>
      </c>
      <c r="P402" s="33" t="s">
        <v>3264</v>
      </c>
      <c r="Q402" s="14">
        <v>0</v>
      </c>
      <c r="R402" s="14">
        <f t="shared" si="55"/>
        <v>12</v>
      </c>
    </row>
    <row r="403" spans="2:18">
      <c r="B403" s="14">
        <f t="shared" si="54"/>
        <v>37301</v>
      </c>
      <c r="C403" s="23">
        <v>0</v>
      </c>
      <c r="D403" s="23"/>
      <c r="E403" s="23"/>
      <c r="F403" s="23" t="s">
        <v>3120</v>
      </c>
      <c r="G403" s="23">
        <v>1</v>
      </c>
      <c r="H403" s="80">
        <v>37301</v>
      </c>
      <c r="I403" s="16" t="s">
        <v>3161</v>
      </c>
      <c r="J403" s="33" t="s">
        <v>3265</v>
      </c>
      <c r="K403" s="33" t="s">
        <v>3266</v>
      </c>
      <c r="L403" s="33" t="s">
        <v>3267</v>
      </c>
      <c r="M403" s="33" t="s">
        <v>3268</v>
      </c>
      <c r="N403" s="49" t="s">
        <v>3269</v>
      </c>
      <c r="O403" s="33" t="s">
        <v>3270</v>
      </c>
      <c r="P403" s="33" t="s">
        <v>3271</v>
      </c>
      <c r="Q403" s="14">
        <v>0</v>
      </c>
      <c r="R403" s="14">
        <f t="shared" si="55"/>
        <v>19</v>
      </c>
    </row>
    <row r="404" spans="2:18">
      <c r="B404" s="14">
        <f t="shared" si="54"/>
        <v>37302</v>
      </c>
      <c r="C404" s="23">
        <v>0</v>
      </c>
      <c r="D404" s="23"/>
      <c r="E404" s="23"/>
      <c r="F404" s="23" t="s">
        <v>3120</v>
      </c>
      <c r="G404" s="23">
        <v>1</v>
      </c>
      <c r="H404" s="34">
        <v>37302</v>
      </c>
      <c r="I404" s="16" t="s">
        <v>3162</v>
      </c>
      <c r="J404" s="33" t="s">
        <v>3272</v>
      </c>
      <c r="K404" s="33" t="s">
        <v>3273</v>
      </c>
      <c r="L404" s="33" t="s">
        <v>3274</v>
      </c>
      <c r="M404" s="33" t="s">
        <v>3275</v>
      </c>
      <c r="N404" s="49" t="s">
        <v>3276</v>
      </c>
      <c r="O404" s="33" t="s">
        <v>3277</v>
      </c>
      <c r="P404" s="33" t="s">
        <v>3278</v>
      </c>
      <c r="Q404" s="14">
        <v>0</v>
      </c>
      <c r="R404" s="14">
        <f t="shared" si="55"/>
        <v>19</v>
      </c>
    </row>
    <row r="405" spans="2:18">
      <c r="B405" s="14">
        <f t="shared" si="54"/>
        <v>38301</v>
      </c>
      <c r="C405" s="23">
        <v>0</v>
      </c>
      <c r="D405" s="23"/>
      <c r="E405" s="23"/>
      <c r="F405" s="23" t="s">
        <v>3120</v>
      </c>
      <c r="G405" s="23">
        <v>1</v>
      </c>
      <c r="H405" s="80">
        <v>38301</v>
      </c>
      <c r="I405" s="16" t="s">
        <v>3163</v>
      </c>
      <c r="J405" s="33" t="s">
        <v>3279</v>
      </c>
      <c r="K405" s="33" t="s">
        <v>3280</v>
      </c>
      <c r="L405" s="33" t="s">
        <v>3281</v>
      </c>
      <c r="M405" s="33" t="s">
        <v>3282</v>
      </c>
      <c r="N405" s="33" t="s">
        <v>3283</v>
      </c>
      <c r="O405" s="33" t="s">
        <v>3284</v>
      </c>
      <c r="P405" s="33" t="s">
        <v>3285</v>
      </c>
      <c r="Q405" s="14">
        <v>0</v>
      </c>
      <c r="R405" s="14">
        <f t="shared" ref="R405:R406" si="56">IF(LEN(I405)&gt;=333, "Text too Long", LEN(I405))</f>
        <v>141</v>
      </c>
    </row>
    <row r="406" spans="2:18">
      <c r="B406" s="14">
        <f t="shared" si="54"/>
        <v>38302</v>
      </c>
      <c r="C406" s="23">
        <v>0</v>
      </c>
      <c r="D406" s="23"/>
      <c r="E406" s="23"/>
      <c r="F406" s="23" t="s">
        <v>3120</v>
      </c>
      <c r="G406" s="23">
        <v>1</v>
      </c>
      <c r="H406" s="34">
        <v>38302</v>
      </c>
      <c r="I406" s="16" t="s">
        <v>3164</v>
      </c>
      <c r="J406" s="33" t="s">
        <v>3286</v>
      </c>
      <c r="K406" s="33" t="s">
        <v>3287</v>
      </c>
      <c r="L406" s="33" t="s">
        <v>3288</v>
      </c>
      <c r="M406" s="33" t="s">
        <v>3289</v>
      </c>
      <c r="N406" s="33" t="s">
        <v>3290</v>
      </c>
      <c r="O406" s="33" t="s">
        <v>3291</v>
      </c>
      <c r="P406" s="33" t="s">
        <v>3292</v>
      </c>
      <c r="Q406" s="14">
        <v>0</v>
      </c>
      <c r="R406" s="14">
        <f t="shared" si="56"/>
        <v>129</v>
      </c>
    </row>
    <row r="407" spans="2:18">
      <c r="B407" s="14">
        <f t="shared" si="54"/>
        <v>36303</v>
      </c>
      <c r="C407" s="23">
        <v>1</v>
      </c>
      <c r="D407" s="23"/>
      <c r="E407" s="23"/>
      <c r="F407" s="23" t="s">
        <v>894</v>
      </c>
      <c r="G407" s="23">
        <v>1</v>
      </c>
      <c r="H407" s="34">
        <v>36303</v>
      </c>
      <c r="I407" s="87" t="s">
        <v>3137</v>
      </c>
      <c r="J407" s="33" t="s">
        <v>3149</v>
      </c>
      <c r="K407" s="33" t="s">
        <v>3165</v>
      </c>
      <c r="L407" s="33" t="s">
        <v>3166</v>
      </c>
      <c r="M407" s="33" t="s">
        <v>3167</v>
      </c>
      <c r="N407" s="49" t="s">
        <v>3168</v>
      </c>
      <c r="O407" s="33" t="s">
        <v>3169</v>
      </c>
      <c r="P407" s="33" t="s">
        <v>3170</v>
      </c>
      <c r="Q407" s="14">
        <v>0</v>
      </c>
      <c r="R407" s="14">
        <f t="shared" ref="R407:R408" si="57">IF(LEN(I407)&gt;=20, "Text too Long", LEN(I407))</f>
        <v>8</v>
      </c>
    </row>
    <row r="408" spans="2:18">
      <c r="B408" s="14">
        <f t="shared" si="54"/>
        <v>37303</v>
      </c>
      <c r="C408" s="23">
        <v>0</v>
      </c>
      <c r="D408" s="23"/>
      <c r="E408" s="23"/>
      <c r="F408" s="23" t="s">
        <v>3120</v>
      </c>
      <c r="G408" s="23">
        <v>1</v>
      </c>
      <c r="H408" s="34">
        <v>37303</v>
      </c>
      <c r="I408" s="87" t="s">
        <v>3141</v>
      </c>
      <c r="J408" s="33" t="s">
        <v>3142</v>
      </c>
      <c r="K408" s="33" t="s">
        <v>3143</v>
      </c>
      <c r="L408" s="33" t="s">
        <v>3144</v>
      </c>
      <c r="M408" s="33" t="s">
        <v>3145</v>
      </c>
      <c r="N408" s="49" t="s">
        <v>3146</v>
      </c>
      <c r="O408" s="33" t="s">
        <v>3147</v>
      </c>
      <c r="P408" s="33" t="s">
        <v>3148</v>
      </c>
      <c r="Q408" s="14">
        <v>0</v>
      </c>
      <c r="R408" s="14">
        <f t="shared" si="57"/>
        <v>16</v>
      </c>
    </row>
    <row r="409" spans="2:18">
      <c r="B409" s="14">
        <f t="shared" si="54"/>
        <v>38303</v>
      </c>
      <c r="C409" s="23">
        <v>0</v>
      </c>
      <c r="D409" s="23"/>
      <c r="E409" s="23"/>
      <c r="F409" s="23" t="s">
        <v>3120</v>
      </c>
      <c r="G409" s="23">
        <v>1</v>
      </c>
      <c r="H409" s="34">
        <v>38303</v>
      </c>
      <c r="I409" s="87" t="s">
        <v>3140</v>
      </c>
      <c r="J409" s="33" t="s">
        <v>3244</v>
      </c>
      <c r="K409" s="33" t="s">
        <v>3245</v>
      </c>
      <c r="L409" s="33" t="s">
        <v>3246</v>
      </c>
      <c r="M409" s="33" t="s">
        <v>3247</v>
      </c>
      <c r="N409" s="51" t="s">
        <v>3248</v>
      </c>
      <c r="O409" s="33" t="s">
        <v>3249</v>
      </c>
      <c r="P409" s="33" t="s">
        <v>3250</v>
      </c>
      <c r="Q409" s="14">
        <v>0</v>
      </c>
      <c r="R409" s="14">
        <f t="shared" ref="R409" si="58">IF(LEN(I409)&gt;=333, "Text too Long", LEN(I409))</f>
        <v>85</v>
      </c>
    </row>
    <row r="410" spans="2:18">
      <c r="B410" s="14">
        <f t="shared" si="54"/>
        <v>36304</v>
      </c>
      <c r="C410" s="23">
        <v>1</v>
      </c>
      <c r="D410" s="23"/>
      <c r="E410" s="23"/>
      <c r="F410" s="23" t="s">
        <v>3673</v>
      </c>
      <c r="G410" s="23">
        <v>1</v>
      </c>
      <c r="H410" s="80">
        <v>36304</v>
      </c>
      <c r="I410" s="16" t="s">
        <v>3674</v>
      </c>
      <c r="J410" s="33" t="s">
        <v>3675</v>
      </c>
      <c r="K410" s="33" t="s">
        <v>3676</v>
      </c>
      <c r="L410" s="33" t="s">
        <v>3677</v>
      </c>
      <c r="M410" s="33" t="s">
        <v>3678</v>
      </c>
      <c r="N410" s="49" t="s">
        <v>3679</v>
      </c>
      <c r="O410" s="33" t="s">
        <v>3680</v>
      </c>
      <c r="P410" s="33" t="s">
        <v>3681</v>
      </c>
      <c r="Q410" s="14">
        <v>0</v>
      </c>
      <c r="R410" s="14">
        <f t="shared" ref="R410:R413" si="59">IF(LEN(I410)&gt;=20, "Text too Long", LEN(I410))</f>
        <v>12</v>
      </c>
    </row>
    <row r="411" spans="2:18">
      <c r="B411" s="14">
        <f t="shared" si="54"/>
        <v>36305</v>
      </c>
      <c r="C411" s="23">
        <v>1</v>
      </c>
      <c r="D411" s="23"/>
      <c r="E411" s="23"/>
      <c r="F411" s="23" t="s">
        <v>3673</v>
      </c>
      <c r="G411" s="23">
        <v>1</v>
      </c>
      <c r="H411" s="34">
        <v>36305</v>
      </c>
      <c r="I411" s="16" t="s">
        <v>3682</v>
      </c>
      <c r="J411" s="33" t="s">
        <v>3683</v>
      </c>
      <c r="K411" s="33" t="s">
        <v>3684</v>
      </c>
      <c r="L411" s="33" t="s">
        <v>3685</v>
      </c>
      <c r="M411" s="33" t="s">
        <v>3686</v>
      </c>
      <c r="N411" s="49" t="s">
        <v>3687</v>
      </c>
      <c r="O411" s="33" t="s">
        <v>3688</v>
      </c>
      <c r="P411" s="33" t="s">
        <v>3689</v>
      </c>
      <c r="Q411" s="14">
        <v>0</v>
      </c>
      <c r="R411" s="14">
        <f t="shared" si="59"/>
        <v>12</v>
      </c>
    </row>
    <row r="412" spans="2:18">
      <c r="B412" s="14">
        <f t="shared" si="54"/>
        <v>37304</v>
      </c>
      <c r="C412" s="23">
        <v>0</v>
      </c>
      <c r="D412" s="23"/>
      <c r="E412" s="23"/>
      <c r="F412" s="23" t="s">
        <v>3673</v>
      </c>
      <c r="G412" s="23">
        <v>1</v>
      </c>
      <c r="H412" s="80">
        <v>37304</v>
      </c>
      <c r="I412" s="16" t="s">
        <v>3690</v>
      </c>
      <c r="J412" s="33" t="s">
        <v>3691</v>
      </c>
      <c r="K412" s="33" t="s">
        <v>3692</v>
      </c>
      <c r="L412" s="33" t="s">
        <v>3693</v>
      </c>
      <c r="M412" s="33" t="s">
        <v>3694</v>
      </c>
      <c r="N412" s="49" t="s">
        <v>3695</v>
      </c>
      <c r="O412" s="33" t="s">
        <v>3696</v>
      </c>
      <c r="P412" s="33" t="s">
        <v>3697</v>
      </c>
      <c r="Q412" s="14">
        <v>0</v>
      </c>
      <c r="R412" s="14">
        <f t="shared" si="59"/>
        <v>19</v>
      </c>
    </row>
    <row r="413" spans="2:18">
      <c r="B413" s="14">
        <f t="shared" si="54"/>
        <v>37305</v>
      </c>
      <c r="C413" s="23">
        <v>0</v>
      </c>
      <c r="D413" s="23"/>
      <c r="E413" s="23"/>
      <c r="F413" s="23" t="s">
        <v>3673</v>
      </c>
      <c r="G413" s="23">
        <v>1</v>
      </c>
      <c r="H413" s="34">
        <v>37305</v>
      </c>
      <c r="I413" s="16" t="s">
        <v>3698</v>
      </c>
      <c r="J413" s="33" t="s">
        <v>3699</v>
      </c>
      <c r="K413" s="33" t="s">
        <v>3700</v>
      </c>
      <c r="L413" s="33" t="s">
        <v>3701</v>
      </c>
      <c r="M413" s="33" t="s">
        <v>3702</v>
      </c>
      <c r="N413" s="49" t="s">
        <v>3703</v>
      </c>
      <c r="O413" s="33" t="s">
        <v>3704</v>
      </c>
      <c r="P413" s="33" t="s">
        <v>3705</v>
      </c>
      <c r="Q413" s="14">
        <v>0</v>
      </c>
      <c r="R413" s="14">
        <f t="shared" si="59"/>
        <v>19</v>
      </c>
    </row>
    <row r="414" spans="2:18">
      <c r="B414" s="14">
        <f t="shared" si="54"/>
        <v>38304</v>
      </c>
      <c r="C414" s="23">
        <v>0</v>
      </c>
      <c r="D414" s="23"/>
      <c r="E414" s="23"/>
      <c r="F414" s="23" t="s">
        <v>3673</v>
      </c>
      <c r="G414" s="23">
        <v>1</v>
      </c>
      <c r="H414" s="80">
        <v>38304</v>
      </c>
      <c r="I414" s="16" t="s">
        <v>3706</v>
      </c>
      <c r="J414" s="33" t="s">
        <v>3707</v>
      </c>
      <c r="K414" s="33" t="s">
        <v>3708</v>
      </c>
      <c r="L414" s="33" t="s">
        <v>3709</v>
      </c>
      <c r="M414" s="33" t="s">
        <v>3710</v>
      </c>
      <c r="N414" s="51" t="s">
        <v>3711</v>
      </c>
      <c r="O414" s="33" t="s">
        <v>3712</v>
      </c>
      <c r="P414" s="33" t="s">
        <v>3713</v>
      </c>
      <c r="Q414" s="14">
        <v>0</v>
      </c>
      <c r="R414" s="14">
        <f t="shared" ref="R414:R415" si="60">IF(LEN(I414)&gt;=333, "Text too Long", LEN(I414))</f>
        <v>141</v>
      </c>
    </row>
    <row r="415" spans="2:18">
      <c r="B415" s="14">
        <f t="shared" si="54"/>
        <v>38305</v>
      </c>
      <c r="C415" s="23">
        <v>0</v>
      </c>
      <c r="D415" s="23"/>
      <c r="E415" s="23"/>
      <c r="F415" s="23" t="s">
        <v>3673</v>
      </c>
      <c r="G415" s="23">
        <v>1</v>
      </c>
      <c r="H415" s="34">
        <v>38305</v>
      </c>
      <c r="I415" s="16" t="s">
        <v>3714</v>
      </c>
      <c r="J415" s="33" t="s">
        <v>3715</v>
      </c>
      <c r="K415" s="33" t="s">
        <v>3716</v>
      </c>
      <c r="L415" s="33" t="s">
        <v>3717</v>
      </c>
      <c r="M415" s="33" t="s">
        <v>3718</v>
      </c>
      <c r="N415" s="51" t="s">
        <v>3719</v>
      </c>
      <c r="O415" s="33" t="s">
        <v>3720</v>
      </c>
      <c r="P415" s="33" t="s">
        <v>3721</v>
      </c>
      <c r="Q415" s="14">
        <v>0</v>
      </c>
      <c r="R415" s="14">
        <f t="shared" si="60"/>
        <v>129</v>
      </c>
    </row>
    <row r="416" spans="2:18">
      <c r="B416" s="14">
        <f t="shared" si="54"/>
        <v>36306</v>
      </c>
      <c r="C416" s="23">
        <v>1</v>
      </c>
      <c r="D416" s="23"/>
      <c r="E416" s="23"/>
      <c r="F416" s="23" t="s">
        <v>3673</v>
      </c>
      <c r="G416" s="23">
        <v>1</v>
      </c>
      <c r="H416" s="34">
        <v>36306</v>
      </c>
      <c r="I416" s="87" t="s">
        <v>3137</v>
      </c>
      <c r="J416" s="33" t="s">
        <v>3149</v>
      </c>
      <c r="K416" s="33" t="s">
        <v>3165</v>
      </c>
      <c r="L416" s="33" t="s">
        <v>3166</v>
      </c>
      <c r="M416" s="33" t="s">
        <v>3167</v>
      </c>
      <c r="N416" s="49" t="s">
        <v>3168</v>
      </c>
      <c r="O416" s="33" t="s">
        <v>3169</v>
      </c>
      <c r="P416" s="33" t="s">
        <v>3170</v>
      </c>
      <c r="Q416" s="14">
        <v>0</v>
      </c>
      <c r="R416" s="14">
        <f t="shared" ref="R416:R417" si="61">IF(LEN(I416)&gt;=20, "Text too Long", LEN(I416))</f>
        <v>8</v>
      </c>
    </row>
    <row r="417" spans="2:18">
      <c r="B417" s="14">
        <f t="shared" si="54"/>
        <v>37306</v>
      </c>
      <c r="C417" s="23">
        <v>0</v>
      </c>
      <c r="D417" s="23"/>
      <c r="E417" s="23"/>
      <c r="F417" s="23" t="s">
        <v>3673</v>
      </c>
      <c r="G417" s="23">
        <v>1</v>
      </c>
      <c r="H417" s="34">
        <v>37306</v>
      </c>
      <c r="I417" s="87" t="s">
        <v>3141</v>
      </c>
      <c r="J417" s="33" t="s">
        <v>3142</v>
      </c>
      <c r="K417" s="33" t="s">
        <v>3143</v>
      </c>
      <c r="L417" s="33" t="s">
        <v>3144</v>
      </c>
      <c r="M417" s="33" t="s">
        <v>3145</v>
      </c>
      <c r="N417" s="49" t="s">
        <v>3722</v>
      </c>
      <c r="O417" s="33" t="s">
        <v>3147</v>
      </c>
      <c r="P417" s="33" t="s">
        <v>3148</v>
      </c>
      <c r="Q417" s="14">
        <v>0</v>
      </c>
      <c r="R417" s="14">
        <f t="shared" si="61"/>
        <v>16</v>
      </c>
    </row>
    <row r="418" spans="2:18">
      <c r="B418" s="14">
        <f t="shared" si="54"/>
        <v>38306</v>
      </c>
      <c r="C418" s="23">
        <v>0</v>
      </c>
      <c r="D418" s="23"/>
      <c r="E418" s="23"/>
      <c r="F418" s="23" t="s">
        <v>3673</v>
      </c>
      <c r="G418" s="23">
        <v>1</v>
      </c>
      <c r="H418" s="34">
        <v>38306</v>
      </c>
      <c r="I418" s="87" t="s">
        <v>3723</v>
      </c>
      <c r="J418" s="33" t="s">
        <v>3724</v>
      </c>
      <c r="K418" s="33" t="s">
        <v>3725</v>
      </c>
      <c r="L418" s="33" t="s">
        <v>3726</v>
      </c>
      <c r="M418" s="33" t="s">
        <v>3727</v>
      </c>
      <c r="N418" s="51" t="s">
        <v>3728</v>
      </c>
      <c r="O418" s="33" t="s">
        <v>3729</v>
      </c>
      <c r="P418" s="33" t="s">
        <v>3730</v>
      </c>
      <c r="Q418" s="14">
        <v>0</v>
      </c>
      <c r="R418" s="14">
        <f t="shared" ref="R418" si="62">IF(LEN(I418)&gt;=333, "Text too Long", LEN(I418))</f>
        <v>85</v>
      </c>
    </row>
    <row r="419" spans="2:18">
      <c r="B419" s="14">
        <f t="shared" si="54"/>
        <v>36307</v>
      </c>
      <c r="C419" s="23">
        <v>1</v>
      </c>
      <c r="D419" s="23"/>
      <c r="E419" s="23"/>
      <c r="F419" s="23" t="s">
        <v>3822</v>
      </c>
      <c r="G419" s="23">
        <v>1</v>
      </c>
      <c r="H419" s="80">
        <v>36307</v>
      </c>
      <c r="I419" s="16" t="s">
        <v>3825</v>
      </c>
      <c r="J419" s="33" t="s">
        <v>3826</v>
      </c>
      <c r="K419" s="33" t="s">
        <v>3827</v>
      </c>
      <c r="L419" s="33" t="s">
        <v>3828</v>
      </c>
      <c r="M419" s="33" t="s">
        <v>3829</v>
      </c>
      <c r="N419" s="49" t="s">
        <v>3830</v>
      </c>
      <c r="O419" s="33" t="s">
        <v>3831</v>
      </c>
      <c r="P419" s="33" t="s">
        <v>3832</v>
      </c>
      <c r="Q419" s="14">
        <v>0</v>
      </c>
      <c r="R419" s="14">
        <f t="shared" ref="R419:R422" si="63">IF(LEN(I419)&gt;=20, "Text too Long", LEN(I419))</f>
        <v>12</v>
      </c>
    </row>
    <row r="420" spans="2:18">
      <c r="B420" s="14">
        <f t="shared" si="54"/>
        <v>36308</v>
      </c>
      <c r="C420" s="23">
        <v>1</v>
      </c>
      <c r="D420" s="23"/>
      <c r="E420" s="23"/>
      <c r="F420" s="23" t="s">
        <v>3822</v>
      </c>
      <c r="G420" s="23">
        <v>1</v>
      </c>
      <c r="H420" s="34">
        <v>36308</v>
      </c>
      <c r="I420" s="16" t="s">
        <v>3833</v>
      </c>
      <c r="J420" s="33" t="s">
        <v>3834</v>
      </c>
      <c r="K420" s="33" t="s">
        <v>3835</v>
      </c>
      <c r="L420" s="33" t="s">
        <v>3836</v>
      </c>
      <c r="M420" s="33" t="s">
        <v>3837</v>
      </c>
      <c r="N420" s="49" t="s">
        <v>3838</v>
      </c>
      <c r="O420" s="33" t="s">
        <v>3839</v>
      </c>
      <c r="P420" s="33" t="s">
        <v>3840</v>
      </c>
      <c r="Q420" s="14">
        <v>0</v>
      </c>
      <c r="R420" s="14">
        <f t="shared" si="63"/>
        <v>12</v>
      </c>
    </row>
    <row r="421" spans="2:18">
      <c r="B421" s="14">
        <f t="shared" si="54"/>
        <v>37307</v>
      </c>
      <c r="C421" s="23">
        <v>0</v>
      </c>
      <c r="D421" s="23"/>
      <c r="E421" s="23"/>
      <c r="F421" s="23" t="s">
        <v>3822</v>
      </c>
      <c r="G421" s="23">
        <v>1</v>
      </c>
      <c r="H421" s="80">
        <v>37307</v>
      </c>
      <c r="I421" s="16" t="s">
        <v>3841</v>
      </c>
      <c r="J421" s="33" t="s">
        <v>3842</v>
      </c>
      <c r="K421" s="33" t="s">
        <v>3843</v>
      </c>
      <c r="L421" s="33" t="s">
        <v>3844</v>
      </c>
      <c r="M421" s="33" t="s">
        <v>3845</v>
      </c>
      <c r="N421" s="49" t="s">
        <v>3846</v>
      </c>
      <c r="O421" s="33" t="s">
        <v>3847</v>
      </c>
      <c r="P421" s="33" t="s">
        <v>3848</v>
      </c>
      <c r="Q421" s="14">
        <v>0</v>
      </c>
      <c r="R421" s="14">
        <f t="shared" si="63"/>
        <v>19</v>
      </c>
    </row>
    <row r="422" spans="2:18">
      <c r="B422" s="14">
        <f t="shared" si="54"/>
        <v>37308</v>
      </c>
      <c r="C422" s="23">
        <v>0</v>
      </c>
      <c r="D422" s="23"/>
      <c r="E422" s="23"/>
      <c r="F422" s="23" t="s">
        <v>3822</v>
      </c>
      <c r="G422" s="23">
        <v>1</v>
      </c>
      <c r="H422" s="34">
        <v>37308</v>
      </c>
      <c r="I422" s="16" t="s">
        <v>3849</v>
      </c>
      <c r="J422" s="33" t="s">
        <v>3850</v>
      </c>
      <c r="K422" s="33" t="s">
        <v>3851</v>
      </c>
      <c r="L422" s="33" t="s">
        <v>3852</v>
      </c>
      <c r="M422" s="33" t="s">
        <v>3853</v>
      </c>
      <c r="N422" s="49" t="s">
        <v>3854</v>
      </c>
      <c r="O422" s="33" t="s">
        <v>3855</v>
      </c>
      <c r="P422" s="33" t="s">
        <v>3856</v>
      </c>
      <c r="Q422" s="14">
        <v>0</v>
      </c>
      <c r="R422" s="14">
        <f t="shared" si="63"/>
        <v>19</v>
      </c>
    </row>
    <row r="423" spans="2:18">
      <c r="B423" s="14">
        <f t="shared" si="54"/>
        <v>38307</v>
      </c>
      <c r="C423" s="23">
        <v>0</v>
      </c>
      <c r="D423" s="23"/>
      <c r="E423" s="23"/>
      <c r="F423" s="23" t="s">
        <v>3822</v>
      </c>
      <c r="G423" s="23">
        <v>1</v>
      </c>
      <c r="H423" s="80">
        <v>38307</v>
      </c>
      <c r="I423" s="16" t="s">
        <v>3823</v>
      </c>
      <c r="J423" s="33" t="s">
        <v>3857</v>
      </c>
      <c r="K423" s="33" t="s">
        <v>3858</v>
      </c>
      <c r="L423" s="33" t="s">
        <v>3859</v>
      </c>
      <c r="M423" s="33" t="s">
        <v>3860</v>
      </c>
      <c r="N423" s="51" t="s">
        <v>3861</v>
      </c>
      <c r="O423" s="33" t="s">
        <v>3862</v>
      </c>
      <c r="P423" s="33" t="s">
        <v>3863</v>
      </c>
      <c r="Q423" s="14">
        <v>0</v>
      </c>
      <c r="R423" s="14">
        <f t="shared" ref="R423:R424" si="64">IF(LEN(I423)&gt;=333, "Text too Long", LEN(I423))</f>
        <v>141</v>
      </c>
    </row>
    <row r="424" spans="2:18">
      <c r="B424" s="14">
        <f t="shared" si="54"/>
        <v>38308</v>
      </c>
      <c r="C424" s="23">
        <v>0</v>
      </c>
      <c r="D424" s="23"/>
      <c r="E424" s="23"/>
      <c r="F424" s="23" t="s">
        <v>3822</v>
      </c>
      <c r="G424" s="23">
        <v>1</v>
      </c>
      <c r="H424" s="34">
        <v>38308</v>
      </c>
      <c r="I424" s="16" t="s">
        <v>3824</v>
      </c>
      <c r="J424" s="33" t="s">
        <v>3864</v>
      </c>
      <c r="K424" s="33" t="s">
        <v>3865</v>
      </c>
      <c r="L424" s="33" t="s">
        <v>3866</v>
      </c>
      <c r="M424" s="33" t="s">
        <v>3867</v>
      </c>
      <c r="N424" s="51" t="s">
        <v>3868</v>
      </c>
      <c r="O424" s="33" t="s">
        <v>3869</v>
      </c>
      <c r="P424" s="33" t="s">
        <v>3870</v>
      </c>
      <c r="Q424" s="14">
        <v>0</v>
      </c>
      <c r="R424" s="14">
        <f t="shared" si="64"/>
        <v>129</v>
      </c>
    </row>
    <row r="425" spans="2:18">
      <c r="B425" s="14">
        <f t="shared" si="54"/>
        <v>36309</v>
      </c>
      <c r="C425" s="23">
        <v>1</v>
      </c>
      <c r="D425" s="23"/>
      <c r="E425" s="23"/>
      <c r="F425" s="23" t="s">
        <v>3822</v>
      </c>
      <c r="G425" s="23">
        <v>1</v>
      </c>
      <c r="H425" s="34">
        <v>36309</v>
      </c>
      <c r="I425" s="87" t="s">
        <v>3137</v>
      </c>
      <c r="J425" s="33" t="s">
        <v>3149</v>
      </c>
      <c r="K425" s="33" t="s">
        <v>3165</v>
      </c>
      <c r="L425" s="33" t="s">
        <v>3166</v>
      </c>
      <c r="M425" s="33" t="s">
        <v>3167</v>
      </c>
      <c r="N425" s="49" t="s">
        <v>3168</v>
      </c>
      <c r="O425" s="33" t="s">
        <v>3169</v>
      </c>
      <c r="P425" s="33" t="s">
        <v>3170</v>
      </c>
      <c r="Q425" s="14">
        <v>0</v>
      </c>
      <c r="R425" s="14">
        <f t="shared" ref="R425:R426" si="65">IF(LEN(I425)&gt;=20, "Text too Long", LEN(I425))</f>
        <v>8</v>
      </c>
    </row>
    <row r="426" spans="2:18">
      <c r="B426" s="14">
        <f t="shared" si="54"/>
        <v>37309</v>
      </c>
      <c r="C426" s="23">
        <v>0</v>
      </c>
      <c r="D426" s="23"/>
      <c r="E426" s="23"/>
      <c r="F426" s="23" t="s">
        <v>3822</v>
      </c>
      <c r="G426" s="23">
        <v>1</v>
      </c>
      <c r="H426" s="34">
        <v>37309</v>
      </c>
      <c r="I426" s="87" t="s">
        <v>3141</v>
      </c>
      <c r="J426" s="33" t="s">
        <v>3142</v>
      </c>
      <c r="K426" s="33" t="s">
        <v>3143</v>
      </c>
      <c r="L426" s="33" t="s">
        <v>3144</v>
      </c>
      <c r="M426" s="33" t="s">
        <v>3145</v>
      </c>
      <c r="N426" s="49" t="s">
        <v>3722</v>
      </c>
      <c r="O426" s="33" t="s">
        <v>3147</v>
      </c>
      <c r="P426" s="33" t="s">
        <v>3148</v>
      </c>
      <c r="Q426" s="14">
        <v>0</v>
      </c>
      <c r="R426" s="14">
        <f t="shared" si="65"/>
        <v>16</v>
      </c>
    </row>
    <row r="427" spans="2:18">
      <c r="B427" s="14">
        <f t="shared" si="54"/>
        <v>38309</v>
      </c>
      <c r="C427" s="23">
        <v>0</v>
      </c>
      <c r="D427" s="23"/>
      <c r="E427" s="23"/>
      <c r="F427" s="23" t="s">
        <v>3822</v>
      </c>
      <c r="G427" s="23">
        <v>1</v>
      </c>
      <c r="H427" s="34">
        <v>38309</v>
      </c>
      <c r="I427" s="87" t="s">
        <v>3871</v>
      </c>
      <c r="J427" s="33" t="s">
        <v>3872</v>
      </c>
      <c r="K427" s="33" t="s">
        <v>3873</v>
      </c>
      <c r="L427" s="33" t="s">
        <v>3874</v>
      </c>
      <c r="M427" s="33" t="s">
        <v>3875</v>
      </c>
      <c r="N427" s="51" t="s">
        <v>3876</v>
      </c>
      <c r="O427" s="33" t="s">
        <v>3877</v>
      </c>
      <c r="P427" s="33" t="s">
        <v>3878</v>
      </c>
      <c r="Q427" s="14">
        <v>0</v>
      </c>
      <c r="R427" s="14">
        <f t="shared" ref="R427" si="66">IF(LEN(I427)&gt;=333, "Text too Long", LEN(I427))</f>
        <v>85</v>
      </c>
    </row>
    <row r="428" spans="2:18">
      <c r="B428" s="14">
        <v>39002</v>
      </c>
      <c r="C428" s="23">
        <v>1</v>
      </c>
      <c r="D428" s="23"/>
      <c r="E428" s="23"/>
      <c r="F428" s="23"/>
      <c r="G428" s="23">
        <v>1</v>
      </c>
      <c r="H428" s="80">
        <v>39002</v>
      </c>
      <c r="I428" s="16" t="s">
        <v>1003</v>
      </c>
      <c r="J428" s="33" t="s">
        <v>1064</v>
      </c>
      <c r="K428" s="33" t="s">
        <v>1065</v>
      </c>
      <c r="L428" s="33" t="s">
        <v>1066</v>
      </c>
      <c r="M428" s="33" t="s">
        <v>1067</v>
      </c>
      <c r="N428" s="51" t="s">
        <v>1068</v>
      </c>
      <c r="O428" s="33" t="s">
        <v>1069</v>
      </c>
      <c r="P428" s="33" t="s">
        <v>1070</v>
      </c>
      <c r="Q428" s="14">
        <v>0</v>
      </c>
      <c r="R428" s="14">
        <f t="shared" ref="R428:R450" si="67">IF(LEN(I428)&gt;=20, "Text too Long", LEN(I428))</f>
        <v>4</v>
      </c>
    </row>
    <row r="429" spans="2:18">
      <c r="B429" s="14">
        <v>40001</v>
      </c>
      <c r="C429" s="23">
        <v>1</v>
      </c>
      <c r="D429" s="23"/>
      <c r="E429" s="23"/>
      <c r="F429" s="23"/>
      <c r="G429" s="23">
        <v>1</v>
      </c>
      <c r="H429" s="80">
        <v>40001</v>
      </c>
      <c r="I429" s="16" t="s">
        <v>1004</v>
      </c>
      <c r="J429" s="33" t="s">
        <v>1071</v>
      </c>
      <c r="K429" s="33" t="s">
        <v>1072</v>
      </c>
      <c r="L429" s="33" t="s">
        <v>1073</v>
      </c>
      <c r="M429" s="33" t="s">
        <v>1074</v>
      </c>
      <c r="N429" s="51" t="s">
        <v>1075</v>
      </c>
      <c r="O429" s="33" t="s">
        <v>1076</v>
      </c>
      <c r="P429" s="33" t="s">
        <v>1077</v>
      </c>
      <c r="Q429" s="14">
        <v>0</v>
      </c>
      <c r="R429" s="14">
        <f t="shared" si="67"/>
        <v>10</v>
      </c>
    </row>
    <row r="430" spans="2:18">
      <c r="B430" s="14">
        <v>40002</v>
      </c>
      <c r="C430" s="23">
        <v>1</v>
      </c>
      <c r="D430" s="23"/>
      <c r="E430" s="23"/>
      <c r="F430" s="23"/>
      <c r="G430" s="23">
        <v>1</v>
      </c>
      <c r="H430" s="80">
        <v>40002</v>
      </c>
      <c r="I430" s="16" t="s">
        <v>3555</v>
      </c>
      <c r="J430" s="33" t="s">
        <v>3556</v>
      </c>
      <c r="K430" s="33" t="s">
        <v>3557</v>
      </c>
      <c r="L430" s="33" t="s">
        <v>3558</v>
      </c>
      <c r="M430" s="33" t="s">
        <v>3559</v>
      </c>
      <c r="N430" s="51" t="s">
        <v>3560</v>
      </c>
      <c r="O430" s="33" t="s">
        <v>3561</v>
      </c>
      <c r="P430" s="33" t="s">
        <v>3562</v>
      </c>
      <c r="Q430" s="14">
        <v>0</v>
      </c>
      <c r="R430" s="14">
        <f t="shared" si="67"/>
        <v>10</v>
      </c>
    </row>
    <row r="431" spans="2:18">
      <c r="B431" s="14">
        <v>41001</v>
      </c>
      <c r="C431" s="23">
        <v>1</v>
      </c>
      <c r="D431" s="23"/>
      <c r="E431" s="23"/>
      <c r="F431" s="23"/>
      <c r="G431" s="23">
        <v>1</v>
      </c>
      <c r="H431" s="80">
        <v>41001</v>
      </c>
      <c r="I431" s="16" t="s">
        <v>2797</v>
      </c>
      <c r="J431" s="33" t="s">
        <v>2798</v>
      </c>
      <c r="K431" s="33" t="s">
        <v>3563</v>
      </c>
      <c r="L431" s="33" t="s">
        <v>2799</v>
      </c>
      <c r="M431" s="33" t="s">
        <v>3564</v>
      </c>
      <c r="N431" s="51" t="s">
        <v>2800</v>
      </c>
      <c r="O431" s="33" t="s">
        <v>3565</v>
      </c>
      <c r="P431" s="33" t="s">
        <v>2801</v>
      </c>
      <c r="Q431" s="14">
        <v>0</v>
      </c>
      <c r="R431" s="14" t="str">
        <f t="shared" si="67"/>
        <v>Text too Long</v>
      </c>
    </row>
    <row r="432" spans="2:18">
      <c r="B432" s="14">
        <v>41002</v>
      </c>
      <c r="C432" s="23">
        <v>1</v>
      </c>
      <c r="D432" s="23"/>
      <c r="E432" s="23"/>
      <c r="F432" s="23"/>
      <c r="G432" s="23">
        <v>1</v>
      </c>
      <c r="H432" s="80">
        <v>41002</v>
      </c>
      <c r="I432" s="16" t="s">
        <v>1005</v>
      </c>
      <c r="J432" s="33" t="s">
        <v>1078</v>
      </c>
      <c r="K432" s="33" t="s">
        <v>1079</v>
      </c>
      <c r="L432" s="33" t="s">
        <v>1080</v>
      </c>
      <c r="M432" s="33" t="s">
        <v>1081</v>
      </c>
      <c r="N432" s="51" t="s">
        <v>1082</v>
      </c>
      <c r="O432" s="33" t="s">
        <v>1083</v>
      </c>
      <c r="P432" s="33" t="s">
        <v>1084</v>
      </c>
      <c r="Q432" s="14">
        <v>0</v>
      </c>
      <c r="R432" s="14" t="str">
        <f t="shared" si="67"/>
        <v>Text too Long</v>
      </c>
    </row>
    <row r="433" spans="2:18">
      <c r="B433" s="14">
        <v>41003</v>
      </c>
      <c r="C433" s="23">
        <v>1</v>
      </c>
      <c r="D433" s="23"/>
      <c r="E433" s="23"/>
      <c r="F433" s="23"/>
      <c r="G433" s="23">
        <v>1</v>
      </c>
      <c r="H433" s="80">
        <v>41003</v>
      </c>
      <c r="I433" s="16" t="s">
        <v>2097</v>
      </c>
      <c r="J433" s="33" t="s">
        <v>2098</v>
      </c>
      <c r="K433" s="33" t="s">
        <v>3566</v>
      </c>
      <c r="L433" s="33" t="s">
        <v>2099</v>
      </c>
      <c r="M433" s="33" t="s">
        <v>3567</v>
      </c>
      <c r="N433" s="51" t="s">
        <v>2100</v>
      </c>
      <c r="O433" s="33" t="s">
        <v>3568</v>
      </c>
      <c r="P433" s="33" t="s">
        <v>2101</v>
      </c>
      <c r="Q433" s="14">
        <v>0</v>
      </c>
      <c r="R433" s="14" t="str">
        <f t="shared" si="67"/>
        <v>Text too Long</v>
      </c>
    </row>
    <row r="434" spans="2:18">
      <c r="B434" s="14">
        <v>41004</v>
      </c>
      <c r="C434" s="23">
        <v>1</v>
      </c>
      <c r="D434" s="23"/>
      <c r="E434" s="23"/>
      <c r="F434" s="23"/>
      <c r="G434" s="23">
        <v>1</v>
      </c>
      <c r="H434" s="80">
        <v>41004</v>
      </c>
      <c r="I434" s="16" t="s">
        <v>1006</v>
      </c>
      <c r="J434" s="33" t="s">
        <v>1085</v>
      </c>
      <c r="K434" s="33" t="s">
        <v>1086</v>
      </c>
      <c r="L434" s="33" t="s">
        <v>1087</v>
      </c>
      <c r="M434" s="33" t="s">
        <v>1088</v>
      </c>
      <c r="N434" s="51" t="s">
        <v>1089</v>
      </c>
      <c r="O434" s="33" t="s">
        <v>1090</v>
      </c>
      <c r="P434" s="33" t="s">
        <v>1091</v>
      </c>
      <c r="Q434" s="14">
        <v>0</v>
      </c>
      <c r="R434" s="14" t="str">
        <f t="shared" si="67"/>
        <v>Text too Long</v>
      </c>
    </row>
    <row r="435" spans="2:18">
      <c r="B435" s="14">
        <v>41005</v>
      </c>
      <c r="C435" s="23">
        <v>1</v>
      </c>
      <c r="D435" s="23"/>
      <c r="E435" s="23"/>
      <c r="F435" s="23"/>
      <c r="G435" s="23">
        <v>1</v>
      </c>
      <c r="H435" s="80">
        <v>41005</v>
      </c>
      <c r="I435" s="16" t="s">
        <v>2802</v>
      </c>
      <c r="J435" s="33" t="s">
        <v>2803</v>
      </c>
      <c r="K435" s="33" t="s">
        <v>3569</v>
      </c>
      <c r="L435" s="33" t="s">
        <v>2804</v>
      </c>
      <c r="M435" s="33" t="s">
        <v>3570</v>
      </c>
      <c r="N435" s="51" t="s">
        <v>2805</v>
      </c>
      <c r="O435" s="33" t="s">
        <v>3571</v>
      </c>
      <c r="P435" s="33" t="s">
        <v>2806</v>
      </c>
      <c r="Q435" s="14">
        <v>0</v>
      </c>
      <c r="R435" s="14" t="str">
        <f t="shared" si="67"/>
        <v>Text too Long</v>
      </c>
    </row>
    <row r="436" spans="2:18">
      <c r="B436" s="14">
        <v>41006</v>
      </c>
      <c r="C436" s="23">
        <v>1</v>
      </c>
      <c r="D436" s="23"/>
      <c r="E436" s="23"/>
      <c r="F436" s="23"/>
      <c r="G436" s="23">
        <v>1</v>
      </c>
      <c r="H436" s="80">
        <v>41006</v>
      </c>
      <c r="I436" s="16" t="s">
        <v>1007</v>
      </c>
      <c r="J436" s="33" t="s">
        <v>1092</v>
      </c>
      <c r="K436" s="33" t="s">
        <v>1093</v>
      </c>
      <c r="L436" s="33" t="s">
        <v>1094</v>
      </c>
      <c r="M436" s="33" t="s">
        <v>1095</v>
      </c>
      <c r="N436" s="51" t="s">
        <v>1096</v>
      </c>
      <c r="O436" s="33" t="s">
        <v>1097</v>
      </c>
      <c r="P436" s="33" t="s">
        <v>1098</v>
      </c>
      <c r="Q436" s="14">
        <v>0</v>
      </c>
      <c r="R436" s="14" t="str">
        <f t="shared" si="67"/>
        <v>Text too Long</v>
      </c>
    </row>
    <row r="437" spans="2:18">
      <c r="B437" s="14">
        <v>41007</v>
      </c>
      <c r="C437" s="23">
        <v>1</v>
      </c>
      <c r="D437" s="23"/>
      <c r="E437" s="23"/>
      <c r="F437" s="23"/>
      <c r="G437" s="23">
        <v>1</v>
      </c>
      <c r="H437" s="80">
        <v>41007</v>
      </c>
      <c r="I437" s="16" t="s">
        <v>2807</v>
      </c>
      <c r="J437" s="33" t="s">
        <v>2808</v>
      </c>
      <c r="K437" s="33" t="s">
        <v>3572</v>
      </c>
      <c r="L437" s="33" t="s">
        <v>2809</v>
      </c>
      <c r="M437" s="33" t="s">
        <v>3573</v>
      </c>
      <c r="N437" s="51" t="s">
        <v>2810</v>
      </c>
      <c r="O437" s="33" t="s">
        <v>3574</v>
      </c>
      <c r="P437" s="33" t="s">
        <v>2811</v>
      </c>
      <c r="Q437" s="14">
        <v>0</v>
      </c>
      <c r="R437" s="14" t="str">
        <f t="shared" si="67"/>
        <v>Text too Long</v>
      </c>
    </row>
    <row r="438" spans="2:18">
      <c r="B438" s="14">
        <v>41008</v>
      </c>
      <c r="C438" s="23">
        <v>1</v>
      </c>
      <c r="D438" s="23"/>
      <c r="E438" s="23"/>
      <c r="F438" s="23"/>
      <c r="G438" s="23">
        <v>1</v>
      </c>
      <c r="H438" s="80">
        <v>41008</v>
      </c>
      <c r="I438" s="16" t="s">
        <v>1008</v>
      </c>
      <c r="J438" s="33" t="s">
        <v>1099</v>
      </c>
      <c r="K438" s="33" t="s">
        <v>1100</v>
      </c>
      <c r="L438" s="33" t="s">
        <v>1101</v>
      </c>
      <c r="M438" s="33" t="s">
        <v>1102</v>
      </c>
      <c r="N438" s="51" t="s">
        <v>1103</v>
      </c>
      <c r="O438" s="33" t="s">
        <v>1104</v>
      </c>
      <c r="P438" s="33" t="s">
        <v>1105</v>
      </c>
      <c r="Q438" s="14">
        <v>0</v>
      </c>
      <c r="R438" s="14" t="str">
        <f t="shared" si="67"/>
        <v>Text too Long</v>
      </c>
    </row>
    <row r="439" spans="2:18">
      <c r="B439" s="14">
        <v>41009</v>
      </c>
      <c r="C439" s="23">
        <v>1</v>
      </c>
      <c r="D439" s="23"/>
      <c r="E439" s="23"/>
      <c r="F439" s="23"/>
      <c r="G439" s="23">
        <v>1</v>
      </c>
      <c r="H439" s="80">
        <v>41009</v>
      </c>
      <c r="I439" s="16" t="s">
        <v>2812</v>
      </c>
      <c r="J439" s="33" t="s">
        <v>2813</v>
      </c>
      <c r="K439" s="33" t="s">
        <v>3575</v>
      </c>
      <c r="L439" s="33" t="s">
        <v>2814</v>
      </c>
      <c r="M439" s="33" t="s">
        <v>3576</v>
      </c>
      <c r="N439" s="51" t="s">
        <v>2815</v>
      </c>
      <c r="O439" s="33" t="s">
        <v>3577</v>
      </c>
      <c r="P439" s="33" t="s">
        <v>2816</v>
      </c>
      <c r="Q439" s="14">
        <v>0</v>
      </c>
      <c r="R439" s="14" t="str">
        <f t="shared" si="67"/>
        <v>Text too Long</v>
      </c>
    </row>
    <row r="440" spans="2:18">
      <c r="B440" s="14">
        <v>41010</v>
      </c>
      <c r="C440" s="23">
        <v>1</v>
      </c>
      <c r="D440" s="23"/>
      <c r="E440" s="23"/>
      <c r="F440" s="23"/>
      <c r="G440" s="23">
        <v>1</v>
      </c>
      <c r="H440" s="80">
        <v>41010</v>
      </c>
      <c r="I440" s="16" t="s">
        <v>1009</v>
      </c>
      <c r="J440" s="33" t="s">
        <v>1106</v>
      </c>
      <c r="K440" s="33" t="s">
        <v>1107</v>
      </c>
      <c r="L440" s="33" t="s">
        <v>1108</v>
      </c>
      <c r="M440" s="33" t="s">
        <v>1109</v>
      </c>
      <c r="N440" s="51" t="s">
        <v>1110</v>
      </c>
      <c r="O440" s="33" t="s">
        <v>1111</v>
      </c>
      <c r="P440" s="33" t="s">
        <v>1112</v>
      </c>
      <c r="Q440" s="14">
        <v>0</v>
      </c>
      <c r="R440" s="14" t="str">
        <f t="shared" si="67"/>
        <v>Text too Long</v>
      </c>
    </row>
    <row r="441" spans="2:18">
      <c r="B441" s="14">
        <v>41011</v>
      </c>
      <c r="C441" s="23">
        <v>1</v>
      </c>
      <c r="D441" s="23"/>
      <c r="E441" s="23"/>
      <c r="F441" s="23"/>
      <c r="G441" s="23">
        <v>1</v>
      </c>
      <c r="H441" s="80">
        <v>41011</v>
      </c>
      <c r="I441" s="16" t="s">
        <v>2817</v>
      </c>
      <c r="J441" s="33" t="s">
        <v>2818</v>
      </c>
      <c r="K441" s="33" t="s">
        <v>3578</v>
      </c>
      <c r="L441" s="33" t="s">
        <v>2819</v>
      </c>
      <c r="M441" s="33" t="s">
        <v>3579</v>
      </c>
      <c r="N441" s="51" t="s">
        <v>2820</v>
      </c>
      <c r="O441" s="33" t="s">
        <v>3580</v>
      </c>
      <c r="P441" s="33" t="s">
        <v>2821</v>
      </c>
      <c r="Q441" s="14">
        <v>0</v>
      </c>
      <c r="R441" s="14" t="str">
        <f t="shared" si="67"/>
        <v>Text too Long</v>
      </c>
    </row>
    <row r="442" spans="2:18">
      <c r="B442" s="14">
        <v>41012</v>
      </c>
      <c r="C442" s="23">
        <v>1</v>
      </c>
      <c r="D442" s="23"/>
      <c r="E442" s="23"/>
      <c r="F442" s="23"/>
      <c r="G442" s="23">
        <v>1</v>
      </c>
      <c r="H442" s="80">
        <v>41012</v>
      </c>
      <c r="I442" s="16" t="s">
        <v>1010</v>
      </c>
      <c r="J442" s="33" t="s">
        <v>1113</v>
      </c>
      <c r="K442" s="33" t="s">
        <v>1114</v>
      </c>
      <c r="L442" s="33" t="s">
        <v>1115</v>
      </c>
      <c r="M442" s="33" t="s">
        <v>1116</v>
      </c>
      <c r="N442" s="51" t="s">
        <v>1117</v>
      </c>
      <c r="O442" s="33" t="s">
        <v>1118</v>
      </c>
      <c r="P442" s="33" t="s">
        <v>1119</v>
      </c>
      <c r="Q442" s="14">
        <v>0</v>
      </c>
      <c r="R442" s="14" t="str">
        <f t="shared" si="67"/>
        <v>Text too Long</v>
      </c>
    </row>
    <row r="443" spans="2:18">
      <c r="B443" s="14">
        <v>41013</v>
      </c>
      <c r="C443" s="23">
        <v>1</v>
      </c>
      <c r="D443" s="23"/>
      <c r="E443" s="23"/>
      <c r="F443" s="23"/>
      <c r="G443" s="23">
        <v>1</v>
      </c>
      <c r="H443" s="80">
        <v>41013</v>
      </c>
      <c r="I443" s="16" t="s">
        <v>2822</v>
      </c>
      <c r="J443" s="33" t="s">
        <v>2823</v>
      </c>
      <c r="K443" s="33" t="s">
        <v>3581</v>
      </c>
      <c r="L443" s="33" t="s">
        <v>2824</v>
      </c>
      <c r="M443" s="33" t="s">
        <v>3582</v>
      </c>
      <c r="N443" s="51" t="s">
        <v>2825</v>
      </c>
      <c r="O443" s="33" t="s">
        <v>3583</v>
      </c>
      <c r="P443" s="33" t="s">
        <v>2826</v>
      </c>
      <c r="Q443" s="14">
        <v>0</v>
      </c>
      <c r="R443" s="14" t="str">
        <f t="shared" si="67"/>
        <v>Text too Long</v>
      </c>
    </row>
    <row r="444" spans="2:18">
      <c r="B444" s="14">
        <v>41014</v>
      </c>
      <c r="C444" s="23">
        <v>1</v>
      </c>
      <c r="D444" s="23"/>
      <c r="E444" s="23"/>
      <c r="F444" s="23"/>
      <c r="G444" s="23">
        <v>1</v>
      </c>
      <c r="H444" s="80">
        <v>41014</v>
      </c>
      <c r="I444" s="16" t="s">
        <v>1011</v>
      </c>
      <c r="J444" s="33" t="s">
        <v>1120</v>
      </c>
      <c r="K444" s="33" t="s">
        <v>1121</v>
      </c>
      <c r="L444" s="33" t="s">
        <v>1122</v>
      </c>
      <c r="M444" s="33" t="s">
        <v>1123</v>
      </c>
      <c r="N444" s="51" t="s">
        <v>1124</v>
      </c>
      <c r="O444" s="33" t="s">
        <v>1125</v>
      </c>
      <c r="P444" s="33" t="s">
        <v>1126</v>
      </c>
      <c r="Q444" s="14">
        <v>0</v>
      </c>
      <c r="R444" s="14" t="str">
        <f t="shared" si="67"/>
        <v>Text too Long</v>
      </c>
    </row>
    <row r="445" spans="2:18">
      <c r="B445" s="14">
        <v>41015</v>
      </c>
      <c r="C445" s="23">
        <v>1</v>
      </c>
      <c r="D445" s="23"/>
      <c r="E445" s="23"/>
      <c r="F445" s="23"/>
      <c r="G445" s="23">
        <v>1</v>
      </c>
      <c r="H445" s="80">
        <v>41015</v>
      </c>
      <c r="I445" s="16" t="s">
        <v>2102</v>
      </c>
      <c r="J445" s="33" t="s">
        <v>2103</v>
      </c>
      <c r="K445" s="33" t="s">
        <v>3584</v>
      </c>
      <c r="L445" s="33" t="s">
        <v>2104</v>
      </c>
      <c r="M445" s="33" t="s">
        <v>3585</v>
      </c>
      <c r="N445" s="51" t="s">
        <v>2105</v>
      </c>
      <c r="O445" s="33" t="s">
        <v>3586</v>
      </c>
      <c r="P445" s="33" t="s">
        <v>2106</v>
      </c>
      <c r="Q445" s="14">
        <v>0</v>
      </c>
      <c r="R445" s="14" t="str">
        <f t="shared" si="67"/>
        <v>Text too Long</v>
      </c>
    </row>
    <row r="446" spans="2:18">
      <c r="B446" s="14">
        <v>41016</v>
      </c>
      <c r="C446" s="23">
        <v>1</v>
      </c>
      <c r="D446" s="23"/>
      <c r="E446" s="23"/>
      <c r="F446" s="23"/>
      <c r="G446" s="23">
        <v>1</v>
      </c>
      <c r="H446" s="80">
        <v>41016</v>
      </c>
      <c r="I446" s="16" t="s">
        <v>1012</v>
      </c>
      <c r="J446" s="33" t="s">
        <v>1127</v>
      </c>
      <c r="K446" s="33" t="s">
        <v>1128</v>
      </c>
      <c r="L446" s="33" t="s">
        <v>1129</v>
      </c>
      <c r="M446" s="33" t="s">
        <v>1130</v>
      </c>
      <c r="N446" s="51" t="s">
        <v>1131</v>
      </c>
      <c r="O446" s="33" t="s">
        <v>1132</v>
      </c>
      <c r="P446" s="33" t="s">
        <v>1133</v>
      </c>
      <c r="Q446" s="14">
        <v>0</v>
      </c>
      <c r="R446" s="14" t="str">
        <f t="shared" si="67"/>
        <v>Text too Long</v>
      </c>
    </row>
    <row r="447" spans="2:18">
      <c r="B447" s="14">
        <v>41017</v>
      </c>
      <c r="C447" s="23">
        <v>1</v>
      </c>
      <c r="D447" s="23"/>
      <c r="E447" s="23"/>
      <c r="F447" s="23"/>
      <c r="G447" s="23">
        <v>1</v>
      </c>
      <c r="H447" s="80">
        <v>41017</v>
      </c>
      <c r="I447" s="16" t="s">
        <v>2827</v>
      </c>
      <c r="J447" s="33" t="s">
        <v>2828</v>
      </c>
      <c r="K447" s="33" t="s">
        <v>3587</v>
      </c>
      <c r="L447" s="33" t="s">
        <v>2829</v>
      </c>
      <c r="M447" s="33" t="s">
        <v>3588</v>
      </c>
      <c r="N447" s="51" t="s">
        <v>2830</v>
      </c>
      <c r="O447" s="33" t="s">
        <v>3589</v>
      </c>
      <c r="P447" s="33" t="s">
        <v>2831</v>
      </c>
      <c r="Q447" s="14">
        <v>0</v>
      </c>
      <c r="R447" s="14" t="str">
        <f t="shared" si="67"/>
        <v>Text too Long</v>
      </c>
    </row>
    <row r="448" spans="2:18">
      <c r="B448" s="14">
        <v>41018</v>
      </c>
      <c r="C448" s="23">
        <v>1</v>
      </c>
      <c r="D448" s="23"/>
      <c r="E448" s="23"/>
      <c r="F448" s="23"/>
      <c r="G448" s="23">
        <v>1</v>
      </c>
      <c r="H448" s="80">
        <v>41018</v>
      </c>
      <c r="I448" s="16" t="s">
        <v>1013</v>
      </c>
      <c r="J448" s="33" t="s">
        <v>1134</v>
      </c>
      <c r="K448" s="33" t="s">
        <v>1135</v>
      </c>
      <c r="L448" s="33" t="s">
        <v>1136</v>
      </c>
      <c r="M448" s="33" t="s">
        <v>1137</v>
      </c>
      <c r="N448" s="51" t="s">
        <v>1138</v>
      </c>
      <c r="O448" s="33" t="s">
        <v>1139</v>
      </c>
      <c r="P448" s="33" t="s">
        <v>1140</v>
      </c>
      <c r="Q448" s="14">
        <v>0</v>
      </c>
      <c r="R448" s="14" t="str">
        <f t="shared" si="67"/>
        <v>Text too Long</v>
      </c>
    </row>
    <row r="449" spans="2:18">
      <c r="B449" s="14">
        <v>41019</v>
      </c>
      <c r="C449" s="23">
        <v>1</v>
      </c>
      <c r="D449" s="23"/>
      <c r="E449" s="23"/>
      <c r="F449" s="23"/>
      <c r="G449" s="23">
        <v>1</v>
      </c>
      <c r="H449" s="80">
        <v>41019</v>
      </c>
      <c r="I449" s="16" t="s">
        <v>2832</v>
      </c>
      <c r="J449" s="33" t="s">
        <v>2833</v>
      </c>
      <c r="K449" s="33" t="s">
        <v>3590</v>
      </c>
      <c r="L449" s="33" t="s">
        <v>2834</v>
      </c>
      <c r="M449" s="33" t="s">
        <v>3591</v>
      </c>
      <c r="N449" s="51" t="s">
        <v>2835</v>
      </c>
      <c r="O449" s="33" t="s">
        <v>3592</v>
      </c>
      <c r="P449" s="33" t="s">
        <v>2836</v>
      </c>
      <c r="Q449" s="14">
        <v>0</v>
      </c>
      <c r="R449" s="14" t="str">
        <f t="shared" si="67"/>
        <v>Text too Long</v>
      </c>
    </row>
    <row r="450" spans="2:18">
      <c r="B450" s="14">
        <v>41020</v>
      </c>
      <c r="C450" s="23">
        <v>1</v>
      </c>
      <c r="D450" s="23"/>
      <c r="E450" s="23"/>
      <c r="F450" s="23"/>
      <c r="G450" s="23">
        <v>1</v>
      </c>
      <c r="H450" s="80">
        <v>41020</v>
      </c>
      <c r="I450" s="16" t="s">
        <v>1014</v>
      </c>
      <c r="J450" s="33" t="s">
        <v>1141</v>
      </c>
      <c r="K450" s="33" t="s">
        <v>1142</v>
      </c>
      <c r="L450" s="33" t="s">
        <v>1143</v>
      </c>
      <c r="M450" s="33" t="s">
        <v>1144</v>
      </c>
      <c r="N450" s="51" t="s">
        <v>1145</v>
      </c>
      <c r="O450" s="33" t="s">
        <v>1146</v>
      </c>
      <c r="P450" s="33" t="s">
        <v>1147</v>
      </c>
      <c r="Q450" s="14">
        <v>0</v>
      </c>
      <c r="R450" s="14" t="str">
        <f t="shared" si="67"/>
        <v>Text too Long</v>
      </c>
    </row>
    <row r="451" spans="2:18">
      <c r="B451" s="14">
        <f t="shared" ref="B451:B452" si="68">H451</f>
        <v>3005</v>
      </c>
      <c r="C451" s="23">
        <v>1</v>
      </c>
      <c r="D451" s="23"/>
      <c r="E451" s="23"/>
      <c r="F451" s="23" t="s">
        <v>907</v>
      </c>
      <c r="G451" s="23">
        <v>1</v>
      </c>
      <c r="H451" s="80">
        <v>3005</v>
      </c>
      <c r="I451" s="16" t="s">
        <v>90</v>
      </c>
      <c r="J451" s="14" t="s">
        <v>307</v>
      </c>
      <c r="K451" s="14" t="s">
        <v>304</v>
      </c>
      <c r="L451" s="14" t="s">
        <v>305</v>
      </c>
      <c r="M451" s="14" t="s">
        <v>306</v>
      </c>
      <c r="N451" s="14" t="s">
        <v>590</v>
      </c>
      <c r="O451" s="14" t="s">
        <v>591</v>
      </c>
      <c r="P451" s="14" t="s">
        <v>592</v>
      </c>
      <c r="Q451" s="14">
        <v>0</v>
      </c>
      <c r="R451" s="14">
        <f t="shared" ref="R451:R452" si="69">IF(LEN(I451)&gt;=333, "Text too Long", LEN(I451))</f>
        <v>9</v>
      </c>
    </row>
    <row r="452" spans="2:18">
      <c r="B452" s="14">
        <f t="shared" si="68"/>
        <v>4005</v>
      </c>
      <c r="C452" s="23">
        <v>1</v>
      </c>
      <c r="D452" s="23"/>
      <c r="E452" s="23"/>
      <c r="F452" s="23" t="s">
        <v>907</v>
      </c>
      <c r="G452" s="23">
        <v>1</v>
      </c>
      <c r="H452" s="34">
        <v>4005</v>
      </c>
      <c r="I452" s="16" t="s">
        <v>90</v>
      </c>
      <c r="J452" s="14" t="s">
        <v>307</v>
      </c>
      <c r="K452" s="14" t="s">
        <v>304</v>
      </c>
      <c r="L452" s="14" t="s">
        <v>305</v>
      </c>
      <c r="M452" s="14" t="s">
        <v>306</v>
      </c>
      <c r="N452" s="14" t="s">
        <v>590</v>
      </c>
      <c r="O452" s="14" t="s">
        <v>591</v>
      </c>
      <c r="P452" s="14" t="s">
        <v>592</v>
      </c>
      <c r="Q452" s="14">
        <v>0</v>
      </c>
      <c r="R452" s="14">
        <f t="shared" si="69"/>
        <v>9</v>
      </c>
    </row>
    <row r="453" spans="2:18">
      <c r="B453" s="14">
        <f t="shared" ref="B453" si="70">H453</f>
        <v>5005</v>
      </c>
      <c r="C453" s="23">
        <v>1</v>
      </c>
      <c r="D453" s="23"/>
      <c r="E453" s="23"/>
      <c r="F453" s="23" t="s">
        <v>907</v>
      </c>
      <c r="G453" s="23">
        <v>1</v>
      </c>
      <c r="H453" s="80">
        <v>5005</v>
      </c>
      <c r="I453" s="16" t="s">
        <v>3593</v>
      </c>
      <c r="J453" s="33" t="s">
        <v>3594</v>
      </c>
      <c r="K453" s="33" t="s">
        <v>3595</v>
      </c>
      <c r="L453" s="33" t="s">
        <v>3596</v>
      </c>
      <c r="M453" s="33" t="s">
        <v>3597</v>
      </c>
      <c r="N453" s="86" t="s">
        <v>3598</v>
      </c>
      <c r="O453" s="33" t="s">
        <v>3599</v>
      </c>
      <c r="P453" s="33" t="s">
        <v>3600</v>
      </c>
      <c r="Q453" s="14">
        <v>0</v>
      </c>
      <c r="R453" s="14">
        <f t="shared" ref="R453" si="71">IF(LEN(I453)&gt;=333, "Text too Long", LEN(I453))</f>
        <v>32</v>
      </c>
    </row>
    <row r="454" spans="2:18" ht="24">
      <c r="B454" s="14">
        <v>260002</v>
      </c>
      <c r="C454" s="101">
        <v>1</v>
      </c>
      <c r="D454" s="102"/>
      <c r="E454" s="102"/>
      <c r="F454" s="102"/>
      <c r="G454" s="102">
        <v>1</v>
      </c>
      <c r="H454" s="103">
        <v>260002</v>
      </c>
      <c r="I454" s="104" t="s">
        <v>1214</v>
      </c>
      <c r="J454" s="105" t="s">
        <v>1215</v>
      </c>
      <c r="K454" s="105" t="s">
        <v>1216</v>
      </c>
      <c r="L454" s="105" t="s">
        <v>1217</v>
      </c>
      <c r="M454" s="105" t="s">
        <v>1218</v>
      </c>
      <c r="N454" s="105" t="s">
        <v>1219</v>
      </c>
      <c r="O454" s="105" t="s">
        <v>1220</v>
      </c>
      <c r="P454" s="105" t="s">
        <v>1221</v>
      </c>
      <c r="Q454" s="103">
        <v>0</v>
      </c>
      <c r="R454" s="102"/>
    </row>
    <row r="455" spans="2:18">
      <c r="B455" s="14">
        <v>260003</v>
      </c>
      <c r="C455" s="101">
        <v>1</v>
      </c>
      <c r="D455" s="102"/>
      <c r="E455" s="102"/>
      <c r="F455" s="102"/>
      <c r="G455" s="102">
        <v>1</v>
      </c>
      <c r="H455" s="103">
        <v>260003</v>
      </c>
      <c r="I455" s="104" t="s">
        <v>140</v>
      </c>
      <c r="J455" s="105" t="s">
        <v>1222</v>
      </c>
      <c r="K455" s="105" t="s">
        <v>1223</v>
      </c>
      <c r="L455" s="105" t="s">
        <v>1224</v>
      </c>
      <c r="M455" s="105" t="s">
        <v>1223</v>
      </c>
      <c r="N455" s="105" t="s">
        <v>1225</v>
      </c>
      <c r="O455" s="105" t="s">
        <v>1226</v>
      </c>
      <c r="P455" s="105" t="s">
        <v>1227</v>
      </c>
      <c r="Q455" s="103">
        <v>0</v>
      </c>
      <c r="R455" s="102"/>
    </row>
    <row r="456" spans="2:18" ht="36">
      <c r="B456" s="14">
        <f>H456</f>
        <v>260102</v>
      </c>
      <c r="C456" s="101">
        <v>1</v>
      </c>
      <c r="D456" s="102"/>
      <c r="E456" s="102"/>
      <c r="F456" s="102"/>
      <c r="G456" s="102">
        <v>1</v>
      </c>
      <c r="H456" s="103">
        <v>260102</v>
      </c>
      <c r="I456" s="104" t="s">
        <v>1228</v>
      </c>
      <c r="J456" s="105" t="s">
        <v>1229</v>
      </c>
      <c r="K456" s="105" t="s">
        <v>1230</v>
      </c>
      <c r="L456" s="105" t="s">
        <v>1231</v>
      </c>
      <c r="M456" s="105" t="s">
        <v>1232</v>
      </c>
      <c r="N456" s="105" t="s">
        <v>1233</v>
      </c>
      <c r="O456" s="105" t="s">
        <v>1234</v>
      </c>
      <c r="P456" s="105" t="s">
        <v>1235</v>
      </c>
      <c r="Q456" s="103">
        <v>0</v>
      </c>
      <c r="R456" s="102"/>
    </row>
    <row r="457" spans="2:18">
      <c r="B457" s="14">
        <f t="shared" ref="B457:B468" si="72">H457</f>
        <v>260103</v>
      </c>
      <c r="C457" s="101">
        <v>1</v>
      </c>
      <c r="D457" s="102"/>
      <c r="E457" s="102"/>
      <c r="F457" s="102"/>
      <c r="G457" s="102">
        <v>1</v>
      </c>
      <c r="H457" s="103">
        <v>260103</v>
      </c>
      <c r="I457" s="104" t="s">
        <v>138</v>
      </c>
      <c r="J457" s="105" t="s">
        <v>1236</v>
      </c>
      <c r="K457" s="105" t="s">
        <v>1237</v>
      </c>
      <c r="L457" s="105" t="s">
        <v>1238</v>
      </c>
      <c r="M457" s="105" t="s">
        <v>1239</v>
      </c>
      <c r="N457" s="105" t="s">
        <v>1240</v>
      </c>
      <c r="O457" s="105" t="s">
        <v>1241</v>
      </c>
      <c r="P457" s="105" t="s">
        <v>1241</v>
      </c>
      <c r="Q457" s="103">
        <v>0</v>
      </c>
      <c r="R457" s="102"/>
    </row>
    <row r="458" spans="2:18">
      <c r="B458" s="14">
        <f t="shared" si="72"/>
        <v>260104</v>
      </c>
      <c r="C458" s="101">
        <v>1</v>
      </c>
      <c r="D458" s="102"/>
      <c r="E458" s="102"/>
      <c r="F458" s="102"/>
      <c r="G458" s="102">
        <v>1</v>
      </c>
      <c r="H458" s="103">
        <v>260104</v>
      </c>
      <c r="I458" s="104" t="s">
        <v>139</v>
      </c>
      <c r="J458" s="105" t="s">
        <v>139</v>
      </c>
      <c r="K458" s="105" t="s">
        <v>139</v>
      </c>
      <c r="L458" s="105" t="s">
        <v>139</v>
      </c>
      <c r="M458" s="105" t="s">
        <v>139</v>
      </c>
      <c r="N458" s="105" t="s">
        <v>139</v>
      </c>
      <c r="O458" s="105" t="s">
        <v>139</v>
      </c>
      <c r="P458" s="105" t="s">
        <v>139</v>
      </c>
      <c r="Q458" s="103">
        <v>0</v>
      </c>
      <c r="R458" s="102"/>
    </row>
    <row r="459" spans="2:18">
      <c r="B459" s="14">
        <f t="shared" si="72"/>
        <v>260105</v>
      </c>
      <c r="C459" s="101">
        <v>1</v>
      </c>
      <c r="D459" s="102"/>
      <c r="E459" s="102"/>
      <c r="F459" s="102"/>
      <c r="G459" s="102">
        <v>1</v>
      </c>
      <c r="H459" s="103">
        <v>260105</v>
      </c>
      <c r="I459" s="104" t="s">
        <v>141</v>
      </c>
      <c r="J459" s="105" t="s">
        <v>1242</v>
      </c>
      <c r="K459" s="105" t="s">
        <v>1243</v>
      </c>
      <c r="L459" s="105" t="s">
        <v>1244</v>
      </c>
      <c r="M459" s="105" t="s">
        <v>1243</v>
      </c>
      <c r="N459" s="105" t="s">
        <v>1245</v>
      </c>
      <c r="O459" s="105" t="s">
        <v>1246</v>
      </c>
      <c r="P459" s="105" t="s">
        <v>1247</v>
      </c>
      <c r="Q459" s="103">
        <v>0</v>
      </c>
      <c r="R459" s="102"/>
    </row>
    <row r="460" spans="2:18">
      <c r="B460" s="14">
        <f t="shared" si="72"/>
        <v>260106</v>
      </c>
      <c r="C460" s="101">
        <v>1</v>
      </c>
      <c r="D460" s="102"/>
      <c r="E460" s="102"/>
      <c r="F460" s="102"/>
      <c r="G460" s="102">
        <v>1</v>
      </c>
      <c r="H460" s="103">
        <v>260106</v>
      </c>
      <c r="I460" s="104" t="s">
        <v>142</v>
      </c>
      <c r="J460" s="105" t="s">
        <v>1248</v>
      </c>
      <c r="K460" s="105" t="s">
        <v>1249</v>
      </c>
      <c r="L460" s="105" t="s">
        <v>1249</v>
      </c>
      <c r="M460" s="105" t="s">
        <v>1250</v>
      </c>
      <c r="N460" s="105" t="s">
        <v>1251</v>
      </c>
      <c r="O460" s="105" t="s">
        <v>1252</v>
      </c>
      <c r="P460" s="105" t="s">
        <v>1253</v>
      </c>
      <c r="Q460" s="103">
        <v>0</v>
      </c>
      <c r="R460" s="102"/>
    </row>
    <row r="461" spans="2:18">
      <c r="B461" s="14">
        <f t="shared" si="72"/>
        <v>260107</v>
      </c>
      <c r="C461" s="101">
        <v>1</v>
      </c>
      <c r="D461" s="102"/>
      <c r="E461" s="102"/>
      <c r="F461" s="102"/>
      <c r="G461" s="102">
        <v>1</v>
      </c>
      <c r="H461" s="103">
        <v>260107</v>
      </c>
      <c r="I461" s="104" t="s">
        <v>137</v>
      </c>
      <c r="J461" s="105" t="s">
        <v>1254</v>
      </c>
      <c r="K461" s="105" t="s">
        <v>1255</v>
      </c>
      <c r="L461" s="105" t="s">
        <v>1256</v>
      </c>
      <c r="M461" s="105" t="s">
        <v>1255</v>
      </c>
      <c r="N461" s="105" t="s">
        <v>1257</v>
      </c>
      <c r="O461" s="105" t="s">
        <v>1258</v>
      </c>
      <c r="P461" s="105" t="s">
        <v>1259</v>
      </c>
      <c r="Q461" s="103">
        <v>0</v>
      </c>
      <c r="R461" s="102"/>
    </row>
    <row r="462" spans="2:18" ht="24">
      <c r="B462" s="14">
        <f t="shared" ref="B462" si="73">H462</f>
        <v>260108</v>
      </c>
      <c r="C462" s="101">
        <v>1</v>
      </c>
      <c r="D462" s="102"/>
      <c r="E462" s="102"/>
      <c r="F462" s="102"/>
      <c r="G462" s="102">
        <v>1</v>
      </c>
      <c r="H462" s="103">
        <v>260108</v>
      </c>
      <c r="I462" s="104" t="s">
        <v>1260</v>
      </c>
      <c r="J462" s="105" t="s">
        <v>1261</v>
      </c>
      <c r="K462" s="105" t="s">
        <v>1262</v>
      </c>
      <c r="L462" s="105" t="s">
        <v>1263</v>
      </c>
      <c r="M462" s="105" t="s">
        <v>1262</v>
      </c>
      <c r="N462" s="105" t="s">
        <v>1264</v>
      </c>
      <c r="O462" s="105" t="s">
        <v>1265</v>
      </c>
      <c r="P462" s="105" t="s">
        <v>1266</v>
      </c>
      <c r="Q462" s="103">
        <v>0</v>
      </c>
      <c r="R462" s="102"/>
    </row>
    <row r="463" spans="2:18" ht="29.25" customHeight="1">
      <c r="B463" s="14">
        <f t="shared" si="72"/>
        <v>260202</v>
      </c>
      <c r="C463" s="101">
        <v>1</v>
      </c>
      <c r="D463" s="102"/>
      <c r="E463" s="102"/>
      <c r="F463" s="102"/>
      <c r="G463" s="102">
        <v>1</v>
      </c>
      <c r="H463" s="103">
        <v>260202</v>
      </c>
      <c r="I463" s="104" t="s">
        <v>1267</v>
      </c>
      <c r="J463" s="105" t="s">
        <v>1268</v>
      </c>
      <c r="K463" s="105" t="s">
        <v>2837</v>
      </c>
      <c r="L463" s="105" t="s">
        <v>1269</v>
      </c>
      <c r="M463" s="105" t="s">
        <v>1270</v>
      </c>
      <c r="N463" s="105" t="s">
        <v>1271</v>
      </c>
      <c r="O463" s="105" t="s">
        <v>1272</v>
      </c>
      <c r="P463" s="105" t="s">
        <v>1273</v>
      </c>
      <c r="Q463" s="103">
        <v>0</v>
      </c>
      <c r="R463" s="102"/>
    </row>
    <row r="464" spans="2:18" ht="29.25" customHeight="1">
      <c r="B464" s="14">
        <f t="shared" si="72"/>
        <v>260203</v>
      </c>
      <c r="C464" s="101">
        <v>1</v>
      </c>
      <c r="D464" s="102"/>
      <c r="E464" s="102"/>
      <c r="F464" s="102"/>
      <c r="G464" s="102">
        <v>1</v>
      </c>
      <c r="H464" s="103">
        <v>260203</v>
      </c>
      <c r="I464" s="106" t="s">
        <v>1274</v>
      </c>
      <c r="J464" s="105" t="s">
        <v>1275</v>
      </c>
      <c r="K464" s="105" t="s">
        <v>2838</v>
      </c>
      <c r="L464" s="105" t="s">
        <v>1276</v>
      </c>
      <c r="M464" s="105" t="s">
        <v>1277</v>
      </c>
      <c r="N464" s="105" t="s">
        <v>1278</v>
      </c>
      <c r="O464" s="105" t="s">
        <v>2839</v>
      </c>
      <c r="P464" s="105" t="s">
        <v>1279</v>
      </c>
      <c r="Q464" s="103">
        <v>0</v>
      </c>
      <c r="R464" s="102"/>
    </row>
    <row r="465" spans="2:18" ht="29.25" customHeight="1" thickBot="1">
      <c r="B465" s="76">
        <f t="shared" si="72"/>
        <v>260204</v>
      </c>
      <c r="C465" s="101">
        <v>1</v>
      </c>
      <c r="D465" s="102"/>
      <c r="E465" s="102"/>
      <c r="F465" s="102"/>
      <c r="G465" s="102">
        <v>1</v>
      </c>
      <c r="H465" s="103">
        <v>260204</v>
      </c>
      <c r="I465" s="104" t="s">
        <v>1280</v>
      </c>
      <c r="J465" s="105" t="s">
        <v>1281</v>
      </c>
      <c r="K465" s="105" t="s">
        <v>2840</v>
      </c>
      <c r="L465" s="105" t="s">
        <v>1282</v>
      </c>
      <c r="M465" s="105" t="s">
        <v>1283</v>
      </c>
      <c r="N465" s="105" t="s">
        <v>1284</v>
      </c>
      <c r="O465" s="105" t="s">
        <v>1285</v>
      </c>
      <c r="P465" s="105" t="s">
        <v>1286</v>
      </c>
      <c r="Q465" s="103">
        <v>0</v>
      </c>
      <c r="R465" s="102"/>
    </row>
    <row r="466" spans="2:18" ht="29.25" customHeight="1">
      <c r="B466" s="14">
        <f t="shared" si="72"/>
        <v>260205</v>
      </c>
      <c r="C466" s="101">
        <v>1</v>
      </c>
      <c r="D466" s="102"/>
      <c r="E466" s="102"/>
      <c r="F466" s="102"/>
      <c r="G466" s="102">
        <v>1</v>
      </c>
      <c r="H466" s="103">
        <v>260205</v>
      </c>
      <c r="I466" s="104" t="s">
        <v>1287</v>
      </c>
      <c r="J466" s="105" t="s">
        <v>1288</v>
      </c>
      <c r="K466" s="105" t="s">
        <v>2841</v>
      </c>
      <c r="L466" s="105" t="s">
        <v>3601</v>
      </c>
      <c r="M466" s="105" t="s">
        <v>1289</v>
      </c>
      <c r="N466" s="105" t="s">
        <v>1290</v>
      </c>
      <c r="O466" s="105" t="s">
        <v>1291</v>
      </c>
      <c r="P466" s="105" t="s">
        <v>1292</v>
      </c>
      <c r="Q466" s="103">
        <v>0</v>
      </c>
      <c r="R466" s="102"/>
    </row>
    <row r="467" spans="2:18" ht="29.25" customHeight="1">
      <c r="B467" s="14">
        <f t="shared" si="72"/>
        <v>260206</v>
      </c>
      <c r="C467" s="101">
        <v>1</v>
      </c>
      <c r="D467" s="102"/>
      <c r="E467" s="102"/>
      <c r="F467" s="102"/>
      <c r="G467" s="102">
        <v>1</v>
      </c>
      <c r="H467" s="103">
        <v>260206</v>
      </c>
      <c r="I467" s="104" t="s">
        <v>1293</v>
      </c>
      <c r="J467" s="105" t="s">
        <v>1294</v>
      </c>
      <c r="K467" s="105" t="s">
        <v>1295</v>
      </c>
      <c r="L467" s="105" t="s">
        <v>1296</v>
      </c>
      <c r="M467" s="105" t="s">
        <v>1297</v>
      </c>
      <c r="N467" s="105" t="s">
        <v>2107</v>
      </c>
      <c r="O467" s="105" t="s">
        <v>1298</v>
      </c>
      <c r="P467" s="105" t="s">
        <v>1299</v>
      </c>
      <c r="Q467" s="103">
        <v>0</v>
      </c>
      <c r="R467" s="102"/>
    </row>
    <row r="468" spans="2:18" ht="29.25" customHeight="1" thickBot="1">
      <c r="B468" s="76">
        <f t="shared" si="72"/>
        <v>260207</v>
      </c>
      <c r="C468" s="107">
        <v>1</v>
      </c>
      <c r="D468" s="108"/>
      <c r="E468" s="108"/>
      <c r="F468" s="108"/>
      <c r="G468" s="108">
        <v>1</v>
      </c>
      <c r="H468" s="109">
        <v>260207</v>
      </c>
      <c r="I468" s="110" t="s">
        <v>1300</v>
      </c>
      <c r="J468" s="111" t="s">
        <v>1301</v>
      </c>
      <c r="K468" s="111" t="s">
        <v>1302</v>
      </c>
      <c r="L468" s="111" t="s">
        <v>1303</v>
      </c>
      <c r="M468" s="111" t="s">
        <v>1304</v>
      </c>
      <c r="N468" s="111" t="s">
        <v>1305</v>
      </c>
      <c r="O468" s="111" t="s">
        <v>1306</v>
      </c>
      <c r="P468" s="111" t="s">
        <v>1307</v>
      </c>
      <c r="Q468" s="109">
        <v>0</v>
      </c>
      <c r="R468" s="108"/>
    </row>
    <row r="469" spans="2:18" ht="29.25" customHeight="1" thickBot="1">
      <c r="B469" s="76">
        <f t="shared" ref="B469" si="74">H469</f>
        <v>260208</v>
      </c>
      <c r="C469" s="107">
        <v>1</v>
      </c>
      <c r="D469" s="108"/>
      <c r="E469" s="108"/>
      <c r="F469" s="108"/>
      <c r="G469" s="108">
        <v>1</v>
      </c>
      <c r="H469" s="109">
        <v>260208</v>
      </c>
      <c r="I469" s="110" t="s">
        <v>1308</v>
      </c>
      <c r="J469" s="111" t="s">
        <v>1309</v>
      </c>
      <c r="K469" s="111" t="s">
        <v>2842</v>
      </c>
      <c r="L469" s="111" t="s">
        <v>1310</v>
      </c>
      <c r="M469" s="111" t="s">
        <v>1311</v>
      </c>
      <c r="N469" s="111" t="s">
        <v>1312</v>
      </c>
      <c r="O469" s="111" t="s">
        <v>1313</v>
      </c>
      <c r="P469" s="111" t="s">
        <v>1314</v>
      </c>
      <c r="Q469" s="109">
        <v>0</v>
      </c>
      <c r="R469" s="108"/>
    </row>
    <row r="470" spans="2:18">
      <c r="B470" s="42">
        <f>H470</f>
        <v>270001</v>
      </c>
      <c r="C470" s="42">
        <v>1</v>
      </c>
      <c r="D470" s="42"/>
      <c r="E470" s="42"/>
      <c r="F470" s="42"/>
      <c r="G470" s="42">
        <v>1</v>
      </c>
      <c r="H470" s="42">
        <v>270001</v>
      </c>
      <c r="I470" s="43" t="s">
        <v>173</v>
      </c>
      <c r="J470" s="44" t="s">
        <v>2201</v>
      </c>
      <c r="K470" s="44" t="s">
        <v>2201</v>
      </c>
      <c r="L470" s="44" t="s">
        <v>2201</v>
      </c>
      <c r="M470" s="44" t="s">
        <v>2201</v>
      </c>
      <c r="N470" s="14" t="s">
        <v>2201</v>
      </c>
      <c r="O470" s="14" t="s">
        <v>2201</v>
      </c>
      <c r="P470" s="14" t="s">
        <v>2201</v>
      </c>
      <c r="Q470" s="42">
        <v>0</v>
      </c>
      <c r="R470" s="14">
        <f>IF(LEN(I470)&gt;=333, "Text too Long", LEN(I470))</f>
        <v>12</v>
      </c>
    </row>
    <row r="471" spans="2:18">
      <c r="B471" s="14">
        <f t="shared" ref="B471:B473" si="75">H471</f>
        <v>270002</v>
      </c>
      <c r="C471" s="23">
        <v>1</v>
      </c>
      <c r="D471" s="23"/>
      <c r="E471" s="23"/>
      <c r="F471" s="23"/>
      <c r="G471" s="23">
        <v>1</v>
      </c>
      <c r="H471" s="14">
        <v>270002</v>
      </c>
      <c r="I471" s="16" t="s">
        <v>176</v>
      </c>
      <c r="J471" s="33" t="s">
        <v>2843</v>
      </c>
      <c r="K471" s="33" t="s">
        <v>2844</v>
      </c>
      <c r="L471" s="33" t="s">
        <v>2845</v>
      </c>
      <c r="M471" s="33" t="s">
        <v>2846</v>
      </c>
      <c r="N471" s="14" t="s">
        <v>2847</v>
      </c>
      <c r="O471" s="14" t="s">
        <v>2848</v>
      </c>
      <c r="P471" s="14" t="s">
        <v>2849</v>
      </c>
      <c r="Q471" s="14">
        <v>0</v>
      </c>
      <c r="R471" s="14"/>
    </row>
    <row r="472" spans="2:18">
      <c r="B472" s="14">
        <f t="shared" si="75"/>
        <v>270003</v>
      </c>
      <c r="C472" s="23">
        <v>1</v>
      </c>
      <c r="D472" s="23"/>
      <c r="E472" s="23"/>
      <c r="F472" s="23"/>
      <c r="G472" s="23">
        <v>1</v>
      </c>
      <c r="H472" s="14">
        <v>270003</v>
      </c>
      <c r="I472" s="16" t="s">
        <v>176</v>
      </c>
      <c r="J472" s="33" t="s">
        <v>2843</v>
      </c>
      <c r="K472" s="33" t="s">
        <v>2844</v>
      </c>
      <c r="L472" s="33" t="s">
        <v>2845</v>
      </c>
      <c r="M472" s="33" t="s">
        <v>2846</v>
      </c>
      <c r="N472" s="14" t="s">
        <v>2847</v>
      </c>
      <c r="O472" s="14" t="s">
        <v>2848</v>
      </c>
      <c r="P472" s="14" t="s">
        <v>2849</v>
      </c>
      <c r="Q472" s="14">
        <v>0</v>
      </c>
      <c r="R472" s="14"/>
    </row>
    <row r="473" spans="2:18">
      <c r="B473" s="14">
        <f t="shared" si="75"/>
        <v>270004</v>
      </c>
      <c r="C473" s="23">
        <v>1</v>
      </c>
      <c r="D473" s="23"/>
      <c r="E473" s="23"/>
      <c r="F473" s="23"/>
      <c r="G473" s="23">
        <v>1</v>
      </c>
      <c r="H473" s="14">
        <v>270004</v>
      </c>
      <c r="I473" s="16" t="s">
        <v>242</v>
      </c>
      <c r="J473" s="33" t="s">
        <v>2850</v>
      </c>
      <c r="K473" s="33" t="s">
        <v>2851</v>
      </c>
      <c r="L473" s="33" t="s">
        <v>2852</v>
      </c>
      <c r="M473" s="33" t="s">
        <v>2853</v>
      </c>
      <c r="N473" s="14" t="s">
        <v>2854</v>
      </c>
      <c r="O473" s="14" t="s">
        <v>2855</v>
      </c>
      <c r="P473" s="14" t="s">
        <v>2856</v>
      </c>
      <c r="Q473" s="14">
        <v>0</v>
      </c>
      <c r="R473" s="14"/>
    </row>
    <row r="474" spans="2:18">
      <c r="B474" s="42">
        <f t="shared" ref="B474" si="76">H474</f>
        <v>280001</v>
      </c>
      <c r="C474" s="42">
        <v>1</v>
      </c>
      <c r="D474" s="42"/>
      <c r="E474" s="42"/>
      <c r="F474" s="42"/>
      <c r="G474" s="42">
        <v>1</v>
      </c>
      <c r="H474" s="42">
        <v>280001</v>
      </c>
      <c r="I474" s="43" t="s">
        <v>174</v>
      </c>
      <c r="J474" s="44" t="s">
        <v>2201</v>
      </c>
      <c r="K474" s="44" t="s">
        <v>2201</v>
      </c>
      <c r="L474" s="44" t="s">
        <v>2201</v>
      </c>
      <c r="M474" s="44" t="s">
        <v>2201</v>
      </c>
      <c r="N474" s="14" t="s">
        <v>2201</v>
      </c>
      <c r="O474" s="14" t="s">
        <v>2201</v>
      </c>
      <c r="P474" s="14" t="s">
        <v>2201</v>
      </c>
      <c r="Q474" s="42">
        <v>0</v>
      </c>
      <c r="R474" s="14">
        <f>IF(LEN(I474)&gt;=333, "Text too Long", LEN(I474))</f>
        <v>14</v>
      </c>
    </row>
    <row r="475" spans="2:18">
      <c r="B475" s="14">
        <f t="shared" ref="B475:B476" si="77">H475</f>
        <v>280002</v>
      </c>
      <c r="C475" s="23">
        <v>1</v>
      </c>
      <c r="D475" s="23"/>
      <c r="E475" s="23"/>
      <c r="F475" s="23"/>
      <c r="G475" s="23">
        <v>1</v>
      </c>
      <c r="H475" s="14">
        <v>280002</v>
      </c>
      <c r="I475" s="16" t="s">
        <v>198</v>
      </c>
      <c r="J475" s="33" t="s">
        <v>2857</v>
      </c>
      <c r="K475" s="33" t="s">
        <v>2858</v>
      </c>
      <c r="L475" s="33" t="s">
        <v>2859</v>
      </c>
      <c r="M475" s="33" t="s">
        <v>2860</v>
      </c>
      <c r="N475" s="14" t="s">
        <v>2861</v>
      </c>
      <c r="O475" s="14" t="s">
        <v>2862</v>
      </c>
      <c r="P475" s="14" t="s">
        <v>2863</v>
      </c>
      <c r="Q475" s="14">
        <v>0</v>
      </c>
      <c r="R475" s="14"/>
    </row>
    <row r="476" spans="2:18">
      <c r="B476" s="14">
        <f t="shared" si="77"/>
        <v>280003</v>
      </c>
      <c r="C476" s="23">
        <v>1</v>
      </c>
      <c r="D476" s="23"/>
      <c r="E476" s="23"/>
      <c r="F476" s="23"/>
      <c r="G476" s="23">
        <v>1</v>
      </c>
      <c r="H476" s="14">
        <v>280003</v>
      </c>
      <c r="I476" s="16" t="s">
        <v>177</v>
      </c>
      <c r="J476" s="33" t="s">
        <v>2108</v>
      </c>
      <c r="K476" s="33" t="s">
        <v>2109</v>
      </c>
      <c r="L476" s="33" t="s">
        <v>2109</v>
      </c>
      <c r="M476" s="33" t="s">
        <v>2110</v>
      </c>
      <c r="N476" s="14" t="s">
        <v>2111</v>
      </c>
      <c r="O476" s="14" t="s">
        <v>2112</v>
      </c>
      <c r="P476" s="14" t="s">
        <v>2113</v>
      </c>
      <c r="Q476" s="14">
        <v>0</v>
      </c>
      <c r="R476" s="14"/>
    </row>
    <row r="477" spans="2:18">
      <c r="B477" s="14">
        <f t="shared" ref="B477" si="78">H477</f>
        <v>280004</v>
      </c>
      <c r="C477" s="23">
        <v>1</v>
      </c>
      <c r="D477" s="23"/>
      <c r="E477" s="23"/>
      <c r="F477" s="23"/>
      <c r="G477" s="23">
        <v>1</v>
      </c>
      <c r="H477" s="14">
        <v>280004</v>
      </c>
      <c r="I477" s="16" t="s">
        <v>243</v>
      </c>
      <c r="J477" s="33" t="s">
        <v>534</v>
      </c>
      <c r="K477" s="33" t="s">
        <v>1194</v>
      </c>
      <c r="L477" s="33" t="s">
        <v>1195</v>
      </c>
      <c r="M477" s="33" t="s">
        <v>825</v>
      </c>
      <c r="N477" s="14" t="s">
        <v>774</v>
      </c>
      <c r="O477" s="14" t="s">
        <v>775</v>
      </c>
      <c r="P477" s="14" t="s">
        <v>776</v>
      </c>
      <c r="Q477" s="14">
        <v>0</v>
      </c>
      <c r="R477" s="14"/>
    </row>
    <row r="478" spans="2:18">
      <c r="B478" s="42">
        <f t="shared" ref="B478" si="79">H478</f>
        <v>290001</v>
      </c>
      <c r="C478" s="42">
        <v>1</v>
      </c>
      <c r="D478" s="42"/>
      <c r="E478" s="42"/>
      <c r="F478" s="42"/>
      <c r="G478" s="42">
        <v>1</v>
      </c>
      <c r="H478" s="42">
        <v>290001</v>
      </c>
      <c r="I478" s="43" t="s">
        <v>175</v>
      </c>
      <c r="J478" s="44" t="s">
        <v>2201</v>
      </c>
      <c r="K478" s="44" t="s">
        <v>2201</v>
      </c>
      <c r="L478" s="44" t="s">
        <v>2201</v>
      </c>
      <c r="M478" s="44" t="s">
        <v>2201</v>
      </c>
      <c r="N478" s="14" t="s">
        <v>2201</v>
      </c>
      <c r="O478" s="14" t="s">
        <v>2201</v>
      </c>
      <c r="P478" s="14" t="s">
        <v>2201</v>
      </c>
      <c r="Q478" s="42">
        <v>0</v>
      </c>
      <c r="R478" s="14">
        <f>IF(LEN(I478)&gt;=333, "Text too Long", LEN(I478))</f>
        <v>12</v>
      </c>
    </row>
    <row r="479" spans="2:18">
      <c r="B479" s="14">
        <f t="shared" ref="B479:B480" si="80">H479</f>
        <v>290002</v>
      </c>
      <c r="C479" s="23">
        <v>1</v>
      </c>
      <c r="D479" s="23"/>
      <c r="E479" s="23"/>
      <c r="F479" s="23"/>
      <c r="G479" s="23">
        <v>1</v>
      </c>
      <c r="H479" s="14">
        <v>290002</v>
      </c>
      <c r="I479" s="16" t="s">
        <v>256</v>
      </c>
      <c r="J479" s="33" t="s">
        <v>2114</v>
      </c>
      <c r="K479" s="33" t="s">
        <v>2864</v>
      </c>
      <c r="L479" s="33" t="s">
        <v>2115</v>
      </c>
      <c r="M479" s="33" t="s">
        <v>2116</v>
      </c>
      <c r="N479" s="14" t="s">
        <v>2865</v>
      </c>
      <c r="O479" s="14" t="s">
        <v>2117</v>
      </c>
      <c r="P479" s="14" t="s">
        <v>2866</v>
      </c>
      <c r="Q479" s="14">
        <v>0</v>
      </c>
      <c r="R479" s="14"/>
    </row>
    <row r="480" spans="2:18">
      <c r="B480" s="14">
        <f t="shared" si="80"/>
        <v>290003</v>
      </c>
      <c r="C480" s="23">
        <v>1</v>
      </c>
      <c r="D480" s="23"/>
      <c r="E480" s="23"/>
      <c r="F480" s="23"/>
      <c r="G480" s="23">
        <v>1</v>
      </c>
      <c r="H480" s="14">
        <v>290003</v>
      </c>
      <c r="I480" s="16" t="s">
        <v>257</v>
      </c>
      <c r="J480" s="33" t="s">
        <v>2118</v>
      </c>
      <c r="K480" s="33" t="s">
        <v>2867</v>
      </c>
      <c r="L480" s="33" t="s">
        <v>2119</v>
      </c>
      <c r="M480" s="33" t="s">
        <v>2120</v>
      </c>
      <c r="N480" s="14" t="s">
        <v>2868</v>
      </c>
      <c r="O480" s="14" t="s">
        <v>2121</v>
      </c>
      <c r="P480" s="14" t="s">
        <v>2122</v>
      </c>
      <c r="Q480" s="14">
        <v>0</v>
      </c>
      <c r="R480" s="14"/>
    </row>
    <row r="481" spans="2:18">
      <c r="B481" s="14">
        <f>H481</f>
        <v>290004</v>
      </c>
      <c r="C481" s="23">
        <v>1</v>
      </c>
      <c r="D481" s="23"/>
      <c r="E481" s="23"/>
      <c r="F481" s="23"/>
      <c r="G481" s="23">
        <v>1</v>
      </c>
      <c r="H481" s="14">
        <v>290004</v>
      </c>
      <c r="I481" s="16" t="s">
        <v>244</v>
      </c>
      <c r="J481" s="33" t="s">
        <v>3602</v>
      </c>
      <c r="K481" s="33" t="s">
        <v>2869</v>
      </c>
      <c r="L481" s="33" t="s">
        <v>2870</v>
      </c>
      <c r="M481" s="33" t="s">
        <v>3603</v>
      </c>
      <c r="N481" s="14" t="s">
        <v>2871</v>
      </c>
      <c r="O481" s="14" t="s">
        <v>2123</v>
      </c>
      <c r="P481" s="14" t="s">
        <v>3604</v>
      </c>
      <c r="Q481" s="14">
        <v>0</v>
      </c>
      <c r="R481" s="14"/>
    </row>
    <row r="482" spans="2:18">
      <c r="B482" s="14">
        <f t="shared" ref="B482:B492" si="81">H482</f>
        <v>310002</v>
      </c>
      <c r="C482" s="23">
        <v>1</v>
      </c>
      <c r="D482" s="14"/>
      <c r="E482" s="14"/>
      <c r="F482" s="14"/>
      <c r="G482" s="14">
        <v>1</v>
      </c>
      <c r="H482" s="53">
        <v>310002</v>
      </c>
      <c r="I482" s="54" t="s">
        <v>2124</v>
      </c>
      <c r="J482" s="33" t="s">
        <v>2125</v>
      </c>
      <c r="K482" s="33" t="s">
        <v>2126</v>
      </c>
      <c r="L482" s="33" t="s">
        <v>2127</v>
      </c>
      <c r="M482" s="33" t="s">
        <v>2126</v>
      </c>
      <c r="N482" s="33" t="s">
        <v>2128</v>
      </c>
      <c r="O482" s="33" t="s">
        <v>2129</v>
      </c>
      <c r="P482" s="33" t="s">
        <v>2130</v>
      </c>
      <c r="Q482" s="53">
        <v>0</v>
      </c>
      <c r="R482" s="14">
        <v>2</v>
      </c>
    </row>
    <row r="483" spans="2:18">
      <c r="B483" s="14">
        <f t="shared" si="81"/>
        <v>320002</v>
      </c>
      <c r="C483" s="23">
        <v>1</v>
      </c>
      <c r="D483" s="14"/>
      <c r="E483" s="14"/>
      <c r="F483" s="14"/>
      <c r="G483" s="14">
        <v>1</v>
      </c>
      <c r="H483" s="53">
        <v>320002</v>
      </c>
      <c r="I483" s="54" t="s">
        <v>826</v>
      </c>
      <c r="J483" s="33" t="s">
        <v>895</v>
      </c>
      <c r="K483" s="33" t="s">
        <v>896</v>
      </c>
      <c r="L483" s="33" t="s">
        <v>897</v>
      </c>
      <c r="M483" s="33" t="s">
        <v>898</v>
      </c>
      <c r="N483" s="33" t="s">
        <v>899</v>
      </c>
      <c r="O483" s="33" t="s">
        <v>900</v>
      </c>
      <c r="P483" s="33" t="s">
        <v>901</v>
      </c>
      <c r="Q483" s="53">
        <v>0</v>
      </c>
      <c r="R483" s="14">
        <v>10</v>
      </c>
    </row>
    <row r="484" spans="2:18">
      <c r="B484" s="14">
        <f t="shared" si="81"/>
        <v>320003</v>
      </c>
      <c r="C484" s="23">
        <v>1</v>
      </c>
      <c r="D484" s="14"/>
      <c r="E484" s="14"/>
      <c r="F484" s="14"/>
      <c r="G484" s="14">
        <v>1</v>
      </c>
      <c r="H484" s="53">
        <v>320003</v>
      </c>
      <c r="I484" s="54" t="s">
        <v>2131</v>
      </c>
      <c r="J484" s="33" t="s">
        <v>2872</v>
      </c>
      <c r="K484" s="33" t="s">
        <v>2132</v>
      </c>
      <c r="L484" s="33" t="s">
        <v>2133</v>
      </c>
      <c r="M484" s="33" t="s">
        <v>2134</v>
      </c>
      <c r="N484" s="33" t="s">
        <v>2135</v>
      </c>
      <c r="O484" s="33" t="s">
        <v>2136</v>
      </c>
      <c r="P484" s="33" t="s">
        <v>2137</v>
      </c>
      <c r="Q484" s="53">
        <v>0</v>
      </c>
      <c r="R484" s="14">
        <v>12</v>
      </c>
    </row>
    <row r="485" spans="2:18">
      <c r="B485" s="14">
        <f t="shared" si="81"/>
        <v>320004</v>
      </c>
      <c r="C485" s="23">
        <v>1</v>
      </c>
      <c r="D485" s="14"/>
      <c r="E485" s="14"/>
      <c r="F485" s="14"/>
      <c r="G485" s="14">
        <v>1</v>
      </c>
      <c r="H485" s="53">
        <v>320004</v>
      </c>
      <c r="I485" s="54" t="s">
        <v>2138</v>
      </c>
      <c r="J485" s="33" t="s">
        <v>2873</v>
      </c>
      <c r="K485" s="33" t="s">
        <v>2139</v>
      </c>
      <c r="L485" s="33" t="s">
        <v>2140</v>
      </c>
      <c r="M485" s="33" t="s">
        <v>2141</v>
      </c>
      <c r="N485" s="33" t="s">
        <v>2142</v>
      </c>
      <c r="O485" s="33" t="s">
        <v>2143</v>
      </c>
      <c r="P485" s="33" t="s">
        <v>2144</v>
      </c>
      <c r="Q485" s="53">
        <v>0</v>
      </c>
      <c r="R485" s="14">
        <v>12</v>
      </c>
    </row>
    <row r="486" spans="2:18">
      <c r="B486" s="14">
        <f t="shared" si="81"/>
        <v>320005</v>
      </c>
      <c r="C486" s="23">
        <v>1</v>
      </c>
      <c r="D486" s="14"/>
      <c r="E486" s="14"/>
      <c r="F486" s="14"/>
      <c r="G486" s="14">
        <v>1</v>
      </c>
      <c r="H486" s="53">
        <v>320005</v>
      </c>
      <c r="I486" s="54" t="s">
        <v>827</v>
      </c>
      <c r="J486" s="33" t="s">
        <v>902</v>
      </c>
      <c r="K486" s="33" t="s">
        <v>903</v>
      </c>
      <c r="L486" s="33" t="s">
        <v>903</v>
      </c>
      <c r="M486" s="33" t="s">
        <v>526</v>
      </c>
      <c r="N486" s="33" t="s">
        <v>904</v>
      </c>
      <c r="O486" s="33" t="s">
        <v>905</v>
      </c>
      <c r="P486" s="33" t="s">
        <v>906</v>
      </c>
      <c r="Q486" s="53">
        <v>0</v>
      </c>
      <c r="R486" s="14">
        <v>4</v>
      </c>
    </row>
    <row r="487" spans="2:18">
      <c r="B487" s="14">
        <f t="shared" si="81"/>
        <v>320006</v>
      </c>
      <c r="C487" s="23">
        <v>1</v>
      </c>
      <c r="D487" s="14"/>
      <c r="E487" s="14"/>
      <c r="F487" s="14"/>
      <c r="G487" s="14">
        <v>1</v>
      </c>
      <c r="H487" s="53">
        <v>320006</v>
      </c>
      <c r="I487" s="54" t="s">
        <v>2145</v>
      </c>
      <c r="J487" s="33" t="s">
        <v>2146</v>
      </c>
      <c r="K487" s="33" t="s">
        <v>2147</v>
      </c>
      <c r="L487" s="33" t="s">
        <v>2148</v>
      </c>
      <c r="M487" s="33" t="s">
        <v>2149</v>
      </c>
      <c r="N487" s="33" t="s">
        <v>2150</v>
      </c>
      <c r="O487" s="33" t="s">
        <v>2151</v>
      </c>
      <c r="P487" s="33" t="s">
        <v>2152</v>
      </c>
      <c r="Q487" s="53">
        <v>0</v>
      </c>
      <c r="R487" s="14">
        <v>5</v>
      </c>
    </row>
    <row r="488" spans="2:18">
      <c r="B488" s="14">
        <f t="shared" si="81"/>
        <v>330002</v>
      </c>
      <c r="C488" s="23">
        <v>1</v>
      </c>
      <c r="D488" s="14"/>
      <c r="E488" s="14"/>
      <c r="F488" s="14"/>
      <c r="G488" s="14">
        <v>1</v>
      </c>
      <c r="H488" s="53">
        <v>330002</v>
      </c>
      <c r="I488" s="54" t="s">
        <v>2153</v>
      </c>
      <c r="J488" s="33" t="s">
        <v>2874</v>
      </c>
      <c r="K488" s="33" t="s">
        <v>2875</v>
      </c>
      <c r="L488" s="33" t="s">
        <v>2154</v>
      </c>
      <c r="M488" s="33" t="s">
        <v>2155</v>
      </c>
      <c r="N488" s="33" t="s">
        <v>2156</v>
      </c>
      <c r="O488" s="33" t="s">
        <v>2157</v>
      </c>
      <c r="P488" s="33" t="s">
        <v>2158</v>
      </c>
      <c r="Q488" s="53">
        <v>0</v>
      </c>
      <c r="R488" s="9">
        <v>24</v>
      </c>
    </row>
    <row r="489" spans="2:18" ht="33">
      <c r="B489" s="14">
        <f t="shared" si="81"/>
        <v>330003</v>
      </c>
      <c r="C489" s="23">
        <v>1</v>
      </c>
      <c r="D489" s="14"/>
      <c r="E489" s="14"/>
      <c r="F489" s="14"/>
      <c r="G489" s="14">
        <v>1</v>
      </c>
      <c r="H489" s="53">
        <v>330003</v>
      </c>
      <c r="I489" s="54" t="s">
        <v>2159</v>
      </c>
      <c r="J489" s="33" t="s">
        <v>2876</v>
      </c>
      <c r="K489" s="33" t="s">
        <v>2877</v>
      </c>
      <c r="L489" s="33" t="s">
        <v>2160</v>
      </c>
      <c r="M489" s="33" t="s">
        <v>2161</v>
      </c>
      <c r="N489" s="33" t="s">
        <v>2162</v>
      </c>
      <c r="O489" s="33" t="s">
        <v>2163</v>
      </c>
      <c r="P489" s="33" t="s">
        <v>2164</v>
      </c>
      <c r="Q489" s="53">
        <v>0</v>
      </c>
      <c r="R489" s="9">
        <v>62</v>
      </c>
    </row>
    <row r="490" spans="2:18">
      <c r="B490" s="14">
        <f t="shared" si="81"/>
        <v>330004</v>
      </c>
      <c r="C490" s="23">
        <v>1</v>
      </c>
      <c r="D490" s="14"/>
      <c r="E490" s="14"/>
      <c r="F490" s="14"/>
      <c r="G490" s="14">
        <v>1</v>
      </c>
      <c r="H490" s="53">
        <v>330004</v>
      </c>
      <c r="I490" s="54" t="s">
        <v>2165</v>
      </c>
      <c r="J490" s="33" t="s">
        <v>2878</v>
      </c>
      <c r="K490" s="33" t="s">
        <v>2879</v>
      </c>
      <c r="L490" s="33" t="s">
        <v>2166</v>
      </c>
      <c r="M490" s="33" t="s">
        <v>2167</v>
      </c>
      <c r="N490" s="33" t="s">
        <v>2168</v>
      </c>
      <c r="O490" s="33" t="s">
        <v>2169</v>
      </c>
      <c r="P490" s="33" t="s">
        <v>2170</v>
      </c>
      <c r="Q490" s="53">
        <v>0</v>
      </c>
      <c r="R490" s="9">
        <v>37</v>
      </c>
    </row>
    <row r="491" spans="2:18">
      <c r="B491" s="14">
        <f t="shared" si="81"/>
        <v>330005</v>
      </c>
      <c r="C491" s="23">
        <v>1</v>
      </c>
      <c r="D491" s="14"/>
      <c r="E491" s="14"/>
      <c r="F491" s="14"/>
      <c r="G491" s="14">
        <v>1</v>
      </c>
      <c r="H491" s="53">
        <v>330005</v>
      </c>
      <c r="I491" s="54" t="s">
        <v>2171</v>
      </c>
      <c r="J491" s="33" t="s">
        <v>2880</v>
      </c>
      <c r="K491" s="33" t="s">
        <v>2881</v>
      </c>
      <c r="L491" s="33" t="s">
        <v>2172</v>
      </c>
      <c r="M491" s="33" t="s">
        <v>2173</v>
      </c>
      <c r="N491" s="33" t="s">
        <v>2174</v>
      </c>
      <c r="O491" s="33" t="s">
        <v>2175</v>
      </c>
      <c r="P491" s="33" t="s">
        <v>2176</v>
      </c>
      <c r="Q491" s="53">
        <v>0</v>
      </c>
      <c r="R491" s="9">
        <v>29</v>
      </c>
    </row>
    <row r="492" spans="2:18" ht="33.75" thickBot="1">
      <c r="B492" s="61">
        <f t="shared" si="81"/>
        <v>330006</v>
      </c>
      <c r="C492" s="62">
        <v>1</v>
      </c>
      <c r="D492" s="61"/>
      <c r="E492" s="61"/>
      <c r="F492" s="61"/>
      <c r="G492" s="61">
        <v>1</v>
      </c>
      <c r="H492" s="63">
        <v>330006</v>
      </c>
      <c r="I492" s="64" t="s">
        <v>2177</v>
      </c>
      <c r="J492" s="85" t="s">
        <v>2882</v>
      </c>
      <c r="K492" s="85" t="s">
        <v>2883</v>
      </c>
      <c r="L492" s="85" t="s">
        <v>2178</v>
      </c>
      <c r="M492" s="85" t="s">
        <v>2179</v>
      </c>
      <c r="N492" s="85" t="s">
        <v>2180</v>
      </c>
      <c r="O492" s="85" t="s">
        <v>2181</v>
      </c>
      <c r="P492" s="85" t="s">
        <v>2182</v>
      </c>
      <c r="Q492" s="63">
        <v>0</v>
      </c>
      <c r="R492" s="65">
        <v>36</v>
      </c>
    </row>
    <row r="493" spans="2:18" ht="17.25" thickTop="1">
      <c r="B493" s="14">
        <f t="shared" ref="B493:B501" si="82">H493</f>
        <v>360002</v>
      </c>
      <c r="C493" s="23">
        <v>1</v>
      </c>
      <c r="D493" s="14"/>
      <c r="E493" s="14"/>
      <c r="F493" s="14"/>
      <c r="G493" s="14">
        <v>1</v>
      </c>
      <c r="H493" s="53">
        <v>360002</v>
      </c>
      <c r="I493" s="54" t="s">
        <v>881</v>
      </c>
      <c r="J493" s="33" t="s">
        <v>972</v>
      </c>
      <c r="K493" s="33" t="s">
        <v>973</v>
      </c>
      <c r="L493" s="33" t="s">
        <v>974</v>
      </c>
      <c r="M493" s="33" t="s">
        <v>975</v>
      </c>
      <c r="N493" s="33" t="s">
        <v>976</v>
      </c>
      <c r="O493" s="33" t="s">
        <v>977</v>
      </c>
      <c r="P493" s="33" t="s">
        <v>978</v>
      </c>
      <c r="Q493" s="53">
        <v>0</v>
      </c>
      <c r="R493" s="14">
        <v>3</v>
      </c>
    </row>
    <row r="494" spans="2:18">
      <c r="B494" s="14">
        <f t="shared" si="82"/>
        <v>370002</v>
      </c>
      <c r="C494" s="23">
        <v>1</v>
      </c>
      <c r="D494" s="14"/>
      <c r="E494" s="14"/>
      <c r="F494" s="14"/>
      <c r="G494" s="14">
        <v>1</v>
      </c>
      <c r="H494" s="53">
        <v>370002</v>
      </c>
      <c r="I494" s="54" t="s">
        <v>2884</v>
      </c>
      <c r="J494" s="33" t="s">
        <v>2885</v>
      </c>
      <c r="K494" s="33" t="s">
        <v>2886</v>
      </c>
      <c r="L494" s="33" t="s">
        <v>2887</v>
      </c>
      <c r="M494" s="33" t="s">
        <v>2888</v>
      </c>
      <c r="N494" s="33" t="s">
        <v>2889</v>
      </c>
      <c r="O494" s="33" t="s">
        <v>2890</v>
      </c>
      <c r="P494" s="33" t="s">
        <v>2891</v>
      </c>
      <c r="Q494" s="53">
        <v>0</v>
      </c>
      <c r="R494" s="14">
        <v>10</v>
      </c>
    </row>
    <row r="495" spans="2:18">
      <c r="B495" s="14">
        <f t="shared" si="82"/>
        <v>370003</v>
      </c>
      <c r="C495" s="23">
        <v>1</v>
      </c>
      <c r="D495" s="14"/>
      <c r="E495" s="14"/>
      <c r="F495" s="14"/>
      <c r="G495" s="14">
        <v>1</v>
      </c>
      <c r="H495" s="53">
        <v>370003</v>
      </c>
      <c r="I495" s="54" t="s">
        <v>2892</v>
      </c>
      <c r="J495" s="33" t="s">
        <v>2893</v>
      </c>
      <c r="K495" s="33" t="s">
        <v>2894</v>
      </c>
      <c r="L495" s="33" t="s">
        <v>2895</v>
      </c>
      <c r="M495" s="33" t="s">
        <v>2896</v>
      </c>
      <c r="N495" s="33" t="s">
        <v>2897</v>
      </c>
      <c r="O495" s="33" t="s">
        <v>2898</v>
      </c>
      <c r="P495" s="33" t="s">
        <v>2899</v>
      </c>
      <c r="Q495" s="53">
        <v>0</v>
      </c>
      <c r="R495" s="14">
        <v>6</v>
      </c>
    </row>
    <row r="496" spans="2:18">
      <c r="B496" s="14">
        <f t="shared" si="82"/>
        <v>370004</v>
      </c>
      <c r="C496" s="23">
        <v>1</v>
      </c>
      <c r="D496" s="14"/>
      <c r="E496" s="14"/>
      <c r="F496" s="14"/>
      <c r="G496" s="14">
        <v>1</v>
      </c>
      <c r="H496" s="53">
        <v>370004</v>
      </c>
      <c r="I496" s="54" t="s">
        <v>889</v>
      </c>
      <c r="J496" s="33" t="s">
        <v>979</v>
      </c>
      <c r="K496" s="33" t="s">
        <v>980</v>
      </c>
      <c r="L496" s="33" t="s">
        <v>981</v>
      </c>
      <c r="M496" s="33" t="s">
        <v>982</v>
      </c>
      <c r="N496" s="33" t="s">
        <v>983</v>
      </c>
      <c r="O496" s="33" t="s">
        <v>984</v>
      </c>
      <c r="P496" s="33" t="s">
        <v>985</v>
      </c>
      <c r="Q496" s="53">
        <v>0</v>
      </c>
      <c r="R496" s="14">
        <v>6</v>
      </c>
    </row>
    <row r="497" spans="2:18">
      <c r="B497" s="14">
        <f t="shared" si="82"/>
        <v>370005</v>
      </c>
      <c r="C497" s="23">
        <v>1</v>
      </c>
      <c r="D497" s="14"/>
      <c r="E497" s="14"/>
      <c r="F497" s="14"/>
      <c r="G497" s="14">
        <v>1</v>
      </c>
      <c r="H497" s="53">
        <v>370005</v>
      </c>
      <c r="I497" s="54" t="s">
        <v>890</v>
      </c>
      <c r="J497" s="33" t="s">
        <v>986</v>
      </c>
      <c r="K497" s="33" t="s">
        <v>987</v>
      </c>
      <c r="L497" s="33" t="s">
        <v>988</v>
      </c>
      <c r="M497" s="33" t="s">
        <v>989</v>
      </c>
      <c r="N497" s="33" t="s">
        <v>990</v>
      </c>
      <c r="O497" s="33" t="s">
        <v>991</v>
      </c>
      <c r="P497" s="33" t="s">
        <v>992</v>
      </c>
      <c r="Q497" s="53">
        <v>0</v>
      </c>
      <c r="R497" s="14">
        <v>6</v>
      </c>
    </row>
    <row r="498" spans="2:18" ht="33">
      <c r="B498" s="14">
        <f t="shared" si="82"/>
        <v>380002</v>
      </c>
      <c r="C498" s="23">
        <v>1</v>
      </c>
      <c r="D498" s="14"/>
      <c r="E498" s="14"/>
      <c r="F498" s="14"/>
      <c r="G498" s="14">
        <v>1</v>
      </c>
      <c r="H498" s="53">
        <v>380002</v>
      </c>
      <c r="I498" s="54" t="s">
        <v>2183</v>
      </c>
      <c r="J498" s="33" t="s">
        <v>2184</v>
      </c>
      <c r="K498" s="33" t="s">
        <v>2900</v>
      </c>
      <c r="L498" s="33" t="s">
        <v>2185</v>
      </c>
      <c r="M498" s="33" t="s">
        <v>2186</v>
      </c>
      <c r="N498" s="33" t="s">
        <v>2187</v>
      </c>
      <c r="O498" s="33" t="s">
        <v>2188</v>
      </c>
      <c r="P498" s="33" t="s">
        <v>2189</v>
      </c>
      <c r="Q498" s="53">
        <v>0</v>
      </c>
      <c r="R498" s="14">
        <v>66</v>
      </c>
    </row>
    <row r="499" spans="2:18" ht="66">
      <c r="B499" s="14">
        <f t="shared" si="82"/>
        <v>380003</v>
      </c>
      <c r="C499" s="23">
        <v>1</v>
      </c>
      <c r="D499" s="14"/>
      <c r="E499" s="14"/>
      <c r="F499" s="14"/>
      <c r="G499" s="14">
        <v>1</v>
      </c>
      <c r="H499" s="53">
        <v>380003</v>
      </c>
      <c r="I499" s="54" t="s">
        <v>2901</v>
      </c>
      <c r="J499" s="33" t="s">
        <v>2902</v>
      </c>
      <c r="K499" s="33" t="s">
        <v>2903</v>
      </c>
      <c r="L499" s="33" t="s">
        <v>2904</v>
      </c>
      <c r="M499" s="33" t="s">
        <v>2905</v>
      </c>
      <c r="N499" s="33" t="s">
        <v>2906</v>
      </c>
      <c r="O499" s="33" t="s">
        <v>2907</v>
      </c>
      <c r="P499" s="33" t="s">
        <v>2908</v>
      </c>
      <c r="Q499" s="53">
        <v>0</v>
      </c>
      <c r="R499" s="14">
        <v>28</v>
      </c>
    </row>
    <row r="500" spans="2:18" ht="33">
      <c r="B500" s="14">
        <f t="shared" si="82"/>
        <v>380004</v>
      </c>
      <c r="C500" s="23">
        <v>1</v>
      </c>
      <c r="D500" s="14"/>
      <c r="E500" s="14"/>
      <c r="F500" s="14"/>
      <c r="G500" s="14">
        <v>1</v>
      </c>
      <c r="H500" s="53">
        <v>380004</v>
      </c>
      <c r="I500" s="54" t="s">
        <v>1150</v>
      </c>
      <c r="J500" s="33" t="s">
        <v>1180</v>
      </c>
      <c r="K500" s="33" t="s">
        <v>1181</v>
      </c>
      <c r="L500" s="33" t="s">
        <v>1182</v>
      </c>
      <c r="M500" s="33" t="s">
        <v>1183</v>
      </c>
      <c r="N500" s="33" t="s">
        <v>1184</v>
      </c>
      <c r="O500" s="33" t="s">
        <v>1185</v>
      </c>
      <c r="P500" s="33" t="s">
        <v>1186</v>
      </c>
      <c r="Q500" s="53">
        <v>0</v>
      </c>
      <c r="R500" s="14">
        <v>53</v>
      </c>
    </row>
    <row r="501" spans="2:18" ht="50.25" thickBot="1">
      <c r="B501" s="61">
        <f t="shared" si="82"/>
        <v>380005</v>
      </c>
      <c r="C501" s="62">
        <v>1</v>
      </c>
      <c r="D501" s="61"/>
      <c r="E501" s="61"/>
      <c r="F501" s="61"/>
      <c r="G501" s="61">
        <v>1</v>
      </c>
      <c r="H501" s="63">
        <v>380005</v>
      </c>
      <c r="I501" s="64" t="s">
        <v>1151</v>
      </c>
      <c r="J501" s="85" t="s">
        <v>1187</v>
      </c>
      <c r="K501" s="85" t="s">
        <v>1188</v>
      </c>
      <c r="L501" s="85" t="s">
        <v>1189</v>
      </c>
      <c r="M501" s="85" t="s">
        <v>1190</v>
      </c>
      <c r="N501" s="85" t="s">
        <v>1191</v>
      </c>
      <c r="O501" s="85" t="s">
        <v>1192</v>
      </c>
      <c r="P501" s="85" t="s">
        <v>1193</v>
      </c>
      <c r="Q501" s="63">
        <v>0</v>
      </c>
      <c r="R501" s="61">
        <v>53</v>
      </c>
    </row>
    <row r="502" spans="2:18" ht="17.25" thickTop="1">
      <c r="B502" s="14">
        <f t="shared" ref="B502:B508" si="83">H502</f>
        <v>390002</v>
      </c>
      <c r="C502" s="23">
        <v>1</v>
      </c>
      <c r="D502" s="14"/>
      <c r="E502" s="14"/>
      <c r="F502" s="14"/>
      <c r="G502" s="14">
        <v>1</v>
      </c>
      <c r="H502" s="53">
        <v>390002</v>
      </c>
      <c r="I502" s="54" t="s">
        <v>993</v>
      </c>
      <c r="J502" s="33">
        <v>0</v>
      </c>
      <c r="K502" s="33">
        <v>0</v>
      </c>
      <c r="L502" s="33">
        <v>0</v>
      </c>
      <c r="M502" s="33">
        <v>0</v>
      </c>
      <c r="N502" s="33">
        <v>0</v>
      </c>
      <c r="O502" s="33">
        <v>0</v>
      </c>
      <c r="P502" s="33">
        <v>0</v>
      </c>
      <c r="Q502" s="53">
        <v>0</v>
      </c>
      <c r="R502" s="14"/>
    </row>
    <row r="503" spans="2:18">
      <c r="B503" s="14">
        <f t="shared" si="83"/>
        <v>390102</v>
      </c>
      <c r="C503" s="23">
        <v>1</v>
      </c>
      <c r="D503" s="14"/>
      <c r="E503" s="14"/>
      <c r="F503" s="14"/>
      <c r="G503" s="14">
        <v>1</v>
      </c>
      <c r="H503" s="53">
        <v>390102</v>
      </c>
      <c r="I503" s="54" t="s">
        <v>994</v>
      </c>
      <c r="J503" s="33">
        <v>0</v>
      </c>
      <c r="K503" s="33">
        <v>0</v>
      </c>
      <c r="L503" s="33">
        <v>0</v>
      </c>
      <c r="M503" s="33">
        <v>0</v>
      </c>
      <c r="N503" s="33">
        <v>0</v>
      </c>
      <c r="O503" s="33">
        <v>0</v>
      </c>
      <c r="P503" s="33">
        <v>0</v>
      </c>
      <c r="Q503" s="53">
        <v>0</v>
      </c>
      <c r="R503" s="14"/>
    </row>
    <row r="504" spans="2:18">
      <c r="B504" s="14">
        <f t="shared" si="83"/>
        <v>390103</v>
      </c>
      <c r="C504" s="23">
        <v>1</v>
      </c>
      <c r="D504" s="14"/>
      <c r="E504" s="14"/>
      <c r="F504" s="14"/>
      <c r="G504" s="14">
        <v>1</v>
      </c>
      <c r="H504" s="53">
        <v>390103</v>
      </c>
      <c r="I504" s="54" t="s">
        <v>995</v>
      </c>
      <c r="J504" s="33">
        <v>0</v>
      </c>
      <c r="K504" s="33">
        <v>0</v>
      </c>
      <c r="L504" s="33">
        <v>0</v>
      </c>
      <c r="M504" s="33">
        <v>0</v>
      </c>
      <c r="N504" s="33">
        <v>0</v>
      </c>
      <c r="O504" s="33">
        <v>0</v>
      </c>
      <c r="P504" s="33">
        <v>0</v>
      </c>
      <c r="Q504" s="53">
        <v>0</v>
      </c>
      <c r="R504" s="14"/>
    </row>
    <row r="505" spans="2:18" ht="49.5">
      <c r="B505" s="14">
        <f t="shared" si="83"/>
        <v>390202</v>
      </c>
      <c r="C505" s="23">
        <v>1</v>
      </c>
      <c r="D505" s="14"/>
      <c r="E505" s="14"/>
      <c r="F505" s="14"/>
      <c r="G505" s="14">
        <v>1</v>
      </c>
      <c r="H505" s="53">
        <v>390202</v>
      </c>
      <c r="I505" s="113" t="s">
        <v>998</v>
      </c>
      <c r="J505" s="33">
        <v>0</v>
      </c>
      <c r="K505" s="33">
        <v>0</v>
      </c>
      <c r="L505" s="33">
        <v>0</v>
      </c>
      <c r="M505" s="33">
        <v>0</v>
      </c>
      <c r="N505" s="33">
        <v>0</v>
      </c>
      <c r="O505" s="33">
        <v>0</v>
      </c>
      <c r="P505" s="33">
        <v>0</v>
      </c>
      <c r="Q505" s="53">
        <v>0</v>
      </c>
      <c r="R505" s="14"/>
    </row>
    <row r="506" spans="2:18" ht="49.5">
      <c r="B506" s="14">
        <f t="shared" si="83"/>
        <v>390203</v>
      </c>
      <c r="C506" s="23">
        <v>1</v>
      </c>
      <c r="D506" s="14"/>
      <c r="E506" s="14"/>
      <c r="F506" s="14"/>
      <c r="G506" s="14">
        <v>1</v>
      </c>
      <c r="H506" s="53">
        <v>390203</v>
      </c>
      <c r="I506" s="54" t="s">
        <v>998</v>
      </c>
      <c r="J506" s="33">
        <v>0</v>
      </c>
      <c r="K506" s="33">
        <v>0</v>
      </c>
      <c r="L506" s="33">
        <v>0</v>
      </c>
      <c r="M506" s="33">
        <v>0</v>
      </c>
      <c r="N506" s="33">
        <v>0</v>
      </c>
      <c r="O506" s="33">
        <v>0</v>
      </c>
      <c r="P506" s="33">
        <v>0</v>
      </c>
      <c r="Q506" s="53">
        <v>0</v>
      </c>
      <c r="R506" s="14"/>
    </row>
    <row r="507" spans="2:18" ht="33">
      <c r="B507" s="14">
        <f t="shared" si="83"/>
        <v>390204</v>
      </c>
      <c r="C507" s="23">
        <v>1</v>
      </c>
      <c r="D507" s="14"/>
      <c r="E507" s="14"/>
      <c r="F507" s="14"/>
      <c r="G507" s="14">
        <v>1</v>
      </c>
      <c r="H507" s="53">
        <v>390204</v>
      </c>
      <c r="I507" s="113" t="s">
        <v>997</v>
      </c>
      <c r="J507" s="33">
        <v>0</v>
      </c>
      <c r="K507" s="33">
        <v>0</v>
      </c>
      <c r="L507" s="33">
        <v>0</v>
      </c>
      <c r="M507" s="33">
        <v>0</v>
      </c>
      <c r="N507" s="33">
        <v>0</v>
      </c>
      <c r="O507" s="33">
        <v>0</v>
      </c>
      <c r="P507" s="33">
        <v>0</v>
      </c>
      <c r="Q507" s="53">
        <v>0</v>
      </c>
      <c r="R507" s="14"/>
    </row>
    <row r="508" spans="2:18" ht="33.75" thickBot="1">
      <c r="B508" s="61">
        <f t="shared" si="83"/>
        <v>390205</v>
      </c>
      <c r="C508" s="62">
        <v>1</v>
      </c>
      <c r="D508" s="61"/>
      <c r="E508" s="61"/>
      <c r="F508" s="61"/>
      <c r="G508" s="61">
        <v>1</v>
      </c>
      <c r="H508" s="63">
        <v>390205</v>
      </c>
      <c r="I508" s="64" t="s">
        <v>996</v>
      </c>
      <c r="J508" s="85">
        <v>0</v>
      </c>
      <c r="K508" s="85">
        <v>0</v>
      </c>
      <c r="L508" s="85">
        <v>0</v>
      </c>
      <c r="M508" s="85">
        <v>0</v>
      </c>
      <c r="N508" s="85">
        <v>0</v>
      </c>
      <c r="O508" s="85">
        <v>0</v>
      </c>
      <c r="P508" s="85">
        <v>0</v>
      </c>
      <c r="Q508" s="63">
        <v>0</v>
      </c>
      <c r="R508" s="61"/>
    </row>
    <row r="509" spans="2:18" ht="17.25" thickTop="1">
      <c r="B509" s="14">
        <f>H509</f>
        <v>43002</v>
      </c>
      <c r="C509" s="23">
        <v>1</v>
      </c>
      <c r="D509" s="14" t="s">
        <v>1148</v>
      </c>
      <c r="E509" s="14">
        <v>0</v>
      </c>
      <c r="F509" s="14">
        <v>0</v>
      </c>
      <c r="G509" s="14">
        <v>1</v>
      </c>
      <c r="H509" s="53">
        <v>43002</v>
      </c>
      <c r="I509" s="54" t="s">
        <v>1315</v>
      </c>
      <c r="J509" s="33" t="s">
        <v>1316</v>
      </c>
      <c r="K509" s="33" t="s">
        <v>1317</v>
      </c>
      <c r="L509" s="33" t="s">
        <v>1317</v>
      </c>
      <c r="M509" s="33" t="s">
        <v>1317</v>
      </c>
      <c r="N509" s="33" t="s">
        <v>1318</v>
      </c>
      <c r="O509" s="33" t="s">
        <v>1319</v>
      </c>
      <c r="P509" s="33" t="s">
        <v>1320</v>
      </c>
      <c r="Q509" s="53">
        <v>0</v>
      </c>
      <c r="R509" s="14"/>
    </row>
    <row r="510" spans="2:18">
      <c r="B510" s="14">
        <f t="shared" ref="B510:B520" si="84">H510</f>
        <v>43003</v>
      </c>
      <c r="C510" s="23">
        <v>1</v>
      </c>
      <c r="D510" s="14" t="s">
        <v>1148</v>
      </c>
      <c r="E510" s="14">
        <v>0</v>
      </c>
      <c r="F510" s="14">
        <v>0</v>
      </c>
      <c r="G510" s="14">
        <v>1</v>
      </c>
      <c r="H510" s="53">
        <v>43003</v>
      </c>
      <c r="I510" s="54" t="s">
        <v>1315</v>
      </c>
      <c r="J510" s="33" t="s">
        <v>1316</v>
      </c>
      <c r="K510" s="33" t="s">
        <v>1317</v>
      </c>
      <c r="L510" s="33" t="s">
        <v>1317</v>
      </c>
      <c r="M510" s="33" t="s">
        <v>1317</v>
      </c>
      <c r="N510" s="33" t="s">
        <v>1318</v>
      </c>
      <c r="O510" s="33" t="s">
        <v>1319</v>
      </c>
      <c r="P510" s="33" t="s">
        <v>1320</v>
      </c>
      <c r="Q510" s="53">
        <v>0</v>
      </c>
      <c r="R510" s="14"/>
    </row>
    <row r="511" spans="2:18">
      <c r="B511" s="14">
        <f>H511</f>
        <v>43004</v>
      </c>
      <c r="C511" s="23">
        <v>1</v>
      </c>
      <c r="D511" s="14" t="s">
        <v>1148</v>
      </c>
      <c r="E511" s="14">
        <v>0</v>
      </c>
      <c r="F511" s="14">
        <v>0</v>
      </c>
      <c r="G511" s="14">
        <v>1</v>
      </c>
      <c r="H511" s="53">
        <v>43004</v>
      </c>
      <c r="I511" s="54" t="s">
        <v>1315</v>
      </c>
      <c r="J511" s="33" t="s">
        <v>1316</v>
      </c>
      <c r="K511" s="33" t="s">
        <v>1317</v>
      </c>
      <c r="L511" s="33" t="s">
        <v>1317</v>
      </c>
      <c r="M511" s="33" t="s">
        <v>1317</v>
      </c>
      <c r="N511" s="33" t="s">
        <v>1318</v>
      </c>
      <c r="O511" s="33" t="s">
        <v>1319</v>
      </c>
      <c r="P511" s="33" t="s">
        <v>1320</v>
      </c>
      <c r="Q511" s="53">
        <v>0</v>
      </c>
      <c r="R511" s="14"/>
    </row>
    <row r="512" spans="2:18">
      <c r="B512" s="14">
        <f>H512</f>
        <v>43005</v>
      </c>
      <c r="C512" s="23">
        <v>1</v>
      </c>
      <c r="D512" s="14" t="s">
        <v>1148</v>
      </c>
      <c r="E512" s="14">
        <v>0</v>
      </c>
      <c r="F512" s="14">
        <v>0</v>
      </c>
      <c r="G512" s="14">
        <v>1</v>
      </c>
      <c r="H512" s="53">
        <v>43005</v>
      </c>
      <c r="I512" s="54" t="s">
        <v>1315</v>
      </c>
      <c r="J512" s="33" t="s">
        <v>1316</v>
      </c>
      <c r="K512" s="33" t="s">
        <v>1317</v>
      </c>
      <c r="L512" s="33" t="s">
        <v>1317</v>
      </c>
      <c r="M512" s="33" t="s">
        <v>1317</v>
      </c>
      <c r="N512" s="33" t="s">
        <v>1318</v>
      </c>
      <c r="O512" s="33" t="s">
        <v>1319</v>
      </c>
      <c r="P512" s="33" t="s">
        <v>1320</v>
      </c>
      <c r="Q512" s="53">
        <v>0</v>
      </c>
      <c r="R512" s="14"/>
    </row>
    <row r="513" spans="2:18">
      <c r="B513" s="14">
        <f t="shared" si="84"/>
        <v>44002</v>
      </c>
      <c r="C513" s="23">
        <v>1</v>
      </c>
      <c r="D513" s="14" t="s">
        <v>1148</v>
      </c>
      <c r="E513" s="14">
        <v>0</v>
      </c>
      <c r="F513" s="14">
        <v>0</v>
      </c>
      <c r="G513" s="14">
        <v>1</v>
      </c>
      <c r="H513" s="53">
        <v>44002</v>
      </c>
      <c r="I513" s="54" t="s">
        <v>1321</v>
      </c>
      <c r="J513" s="33" t="s">
        <v>1322</v>
      </c>
      <c r="K513" s="33" t="s">
        <v>1323</v>
      </c>
      <c r="L513" s="33" t="s">
        <v>1324</v>
      </c>
      <c r="M513" s="33" t="s">
        <v>1325</v>
      </c>
      <c r="N513" s="33" t="s">
        <v>2909</v>
      </c>
      <c r="O513" s="33" t="s">
        <v>1326</v>
      </c>
      <c r="P513" s="33" t="s">
        <v>2910</v>
      </c>
      <c r="Q513" s="53">
        <v>0</v>
      </c>
      <c r="R513" s="14"/>
    </row>
    <row r="514" spans="2:18">
      <c r="B514" s="14">
        <f>H514</f>
        <v>44003</v>
      </c>
      <c r="C514" s="23">
        <v>1</v>
      </c>
      <c r="D514" s="14" t="s">
        <v>1148</v>
      </c>
      <c r="E514" s="14">
        <v>0</v>
      </c>
      <c r="F514" s="14">
        <v>0</v>
      </c>
      <c r="G514" s="14">
        <v>1</v>
      </c>
      <c r="H514" s="53">
        <v>44003</v>
      </c>
      <c r="I514" s="54" t="s">
        <v>1327</v>
      </c>
      <c r="J514" s="33" t="s">
        <v>1328</v>
      </c>
      <c r="K514" s="33" t="s">
        <v>1329</v>
      </c>
      <c r="L514" s="33" t="s">
        <v>1330</v>
      </c>
      <c r="M514" s="33" t="s">
        <v>1331</v>
      </c>
      <c r="N514" s="33" t="s">
        <v>2911</v>
      </c>
      <c r="O514" s="33" t="s">
        <v>1332</v>
      </c>
      <c r="P514" s="33" t="s">
        <v>2912</v>
      </c>
      <c r="Q514" s="53">
        <v>0</v>
      </c>
      <c r="R514" s="14"/>
    </row>
    <row r="515" spans="2:18">
      <c r="B515" s="14">
        <f t="shared" si="84"/>
        <v>44004</v>
      </c>
      <c r="C515" s="23">
        <v>1</v>
      </c>
      <c r="D515" s="14" t="s">
        <v>1148</v>
      </c>
      <c r="E515" s="14">
        <v>0</v>
      </c>
      <c r="F515" s="14">
        <v>0</v>
      </c>
      <c r="G515" s="14">
        <v>1</v>
      </c>
      <c r="H515" s="53">
        <v>44004</v>
      </c>
      <c r="I515" s="54" t="s">
        <v>1333</v>
      </c>
      <c r="J515" s="33" t="s">
        <v>1334</v>
      </c>
      <c r="K515" s="33" t="s">
        <v>1335</v>
      </c>
      <c r="L515" s="33" t="s">
        <v>1336</v>
      </c>
      <c r="M515" s="33" t="s">
        <v>1337</v>
      </c>
      <c r="N515" s="33" t="s">
        <v>1338</v>
      </c>
      <c r="O515" s="33" t="s">
        <v>1339</v>
      </c>
      <c r="P515" s="33" t="s">
        <v>1340</v>
      </c>
      <c r="Q515" s="53">
        <v>0</v>
      </c>
      <c r="R515" s="14"/>
    </row>
    <row r="516" spans="2:18">
      <c r="B516" s="14">
        <f t="shared" si="84"/>
        <v>44005</v>
      </c>
      <c r="C516" s="23">
        <v>1</v>
      </c>
      <c r="D516" s="14" t="s">
        <v>1148</v>
      </c>
      <c r="E516" s="14">
        <v>0</v>
      </c>
      <c r="F516" s="14">
        <v>0</v>
      </c>
      <c r="G516" s="14">
        <v>1</v>
      </c>
      <c r="H516" s="53">
        <v>44005</v>
      </c>
      <c r="I516" s="54" t="s">
        <v>1341</v>
      </c>
      <c r="J516" s="33" t="s">
        <v>1342</v>
      </c>
      <c r="K516" s="33" t="s">
        <v>1343</v>
      </c>
      <c r="L516" s="33" t="s">
        <v>1344</v>
      </c>
      <c r="M516" s="33" t="s">
        <v>1345</v>
      </c>
      <c r="N516" s="33" t="s">
        <v>1346</v>
      </c>
      <c r="O516" s="33" t="s">
        <v>1347</v>
      </c>
      <c r="P516" s="33" t="s">
        <v>1348</v>
      </c>
      <c r="Q516" s="53">
        <v>0</v>
      </c>
      <c r="R516" s="14"/>
    </row>
    <row r="517" spans="2:18" ht="49.5">
      <c r="B517" s="14">
        <f t="shared" si="84"/>
        <v>45002</v>
      </c>
      <c r="C517" s="23">
        <v>1</v>
      </c>
      <c r="D517" s="14" t="s">
        <v>1148</v>
      </c>
      <c r="E517" s="14">
        <v>0</v>
      </c>
      <c r="F517" s="14">
        <v>0</v>
      </c>
      <c r="G517" s="14">
        <v>1</v>
      </c>
      <c r="H517" s="53">
        <v>45002</v>
      </c>
      <c r="I517" s="113" t="s">
        <v>1349</v>
      </c>
      <c r="J517" s="33" t="s">
        <v>1350</v>
      </c>
      <c r="K517" s="33" t="s">
        <v>2913</v>
      </c>
      <c r="L517" s="33" t="s">
        <v>1351</v>
      </c>
      <c r="M517" s="33" t="s">
        <v>1352</v>
      </c>
      <c r="N517" s="33" t="s">
        <v>2914</v>
      </c>
      <c r="O517" s="33" t="s">
        <v>1353</v>
      </c>
      <c r="P517" s="33" t="s">
        <v>2915</v>
      </c>
      <c r="Q517" s="53">
        <v>0</v>
      </c>
      <c r="R517" s="14"/>
    </row>
    <row r="518" spans="2:18" ht="49.5">
      <c r="B518" s="14">
        <f t="shared" si="84"/>
        <v>45003</v>
      </c>
      <c r="C518" s="23">
        <v>1</v>
      </c>
      <c r="D518" s="14" t="s">
        <v>1148</v>
      </c>
      <c r="E518" s="14">
        <v>0</v>
      </c>
      <c r="F518" s="14">
        <v>0</v>
      </c>
      <c r="G518" s="14">
        <v>1</v>
      </c>
      <c r="H518" s="53">
        <v>45003</v>
      </c>
      <c r="I518" s="113" t="s">
        <v>1354</v>
      </c>
      <c r="J518" s="33" t="s">
        <v>1355</v>
      </c>
      <c r="K518" s="33" t="s">
        <v>2916</v>
      </c>
      <c r="L518" s="33" t="s">
        <v>1356</v>
      </c>
      <c r="M518" s="33" t="s">
        <v>1357</v>
      </c>
      <c r="N518" s="33" t="s">
        <v>2917</v>
      </c>
      <c r="O518" s="33" t="s">
        <v>1358</v>
      </c>
      <c r="P518" s="33" t="s">
        <v>2918</v>
      </c>
      <c r="Q518" s="53">
        <v>0</v>
      </c>
      <c r="R518" s="14"/>
    </row>
    <row r="519" spans="2:18" ht="33">
      <c r="B519" s="88">
        <f t="shared" si="84"/>
        <v>45004</v>
      </c>
      <c r="C519" s="114">
        <v>1</v>
      </c>
      <c r="D519" s="14" t="s">
        <v>1148</v>
      </c>
      <c r="E519" s="88">
        <v>0</v>
      </c>
      <c r="F519" s="88">
        <v>0</v>
      </c>
      <c r="G519" s="88">
        <v>1</v>
      </c>
      <c r="H519" s="115">
        <v>45004</v>
      </c>
      <c r="I519" s="116" t="s">
        <v>1359</v>
      </c>
      <c r="J519" s="90" t="s">
        <v>1360</v>
      </c>
      <c r="K519" s="90" t="s">
        <v>2919</v>
      </c>
      <c r="L519" s="90" t="s">
        <v>1361</v>
      </c>
      <c r="M519" s="90" t="s">
        <v>1362</v>
      </c>
      <c r="N519" s="90" t="s">
        <v>1363</v>
      </c>
      <c r="O519" s="90" t="s">
        <v>1364</v>
      </c>
      <c r="P519" s="90" t="s">
        <v>1365</v>
      </c>
      <c r="Q519" s="115">
        <v>0</v>
      </c>
      <c r="R519" s="88"/>
    </row>
    <row r="520" spans="2:18" ht="33.75" thickBot="1">
      <c r="B520" s="61">
        <f t="shared" si="84"/>
        <v>45005</v>
      </c>
      <c r="C520" s="62">
        <v>1</v>
      </c>
      <c r="D520" s="61" t="s">
        <v>1148</v>
      </c>
      <c r="E520" s="61">
        <v>0</v>
      </c>
      <c r="F520" s="61">
        <v>0</v>
      </c>
      <c r="G520" s="61">
        <v>1</v>
      </c>
      <c r="H520" s="63">
        <v>45005</v>
      </c>
      <c r="I520" s="64" t="s">
        <v>1366</v>
      </c>
      <c r="J520" s="85" t="s">
        <v>1367</v>
      </c>
      <c r="K520" s="85" t="s">
        <v>2920</v>
      </c>
      <c r="L520" s="85" t="s">
        <v>1368</v>
      </c>
      <c r="M520" s="85" t="s">
        <v>1369</v>
      </c>
      <c r="N520" s="85" t="s">
        <v>1370</v>
      </c>
      <c r="O520" s="85" t="s">
        <v>1371</v>
      </c>
      <c r="P520" s="85" t="s">
        <v>1372</v>
      </c>
      <c r="Q520" s="63">
        <v>0</v>
      </c>
      <c r="R520" s="61"/>
    </row>
    <row r="521" spans="2:18" ht="17.25" thickTop="1">
      <c r="B521" s="14">
        <f t="shared" ref="B521" si="85">H521</f>
        <v>3006</v>
      </c>
      <c r="C521" s="23">
        <v>0</v>
      </c>
      <c r="D521" s="14">
        <v>0</v>
      </c>
      <c r="E521" s="14">
        <v>0</v>
      </c>
      <c r="F521" s="14">
        <v>0</v>
      </c>
      <c r="G521" s="14">
        <v>1</v>
      </c>
      <c r="H521" s="53">
        <v>3006</v>
      </c>
      <c r="I521" s="113" t="s">
        <v>1373</v>
      </c>
      <c r="J521" s="33" t="s">
        <v>1376</v>
      </c>
      <c r="K521" s="33" t="s">
        <v>1377</v>
      </c>
      <c r="L521" s="33" t="s">
        <v>1378</v>
      </c>
      <c r="M521" s="33" t="s">
        <v>1379</v>
      </c>
      <c r="N521" s="33" t="s">
        <v>1380</v>
      </c>
      <c r="O521" s="33" t="s">
        <v>1381</v>
      </c>
      <c r="P521" s="33" t="s">
        <v>1382</v>
      </c>
      <c r="Q521" s="53">
        <v>0</v>
      </c>
    </row>
    <row r="522" spans="2:18">
      <c r="B522" s="14">
        <f t="shared" ref="B522:B561" si="86">H522</f>
        <v>4006</v>
      </c>
      <c r="C522" s="23">
        <v>0</v>
      </c>
      <c r="D522" s="14">
        <v>0</v>
      </c>
      <c r="E522" s="14">
        <v>0</v>
      </c>
      <c r="F522" s="14">
        <v>0</v>
      </c>
      <c r="G522" s="14">
        <v>1</v>
      </c>
      <c r="H522" s="53">
        <v>4006</v>
      </c>
      <c r="I522" s="113" t="s">
        <v>1374</v>
      </c>
      <c r="J522" s="33" t="s">
        <v>1383</v>
      </c>
      <c r="K522" s="33" t="s">
        <v>1384</v>
      </c>
      <c r="L522" s="33" t="s">
        <v>1385</v>
      </c>
      <c r="M522" s="33" t="s">
        <v>1386</v>
      </c>
      <c r="N522" s="33" t="s">
        <v>1387</v>
      </c>
      <c r="O522" s="33" t="s">
        <v>1388</v>
      </c>
      <c r="P522" s="33" t="s">
        <v>1389</v>
      </c>
      <c r="Q522" s="53">
        <v>0</v>
      </c>
    </row>
    <row r="523" spans="2:18" ht="49.5">
      <c r="B523" s="14">
        <f t="shared" si="86"/>
        <v>5006</v>
      </c>
      <c r="C523" s="23">
        <v>0</v>
      </c>
      <c r="D523" s="14">
        <v>0</v>
      </c>
      <c r="E523" s="14">
        <v>0</v>
      </c>
      <c r="F523" s="14">
        <v>0</v>
      </c>
      <c r="G523" s="14">
        <v>1</v>
      </c>
      <c r="H523" s="53">
        <v>5006</v>
      </c>
      <c r="I523" s="113" t="s">
        <v>1375</v>
      </c>
      <c r="J523" s="33" t="s">
        <v>2190</v>
      </c>
      <c r="K523" s="33" t="s">
        <v>2191</v>
      </c>
      <c r="L523" s="33" t="s">
        <v>3605</v>
      </c>
      <c r="M523" s="33" t="s">
        <v>2192</v>
      </c>
      <c r="N523" s="33" t="s">
        <v>2193</v>
      </c>
      <c r="O523" s="33" t="s">
        <v>2194</v>
      </c>
      <c r="P523" s="33" t="s">
        <v>2921</v>
      </c>
      <c r="Q523" s="53">
        <v>0</v>
      </c>
    </row>
    <row r="524" spans="2:18" ht="24">
      <c r="B524" s="14">
        <f t="shared" si="86"/>
        <v>46001</v>
      </c>
      <c r="C524" s="23">
        <v>1</v>
      </c>
      <c r="D524" s="14" t="s">
        <v>1429</v>
      </c>
      <c r="E524" s="14"/>
      <c r="F524" s="14" t="s">
        <v>1462</v>
      </c>
      <c r="G524" s="14">
        <v>1</v>
      </c>
      <c r="H524" s="53">
        <v>46001</v>
      </c>
      <c r="I524" s="54" t="s">
        <v>2195</v>
      </c>
      <c r="J524" s="126" t="s">
        <v>3606</v>
      </c>
      <c r="K524" s="126" t="s">
        <v>3607</v>
      </c>
      <c r="L524" s="126" t="s">
        <v>3608</v>
      </c>
      <c r="M524" s="126" t="s">
        <v>3609</v>
      </c>
      <c r="N524" s="126" t="s">
        <v>3610</v>
      </c>
      <c r="O524" s="126" t="s">
        <v>3611</v>
      </c>
      <c r="P524" s="126" t="s">
        <v>3612</v>
      </c>
      <c r="Q524" s="53">
        <v>0</v>
      </c>
      <c r="R524" s="14">
        <v>6</v>
      </c>
    </row>
    <row r="525" spans="2:18" ht="24">
      <c r="B525" s="14">
        <f t="shared" si="86"/>
        <v>47001</v>
      </c>
      <c r="C525" s="23">
        <v>1</v>
      </c>
      <c r="D525" s="14" t="s">
        <v>1429</v>
      </c>
      <c r="E525" s="14"/>
      <c r="F525" s="14" t="s">
        <v>1462</v>
      </c>
      <c r="G525" s="14">
        <v>1</v>
      </c>
      <c r="H525" s="53">
        <v>47001</v>
      </c>
      <c r="I525" s="54" t="s">
        <v>2196</v>
      </c>
      <c r="J525" s="126" t="s">
        <v>895</v>
      </c>
      <c r="K525" s="126" t="s">
        <v>896</v>
      </c>
      <c r="L525" s="126" t="s">
        <v>897</v>
      </c>
      <c r="M525" s="126" t="s">
        <v>898</v>
      </c>
      <c r="N525" s="126" t="s">
        <v>899</v>
      </c>
      <c r="O525" s="126" t="s">
        <v>900</v>
      </c>
      <c r="P525" s="126" t="s">
        <v>901</v>
      </c>
      <c r="Q525" s="53">
        <v>0</v>
      </c>
      <c r="R525" s="14">
        <v>10</v>
      </c>
    </row>
    <row r="526" spans="2:18" ht="48">
      <c r="B526" s="14">
        <f t="shared" si="86"/>
        <v>47002</v>
      </c>
      <c r="C526" s="23">
        <v>1</v>
      </c>
      <c r="D526" s="14" t="s">
        <v>1429</v>
      </c>
      <c r="E526" s="14"/>
      <c r="F526" s="14" t="s">
        <v>1462</v>
      </c>
      <c r="G526" s="14">
        <v>1</v>
      </c>
      <c r="H526" s="53">
        <v>47002</v>
      </c>
      <c r="I526" s="54" t="s">
        <v>2197</v>
      </c>
      <c r="J526" s="126" t="s">
        <v>3613</v>
      </c>
      <c r="K526" s="126" t="s">
        <v>3614</v>
      </c>
      <c r="L526" s="126" t="s">
        <v>3615</v>
      </c>
      <c r="M526" s="126" t="s">
        <v>3616</v>
      </c>
      <c r="N526" s="126" t="s">
        <v>3617</v>
      </c>
      <c r="O526" s="126" t="s">
        <v>3618</v>
      </c>
      <c r="P526" s="126" t="s">
        <v>3619</v>
      </c>
      <c r="Q526" s="53">
        <v>0</v>
      </c>
      <c r="R526" s="14">
        <v>16</v>
      </c>
    </row>
    <row r="527" spans="2:18" ht="48">
      <c r="B527" s="14">
        <f t="shared" si="86"/>
        <v>47003</v>
      </c>
      <c r="C527" s="23">
        <v>1</v>
      </c>
      <c r="D527" s="14" t="s">
        <v>1429</v>
      </c>
      <c r="E527" s="14"/>
      <c r="F527" s="14" t="s">
        <v>1462</v>
      </c>
      <c r="G527" s="14">
        <v>1</v>
      </c>
      <c r="H527" s="53">
        <v>47003</v>
      </c>
      <c r="I527" s="54" t="s">
        <v>2198</v>
      </c>
      <c r="J527" s="126" t="s">
        <v>3620</v>
      </c>
      <c r="K527" s="126" t="s">
        <v>3621</v>
      </c>
      <c r="L527" s="126" t="s">
        <v>3622</v>
      </c>
      <c r="M527" s="126" t="s">
        <v>3623</v>
      </c>
      <c r="N527" s="126" t="s">
        <v>3624</v>
      </c>
      <c r="O527" s="126" t="s">
        <v>3625</v>
      </c>
      <c r="P527" s="126" t="s">
        <v>3626</v>
      </c>
      <c r="Q527" s="53">
        <v>0</v>
      </c>
      <c r="R527" s="14">
        <v>16</v>
      </c>
    </row>
    <row r="528" spans="2:18" ht="24">
      <c r="B528" s="14">
        <f t="shared" si="86"/>
        <v>47004</v>
      </c>
      <c r="C528" s="23">
        <v>1</v>
      </c>
      <c r="D528" s="14" t="s">
        <v>1429</v>
      </c>
      <c r="E528" s="14"/>
      <c r="F528" s="14" t="s">
        <v>1462</v>
      </c>
      <c r="G528" s="14">
        <v>1</v>
      </c>
      <c r="H528" s="53">
        <v>47004</v>
      </c>
      <c r="I528" s="54" t="s">
        <v>2199</v>
      </c>
      <c r="J528" s="126" t="s">
        <v>902</v>
      </c>
      <c r="K528" s="126" t="s">
        <v>903</v>
      </c>
      <c r="L528" s="126" t="s">
        <v>903</v>
      </c>
      <c r="M528" s="126" t="s">
        <v>526</v>
      </c>
      <c r="N528" s="126" t="s">
        <v>904</v>
      </c>
      <c r="O528" s="126" t="s">
        <v>905</v>
      </c>
      <c r="P528" s="126" t="s">
        <v>906</v>
      </c>
      <c r="Q528" s="53">
        <v>0</v>
      </c>
      <c r="R528" s="14">
        <v>4</v>
      </c>
    </row>
    <row r="529" spans="2:18" ht="60">
      <c r="B529" s="14">
        <f t="shared" si="86"/>
        <v>48001</v>
      </c>
      <c r="C529" s="23">
        <v>1</v>
      </c>
      <c r="D529" s="14" t="s">
        <v>1429</v>
      </c>
      <c r="E529" s="14"/>
      <c r="F529" s="14" t="s">
        <v>1462</v>
      </c>
      <c r="G529" s="14">
        <v>1</v>
      </c>
      <c r="H529" s="53">
        <v>48001</v>
      </c>
      <c r="I529" s="54" t="s">
        <v>2200</v>
      </c>
      <c r="J529" s="126" t="s">
        <v>3627</v>
      </c>
      <c r="K529" s="126" t="s">
        <v>3628</v>
      </c>
      <c r="L529" s="126" t="s">
        <v>3629</v>
      </c>
      <c r="M529" s="126" t="s">
        <v>3630</v>
      </c>
      <c r="N529" s="126" t="s">
        <v>3631</v>
      </c>
      <c r="O529" s="126" t="s">
        <v>3632</v>
      </c>
      <c r="P529" s="126" t="s">
        <v>3633</v>
      </c>
      <c r="Q529" s="53">
        <v>0</v>
      </c>
      <c r="R529" s="14">
        <v>26</v>
      </c>
    </row>
    <row r="530" spans="2:18" ht="288">
      <c r="B530" s="14">
        <f t="shared" si="86"/>
        <v>48002</v>
      </c>
      <c r="C530" s="23">
        <v>1</v>
      </c>
      <c r="D530" s="14" t="s">
        <v>1429</v>
      </c>
      <c r="E530" s="14"/>
      <c r="F530" s="14" t="s">
        <v>1462</v>
      </c>
      <c r="G530" s="14">
        <v>1</v>
      </c>
      <c r="H530" s="53">
        <v>48002</v>
      </c>
      <c r="I530" s="54" t="s">
        <v>1459</v>
      </c>
      <c r="J530" s="126" t="s">
        <v>3634</v>
      </c>
      <c r="K530" s="126" t="s">
        <v>3635</v>
      </c>
      <c r="L530" s="126" t="s">
        <v>3636</v>
      </c>
      <c r="M530" s="126" t="s">
        <v>3637</v>
      </c>
      <c r="N530" s="126" t="s">
        <v>3638</v>
      </c>
      <c r="O530" s="126" t="s">
        <v>3639</v>
      </c>
      <c r="P530" s="126" t="s">
        <v>3640</v>
      </c>
      <c r="Q530" s="53">
        <v>0</v>
      </c>
      <c r="R530" s="14">
        <v>159</v>
      </c>
    </row>
    <row r="531" spans="2:18" ht="288">
      <c r="B531" s="14">
        <f t="shared" si="86"/>
        <v>48003</v>
      </c>
      <c r="C531" s="23">
        <v>1</v>
      </c>
      <c r="D531" s="14" t="s">
        <v>1429</v>
      </c>
      <c r="E531" s="14"/>
      <c r="F531" s="14" t="s">
        <v>1462</v>
      </c>
      <c r="G531" s="14">
        <v>1</v>
      </c>
      <c r="H531" s="53">
        <v>48003</v>
      </c>
      <c r="I531" s="54" t="s">
        <v>1460</v>
      </c>
      <c r="J531" s="126" t="s">
        <v>3641</v>
      </c>
      <c r="K531" s="126" t="s">
        <v>3642</v>
      </c>
      <c r="L531" s="126" t="s">
        <v>3643</v>
      </c>
      <c r="M531" s="126" t="s">
        <v>3644</v>
      </c>
      <c r="N531" s="126" t="s">
        <v>3645</v>
      </c>
      <c r="O531" s="126" t="s">
        <v>3646</v>
      </c>
      <c r="P531" s="126" t="s">
        <v>3647</v>
      </c>
      <c r="Q531" s="53">
        <v>0</v>
      </c>
      <c r="R531" s="14">
        <v>150</v>
      </c>
    </row>
    <row r="532" spans="2:18" ht="312">
      <c r="B532" s="14">
        <f t="shared" si="86"/>
        <v>48004</v>
      </c>
      <c r="C532" s="23">
        <v>1</v>
      </c>
      <c r="D532" s="14" t="s">
        <v>1429</v>
      </c>
      <c r="E532" s="14"/>
      <c r="F532" s="14" t="s">
        <v>1462</v>
      </c>
      <c r="G532" s="14">
        <v>1</v>
      </c>
      <c r="H532" s="53">
        <v>48004</v>
      </c>
      <c r="I532" s="54" t="s">
        <v>1461</v>
      </c>
      <c r="J532" s="126" t="s">
        <v>3648</v>
      </c>
      <c r="K532" s="126" t="s">
        <v>3649</v>
      </c>
      <c r="L532" s="126" t="s">
        <v>3650</v>
      </c>
      <c r="M532" s="126" t="s">
        <v>3651</v>
      </c>
      <c r="N532" s="126" t="s">
        <v>3652</v>
      </c>
      <c r="O532" s="126" t="s">
        <v>3653</v>
      </c>
      <c r="P532" s="126" t="s">
        <v>3654</v>
      </c>
      <c r="Q532" s="53">
        <v>0</v>
      </c>
      <c r="R532" s="14">
        <v>155</v>
      </c>
    </row>
    <row r="533" spans="2:18" ht="115.5">
      <c r="B533" s="14">
        <f t="shared" si="86"/>
        <v>50001</v>
      </c>
      <c r="C533" s="23">
        <v>1</v>
      </c>
      <c r="D533" s="14" t="s">
        <v>2934</v>
      </c>
      <c r="E533" s="14"/>
      <c r="F533" s="14" t="s">
        <v>2933</v>
      </c>
      <c r="G533" s="14">
        <v>1</v>
      </c>
      <c r="H533" s="127">
        <v>50001</v>
      </c>
      <c r="I533" s="10" t="s">
        <v>2930</v>
      </c>
      <c r="J533" s="10" t="s">
        <v>2935</v>
      </c>
      <c r="K533" s="10" t="s">
        <v>2936</v>
      </c>
      <c r="L533" s="10" t="s">
        <v>2937</v>
      </c>
      <c r="M533" s="10" t="s">
        <v>2938</v>
      </c>
      <c r="N533" s="10" t="s">
        <v>2939</v>
      </c>
      <c r="O533" s="10" t="s">
        <v>2940</v>
      </c>
      <c r="P533" s="10" t="s">
        <v>2941</v>
      </c>
      <c r="Q533" s="9">
        <v>0</v>
      </c>
      <c r="R533" s="14">
        <f t="shared" ref="R533:R561" si="87">IF(LEN(I533)&gt;=333, "Text too Long", LEN(I533))</f>
        <v>16</v>
      </c>
    </row>
    <row r="534" spans="2:18" ht="132">
      <c r="B534" s="14">
        <f t="shared" si="86"/>
        <v>51001</v>
      </c>
      <c r="C534" s="23">
        <v>1</v>
      </c>
      <c r="D534" s="14" t="s">
        <v>2934</v>
      </c>
      <c r="E534" s="14"/>
      <c r="F534" s="14" t="s">
        <v>2933</v>
      </c>
      <c r="G534" s="14">
        <v>1</v>
      </c>
      <c r="H534" s="127">
        <v>51001</v>
      </c>
      <c r="I534" s="10" t="s">
        <v>2931</v>
      </c>
      <c r="J534" s="10" t="s">
        <v>2942</v>
      </c>
      <c r="K534" s="10" t="s">
        <v>2943</v>
      </c>
      <c r="L534" s="10" t="s">
        <v>2944</v>
      </c>
      <c r="M534" s="10" t="s">
        <v>2945</v>
      </c>
      <c r="N534" s="10" t="s">
        <v>2946</v>
      </c>
      <c r="O534" s="10" t="s">
        <v>2947</v>
      </c>
      <c r="P534" s="10" t="s">
        <v>2948</v>
      </c>
      <c r="Q534" s="9">
        <v>0</v>
      </c>
      <c r="R534" s="14">
        <f t="shared" si="87"/>
        <v>33</v>
      </c>
    </row>
    <row r="535" spans="2:18" ht="280.5">
      <c r="B535" s="14">
        <f t="shared" si="86"/>
        <v>52001</v>
      </c>
      <c r="C535" s="23">
        <v>1</v>
      </c>
      <c r="D535" s="14" t="s">
        <v>2934</v>
      </c>
      <c r="E535" s="14"/>
      <c r="F535" s="14" t="s">
        <v>2933</v>
      </c>
      <c r="G535" s="14">
        <v>1</v>
      </c>
      <c r="H535" s="128">
        <v>52001</v>
      </c>
      <c r="I535" s="54" t="s">
        <v>2932</v>
      </c>
      <c r="J535" s="54" t="s">
        <v>2949</v>
      </c>
      <c r="K535" s="54" t="s">
        <v>2950</v>
      </c>
      <c r="L535" s="54" t="s">
        <v>2951</v>
      </c>
      <c r="M535" s="54" t="s">
        <v>2952</v>
      </c>
      <c r="N535" s="54" t="s">
        <v>2953</v>
      </c>
      <c r="O535" s="54" t="s">
        <v>2954</v>
      </c>
      <c r="P535" s="54" t="s">
        <v>2955</v>
      </c>
      <c r="Q535" s="53">
        <v>0</v>
      </c>
      <c r="R535" s="14">
        <f t="shared" si="87"/>
        <v>48</v>
      </c>
    </row>
    <row r="536" spans="2:18">
      <c r="B536" s="14">
        <f t="shared" si="86"/>
        <v>53000</v>
      </c>
      <c r="C536" s="23">
        <v>1</v>
      </c>
      <c r="D536" s="14"/>
      <c r="E536" s="14"/>
      <c r="F536" s="14"/>
      <c r="G536" s="14">
        <v>1</v>
      </c>
      <c r="H536" s="128">
        <v>53000</v>
      </c>
      <c r="I536" s="54" t="s">
        <v>2956</v>
      </c>
      <c r="J536" s="54">
        <v>0</v>
      </c>
      <c r="K536" s="54">
        <v>0</v>
      </c>
      <c r="L536" s="54">
        <v>0</v>
      </c>
      <c r="M536" s="54">
        <v>0</v>
      </c>
      <c r="N536" s="54">
        <v>0</v>
      </c>
      <c r="O536" s="54">
        <v>0</v>
      </c>
      <c r="P536" s="54">
        <v>0</v>
      </c>
      <c r="Q536" s="53">
        <v>0</v>
      </c>
      <c r="R536" s="14">
        <f t="shared" si="87"/>
        <v>10</v>
      </c>
    </row>
    <row r="537" spans="2:18" ht="33">
      <c r="B537" s="14">
        <f t="shared" si="86"/>
        <v>53001</v>
      </c>
      <c r="C537" s="23">
        <v>1</v>
      </c>
      <c r="D537" s="14"/>
      <c r="E537" s="14"/>
      <c r="F537" s="14"/>
      <c r="G537" s="14">
        <v>1</v>
      </c>
      <c r="H537" s="128">
        <v>53001</v>
      </c>
      <c r="I537" s="54" t="s">
        <v>2957</v>
      </c>
      <c r="J537" s="54" t="s">
        <v>2975</v>
      </c>
      <c r="K537" s="54" t="s">
        <v>2976</v>
      </c>
      <c r="L537" s="54" t="s">
        <v>2977</v>
      </c>
      <c r="M537" s="54" t="s">
        <v>2978</v>
      </c>
      <c r="N537" s="54" t="s">
        <v>2979</v>
      </c>
      <c r="O537" s="54" t="s">
        <v>2980</v>
      </c>
      <c r="P537" s="54" t="s">
        <v>2981</v>
      </c>
      <c r="Q537" s="53">
        <v>0</v>
      </c>
      <c r="R537" s="14">
        <f t="shared" si="87"/>
        <v>4</v>
      </c>
    </row>
    <row r="538" spans="2:18">
      <c r="B538" s="14">
        <f t="shared" si="86"/>
        <v>54000</v>
      </c>
      <c r="C538" s="23">
        <v>1</v>
      </c>
      <c r="D538" s="14"/>
      <c r="E538" s="14"/>
      <c r="F538" s="14"/>
      <c r="G538" s="14">
        <v>1</v>
      </c>
      <c r="H538" s="128">
        <v>54000</v>
      </c>
      <c r="I538" s="54" t="s">
        <v>2958</v>
      </c>
      <c r="J538" s="54">
        <v>0</v>
      </c>
      <c r="K538" s="54">
        <v>0</v>
      </c>
      <c r="L538" s="54">
        <v>0</v>
      </c>
      <c r="M538" s="54">
        <v>0</v>
      </c>
      <c r="N538" s="54">
        <v>0</v>
      </c>
      <c r="O538" s="54">
        <v>0</v>
      </c>
      <c r="P538" s="54">
        <v>0</v>
      </c>
      <c r="Q538" s="53">
        <v>0</v>
      </c>
      <c r="R538" s="14">
        <f t="shared" si="87"/>
        <v>12</v>
      </c>
    </row>
    <row r="539" spans="2:18" ht="66">
      <c r="B539" s="14">
        <f t="shared" si="86"/>
        <v>54001</v>
      </c>
      <c r="C539" s="23">
        <v>1</v>
      </c>
      <c r="D539" s="14"/>
      <c r="E539" s="14"/>
      <c r="F539" s="14"/>
      <c r="G539" s="14">
        <v>1</v>
      </c>
      <c r="H539" s="128">
        <v>54001</v>
      </c>
      <c r="I539" s="54" t="s">
        <v>3028</v>
      </c>
      <c r="J539" s="54" t="s">
        <v>3029</v>
      </c>
      <c r="K539" s="54" t="s">
        <v>3030</v>
      </c>
      <c r="L539" s="54" t="s">
        <v>3031</v>
      </c>
      <c r="M539" s="54" t="s">
        <v>3032</v>
      </c>
      <c r="N539" s="54" t="s">
        <v>3033</v>
      </c>
      <c r="O539" s="54" t="s">
        <v>3034</v>
      </c>
      <c r="P539" s="54" t="s">
        <v>3035</v>
      </c>
      <c r="Q539" s="53">
        <v>0</v>
      </c>
      <c r="R539" s="14">
        <f t="shared" si="87"/>
        <v>8</v>
      </c>
    </row>
    <row r="540" spans="2:18">
      <c r="B540" s="14">
        <f t="shared" si="86"/>
        <v>54002</v>
      </c>
      <c r="C540" s="23">
        <v>1</v>
      </c>
      <c r="D540" s="14"/>
      <c r="E540" s="14"/>
      <c r="F540" s="14"/>
      <c r="G540" s="14">
        <v>1</v>
      </c>
      <c r="H540" s="128">
        <v>54002</v>
      </c>
      <c r="I540" s="54" t="s">
        <v>137</v>
      </c>
      <c r="J540" s="54" t="s">
        <v>486</v>
      </c>
      <c r="K540" s="54" t="s">
        <v>484</v>
      </c>
      <c r="L540" s="54" t="s">
        <v>485</v>
      </c>
      <c r="M540" s="54" t="s">
        <v>484</v>
      </c>
      <c r="N540" s="54" t="s">
        <v>741</v>
      </c>
      <c r="O540" s="54" t="s">
        <v>742</v>
      </c>
      <c r="P540" s="54" t="s">
        <v>743</v>
      </c>
      <c r="Q540" s="53">
        <v>0</v>
      </c>
      <c r="R540" s="14">
        <f t="shared" si="87"/>
        <v>2</v>
      </c>
    </row>
    <row r="541" spans="2:18">
      <c r="B541" s="14">
        <f t="shared" si="86"/>
        <v>54003</v>
      </c>
      <c r="C541" s="23">
        <v>1</v>
      </c>
      <c r="D541" s="14"/>
      <c r="E541" s="14"/>
      <c r="F541" s="14"/>
      <c r="G541" s="14">
        <v>1</v>
      </c>
      <c r="H541" s="128">
        <v>54003</v>
      </c>
      <c r="I541" s="54" t="s">
        <v>138</v>
      </c>
      <c r="J541" s="54" t="s">
        <v>2982</v>
      </c>
      <c r="K541" s="54" t="s">
        <v>2983</v>
      </c>
      <c r="L541" s="54" t="s">
        <v>2984</v>
      </c>
      <c r="M541" s="54" t="s">
        <v>2985</v>
      </c>
      <c r="N541" s="54" t="s">
        <v>2986</v>
      </c>
      <c r="O541" s="54" t="s">
        <v>2987</v>
      </c>
      <c r="P541" s="54" t="s">
        <v>2987</v>
      </c>
      <c r="Q541" s="53">
        <v>0</v>
      </c>
      <c r="R541" s="14">
        <f t="shared" si="87"/>
        <v>2</v>
      </c>
    </row>
    <row r="542" spans="2:18">
      <c r="B542" s="14">
        <f t="shared" si="86"/>
        <v>54004</v>
      </c>
      <c r="C542" s="23">
        <v>1</v>
      </c>
      <c r="D542" s="14"/>
      <c r="E542" s="14"/>
      <c r="F542" s="14"/>
      <c r="G542" s="14">
        <v>1</v>
      </c>
      <c r="H542" s="128">
        <v>54004</v>
      </c>
      <c r="I542" s="54" t="s">
        <v>2959</v>
      </c>
      <c r="J542" s="54" t="s">
        <v>2988</v>
      </c>
      <c r="K542" s="54" t="s">
        <v>2989</v>
      </c>
      <c r="L542" s="54" t="s">
        <v>2990</v>
      </c>
      <c r="M542" s="54" t="s">
        <v>2989</v>
      </c>
      <c r="N542" s="54" t="s">
        <v>2991</v>
      </c>
      <c r="O542" s="54" t="s">
        <v>2992</v>
      </c>
      <c r="P542" s="54" t="s">
        <v>743</v>
      </c>
      <c r="Q542" s="53">
        <v>0</v>
      </c>
      <c r="R542" s="14">
        <f t="shared" si="87"/>
        <v>2</v>
      </c>
    </row>
    <row r="543" spans="2:18" ht="33">
      <c r="B543" s="14">
        <f t="shared" si="86"/>
        <v>54005</v>
      </c>
      <c r="C543" s="23">
        <v>1</v>
      </c>
      <c r="D543" s="14"/>
      <c r="E543" s="14"/>
      <c r="F543" s="14"/>
      <c r="G543" s="14">
        <v>1</v>
      </c>
      <c r="H543" s="128">
        <v>54005</v>
      </c>
      <c r="I543" s="54" t="s">
        <v>2960</v>
      </c>
      <c r="J543" s="54" t="s">
        <v>2993</v>
      </c>
      <c r="K543" s="54" t="s">
        <v>2994</v>
      </c>
      <c r="L543" s="54" t="s">
        <v>2995</v>
      </c>
      <c r="M543" s="54" t="s">
        <v>2996</v>
      </c>
      <c r="N543" s="54" t="s">
        <v>2997</v>
      </c>
      <c r="O543" s="54" t="s">
        <v>2998</v>
      </c>
      <c r="P543" s="54" t="s">
        <v>2999</v>
      </c>
      <c r="Q543" s="53">
        <v>0</v>
      </c>
      <c r="R543" s="14">
        <f t="shared" si="87"/>
        <v>5</v>
      </c>
    </row>
    <row r="544" spans="2:18" ht="33">
      <c r="B544" s="14">
        <f t="shared" si="86"/>
        <v>54006</v>
      </c>
      <c r="C544" s="23">
        <v>1</v>
      </c>
      <c r="D544" s="14"/>
      <c r="E544" s="14"/>
      <c r="F544" s="14"/>
      <c r="G544" s="14">
        <v>1</v>
      </c>
      <c r="H544" s="128">
        <v>54006</v>
      </c>
      <c r="I544" s="54" t="s">
        <v>2961</v>
      </c>
      <c r="J544" s="54" t="s">
        <v>3000</v>
      </c>
      <c r="K544" s="54" t="s">
        <v>3001</v>
      </c>
      <c r="L544" s="54" t="s">
        <v>3002</v>
      </c>
      <c r="M544" s="54" t="s">
        <v>3003</v>
      </c>
      <c r="N544" s="54" t="s">
        <v>3004</v>
      </c>
      <c r="O544" s="54" t="s">
        <v>3005</v>
      </c>
      <c r="P544" s="54" t="s">
        <v>3006</v>
      </c>
      <c r="Q544" s="53">
        <v>0</v>
      </c>
      <c r="R544" s="14">
        <f t="shared" si="87"/>
        <v>6</v>
      </c>
    </row>
    <row r="545" spans="2:18">
      <c r="B545" s="14">
        <f t="shared" si="86"/>
        <v>55000</v>
      </c>
      <c r="C545" s="23">
        <v>1</v>
      </c>
      <c r="D545" s="14"/>
      <c r="E545" s="14"/>
      <c r="F545" s="14"/>
      <c r="G545" s="14">
        <v>1</v>
      </c>
      <c r="H545" s="128">
        <v>55000</v>
      </c>
      <c r="I545" s="54" t="s">
        <v>2962</v>
      </c>
      <c r="J545" s="54">
        <v>0</v>
      </c>
      <c r="K545" s="54">
        <v>0</v>
      </c>
      <c r="L545" s="54">
        <v>0</v>
      </c>
      <c r="M545" s="54">
        <v>0</v>
      </c>
      <c r="N545" s="54">
        <v>0</v>
      </c>
      <c r="O545" s="54">
        <v>0</v>
      </c>
      <c r="P545" s="54">
        <v>0</v>
      </c>
      <c r="Q545" s="53">
        <v>0</v>
      </c>
      <c r="R545" s="14">
        <f t="shared" si="87"/>
        <v>10</v>
      </c>
    </row>
    <row r="546" spans="2:18" ht="148.5">
      <c r="B546" s="14">
        <f t="shared" si="86"/>
        <v>55001</v>
      </c>
      <c r="C546" s="23">
        <v>1</v>
      </c>
      <c r="D546" s="14"/>
      <c r="E546" s="14"/>
      <c r="F546" s="14"/>
      <c r="G546" s="14">
        <v>1</v>
      </c>
      <c r="H546" s="128">
        <v>55001</v>
      </c>
      <c r="I546" s="54" t="s">
        <v>3036</v>
      </c>
      <c r="J546" s="54" t="s">
        <v>3037</v>
      </c>
      <c r="K546" s="54" t="s">
        <v>3038</v>
      </c>
      <c r="L546" s="54" t="s">
        <v>3039</v>
      </c>
      <c r="M546" s="54" t="s">
        <v>3040</v>
      </c>
      <c r="N546" s="54" t="s">
        <v>3041</v>
      </c>
      <c r="O546" s="54" t="s">
        <v>3042</v>
      </c>
      <c r="P546" s="54" t="s">
        <v>3043</v>
      </c>
      <c r="Q546" s="53">
        <v>0</v>
      </c>
      <c r="R546" s="14">
        <f t="shared" si="87"/>
        <v>42</v>
      </c>
    </row>
    <row r="547" spans="2:18" ht="409.5">
      <c r="B547" s="14">
        <f t="shared" si="86"/>
        <v>55002</v>
      </c>
      <c r="C547" s="23">
        <v>1</v>
      </c>
      <c r="D547" s="14"/>
      <c r="E547" s="14"/>
      <c r="F547" s="14"/>
      <c r="G547" s="14">
        <v>1</v>
      </c>
      <c r="H547" s="128">
        <v>55002</v>
      </c>
      <c r="I547" s="54" t="s">
        <v>2963</v>
      </c>
      <c r="J547" s="54" t="s">
        <v>3007</v>
      </c>
      <c r="K547" s="54" t="s">
        <v>3008</v>
      </c>
      <c r="L547" s="54" t="s">
        <v>3009</v>
      </c>
      <c r="M547" s="54" t="s">
        <v>3010</v>
      </c>
      <c r="N547" s="54" t="s">
        <v>3011</v>
      </c>
      <c r="O547" s="54" t="s">
        <v>3012</v>
      </c>
      <c r="P547" s="54" t="s">
        <v>3013</v>
      </c>
      <c r="Q547" s="53">
        <v>0</v>
      </c>
      <c r="R547" s="14">
        <f t="shared" si="87"/>
        <v>110</v>
      </c>
    </row>
    <row r="548" spans="2:18" ht="346.5">
      <c r="B548" s="14">
        <f t="shared" si="86"/>
        <v>55003</v>
      </c>
      <c r="C548" s="23">
        <v>1</v>
      </c>
      <c r="D548" s="14"/>
      <c r="E548" s="14"/>
      <c r="F548" s="14"/>
      <c r="G548" s="14">
        <v>1</v>
      </c>
      <c r="H548" s="128">
        <v>55003</v>
      </c>
      <c r="I548" s="54" t="s">
        <v>2964</v>
      </c>
      <c r="J548" s="54" t="s">
        <v>3044</v>
      </c>
      <c r="K548" s="54" t="s">
        <v>3045</v>
      </c>
      <c r="L548" s="54" t="s">
        <v>3046</v>
      </c>
      <c r="M548" s="54" t="s">
        <v>3047</v>
      </c>
      <c r="N548" s="54" t="s">
        <v>3048</v>
      </c>
      <c r="O548" s="54" t="s">
        <v>3049</v>
      </c>
      <c r="P548" s="54" t="s">
        <v>3050</v>
      </c>
      <c r="Q548" s="53">
        <v>0</v>
      </c>
      <c r="R548" s="14">
        <f t="shared" si="87"/>
        <v>87</v>
      </c>
    </row>
    <row r="549" spans="2:18" ht="346.5">
      <c r="B549" s="14">
        <f t="shared" si="86"/>
        <v>55004</v>
      </c>
      <c r="C549" s="23">
        <v>1</v>
      </c>
      <c r="D549" s="14"/>
      <c r="E549" s="14"/>
      <c r="F549" s="14"/>
      <c r="G549" s="14">
        <v>1</v>
      </c>
      <c r="H549" s="128">
        <v>55004</v>
      </c>
      <c r="I549" s="54" t="s">
        <v>2965</v>
      </c>
      <c r="J549" s="54" t="s">
        <v>3051</v>
      </c>
      <c r="K549" s="54" t="s">
        <v>3052</v>
      </c>
      <c r="L549" s="54" t="s">
        <v>3053</v>
      </c>
      <c r="M549" s="54" t="s">
        <v>3054</v>
      </c>
      <c r="N549" s="54" t="s">
        <v>3055</v>
      </c>
      <c r="O549" s="54" t="s">
        <v>3056</v>
      </c>
      <c r="P549" s="54" t="s">
        <v>3057</v>
      </c>
      <c r="Q549" s="53">
        <v>0</v>
      </c>
      <c r="R549" s="14">
        <f t="shared" si="87"/>
        <v>84</v>
      </c>
    </row>
    <row r="550" spans="2:18" ht="363">
      <c r="B550" s="14">
        <f t="shared" si="86"/>
        <v>55005</v>
      </c>
      <c r="C550" s="23">
        <v>1</v>
      </c>
      <c r="D550" s="14"/>
      <c r="E550" s="14"/>
      <c r="F550" s="14"/>
      <c r="G550" s="14">
        <v>1</v>
      </c>
      <c r="H550" s="128">
        <v>55005</v>
      </c>
      <c r="I550" s="54" t="s">
        <v>2966</v>
      </c>
      <c r="J550" s="54" t="s">
        <v>3058</v>
      </c>
      <c r="K550" s="54" t="s">
        <v>3059</v>
      </c>
      <c r="L550" s="54" t="s">
        <v>3060</v>
      </c>
      <c r="M550" s="54" t="s">
        <v>3061</v>
      </c>
      <c r="N550" s="54" t="s">
        <v>3062</v>
      </c>
      <c r="O550" s="54" t="s">
        <v>3063</v>
      </c>
      <c r="P550" s="54" t="s">
        <v>3064</v>
      </c>
      <c r="Q550" s="53">
        <v>0</v>
      </c>
      <c r="R550" s="14">
        <f t="shared" si="87"/>
        <v>86</v>
      </c>
    </row>
    <row r="551" spans="2:18" ht="379.5">
      <c r="B551" s="14">
        <f t="shared" si="86"/>
        <v>55006</v>
      </c>
      <c r="C551" s="23">
        <v>1</v>
      </c>
      <c r="D551" s="14"/>
      <c r="E551" s="14"/>
      <c r="F551" s="14"/>
      <c r="G551" s="14">
        <v>1</v>
      </c>
      <c r="H551" s="128">
        <v>55006</v>
      </c>
      <c r="I551" s="54" t="s">
        <v>2967</v>
      </c>
      <c r="J551" s="54" t="s">
        <v>3065</v>
      </c>
      <c r="K551" s="54" t="s">
        <v>3066</v>
      </c>
      <c r="L551" s="54" t="s">
        <v>3067</v>
      </c>
      <c r="M551" s="54" t="s">
        <v>3068</v>
      </c>
      <c r="N551" s="54" t="s">
        <v>3069</v>
      </c>
      <c r="O551" s="54" t="s">
        <v>3070</v>
      </c>
      <c r="P551" s="54" t="s">
        <v>3071</v>
      </c>
      <c r="Q551" s="53">
        <v>0</v>
      </c>
      <c r="R551" s="14">
        <f t="shared" si="87"/>
        <v>87</v>
      </c>
    </row>
    <row r="552" spans="2:18" ht="330">
      <c r="B552" s="14">
        <f t="shared" si="86"/>
        <v>55007</v>
      </c>
      <c r="C552" s="23">
        <v>1</v>
      </c>
      <c r="D552" s="14"/>
      <c r="E552" s="14"/>
      <c r="F552" s="14"/>
      <c r="G552" s="14">
        <v>1</v>
      </c>
      <c r="H552" s="128">
        <v>55007</v>
      </c>
      <c r="I552" s="54" t="s">
        <v>2968</v>
      </c>
      <c r="J552" s="54" t="s">
        <v>3072</v>
      </c>
      <c r="K552" s="54" t="s">
        <v>3073</v>
      </c>
      <c r="L552" s="54" t="s">
        <v>3074</v>
      </c>
      <c r="M552" s="54" t="s">
        <v>3075</v>
      </c>
      <c r="N552" s="54" t="s">
        <v>3076</v>
      </c>
      <c r="O552" s="54" t="s">
        <v>3077</v>
      </c>
      <c r="P552" s="54" t="s">
        <v>3078</v>
      </c>
      <c r="Q552" s="53">
        <v>0</v>
      </c>
      <c r="R552" s="14">
        <f t="shared" si="87"/>
        <v>75</v>
      </c>
    </row>
    <row r="553" spans="2:18" ht="330">
      <c r="B553" s="14">
        <f t="shared" si="86"/>
        <v>55012</v>
      </c>
      <c r="C553" s="23">
        <v>1</v>
      </c>
      <c r="D553" s="14"/>
      <c r="E553" s="14"/>
      <c r="F553" s="14"/>
      <c r="G553" s="14">
        <v>1</v>
      </c>
      <c r="H553" s="128">
        <v>55012</v>
      </c>
      <c r="I553" s="54" t="s">
        <v>2969</v>
      </c>
      <c r="J553" s="54" t="s">
        <v>3014</v>
      </c>
      <c r="K553" s="54" t="s">
        <v>3015</v>
      </c>
      <c r="L553" s="54" t="s">
        <v>3016</v>
      </c>
      <c r="M553" s="54" t="s">
        <v>3017</v>
      </c>
      <c r="N553" s="54" t="s">
        <v>3018</v>
      </c>
      <c r="O553" s="54" t="s">
        <v>3019</v>
      </c>
      <c r="P553" s="54" t="s">
        <v>3020</v>
      </c>
      <c r="Q553" s="53">
        <v>0</v>
      </c>
      <c r="R553" s="14">
        <f t="shared" si="87"/>
        <v>91</v>
      </c>
    </row>
    <row r="554" spans="2:18" ht="363">
      <c r="B554" s="14">
        <f t="shared" si="86"/>
        <v>55013</v>
      </c>
      <c r="C554" s="23">
        <v>1</v>
      </c>
      <c r="D554" s="14"/>
      <c r="E554" s="14"/>
      <c r="F554" s="14"/>
      <c r="G554" s="14">
        <v>1</v>
      </c>
      <c r="H554" s="128">
        <v>55013</v>
      </c>
      <c r="I554" s="54" t="s">
        <v>2970</v>
      </c>
      <c r="J554" s="54" t="s">
        <v>3079</v>
      </c>
      <c r="K554" s="54" t="s">
        <v>3080</v>
      </c>
      <c r="L554" s="54" t="s">
        <v>3081</v>
      </c>
      <c r="M554" s="54" t="s">
        <v>3082</v>
      </c>
      <c r="N554" s="54" t="s">
        <v>3083</v>
      </c>
      <c r="O554" s="54" t="s">
        <v>3084</v>
      </c>
      <c r="P554" s="54" t="s">
        <v>3085</v>
      </c>
      <c r="Q554" s="53">
        <v>0</v>
      </c>
      <c r="R554" s="14">
        <f t="shared" si="87"/>
        <v>90</v>
      </c>
    </row>
    <row r="555" spans="2:18" ht="409.5">
      <c r="B555" s="14">
        <f t="shared" si="86"/>
        <v>55014</v>
      </c>
      <c r="C555" s="23">
        <v>1</v>
      </c>
      <c r="D555" s="14"/>
      <c r="E555" s="14"/>
      <c r="F555" s="14"/>
      <c r="G555" s="14">
        <v>1</v>
      </c>
      <c r="H555" s="128">
        <v>55014</v>
      </c>
      <c r="I555" s="54" t="s">
        <v>2971</v>
      </c>
      <c r="J555" s="54" t="s">
        <v>3086</v>
      </c>
      <c r="K555" s="54" t="s">
        <v>3087</v>
      </c>
      <c r="L555" s="54" t="s">
        <v>3088</v>
      </c>
      <c r="M555" s="54" t="s">
        <v>3089</v>
      </c>
      <c r="N555" s="54" t="s">
        <v>3090</v>
      </c>
      <c r="O555" s="54" t="s">
        <v>3091</v>
      </c>
      <c r="P555" s="54" t="s">
        <v>3092</v>
      </c>
      <c r="Q555" s="53">
        <v>0</v>
      </c>
      <c r="R555" s="14">
        <f t="shared" si="87"/>
        <v>108</v>
      </c>
    </row>
    <row r="556" spans="2:18" ht="409.5">
      <c r="B556" s="14">
        <f t="shared" si="86"/>
        <v>55015</v>
      </c>
      <c r="C556" s="23">
        <v>1</v>
      </c>
      <c r="D556" s="14"/>
      <c r="E556" s="14"/>
      <c r="F556" s="14"/>
      <c r="G556" s="14">
        <v>1</v>
      </c>
      <c r="H556" s="128">
        <v>55015</v>
      </c>
      <c r="I556" s="54" t="s">
        <v>2972</v>
      </c>
      <c r="J556" s="54" t="s">
        <v>3093</v>
      </c>
      <c r="K556" s="54" t="s">
        <v>3094</v>
      </c>
      <c r="L556" s="54" t="s">
        <v>3095</v>
      </c>
      <c r="M556" s="54" t="s">
        <v>3096</v>
      </c>
      <c r="N556" s="54" t="s">
        <v>3097</v>
      </c>
      <c r="O556" s="54" t="s">
        <v>3098</v>
      </c>
      <c r="P556" s="54" t="s">
        <v>3099</v>
      </c>
      <c r="Q556" s="53">
        <v>0</v>
      </c>
      <c r="R556" s="14">
        <f t="shared" si="87"/>
        <v>130</v>
      </c>
    </row>
    <row r="557" spans="2:18" ht="409.5">
      <c r="B557" s="14">
        <f t="shared" si="86"/>
        <v>55016</v>
      </c>
      <c r="C557" s="23">
        <v>1</v>
      </c>
      <c r="D557" s="14"/>
      <c r="E557" s="14"/>
      <c r="F557" s="14"/>
      <c r="G557" s="14">
        <v>1</v>
      </c>
      <c r="H557" s="128">
        <v>55016</v>
      </c>
      <c r="I557" s="54" t="s">
        <v>2973</v>
      </c>
      <c r="J557" s="54" t="s">
        <v>3100</v>
      </c>
      <c r="K557" s="54" t="s">
        <v>3101</v>
      </c>
      <c r="L557" s="54" t="s">
        <v>3102</v>
      </c>
      <c r="M557" s="54" t="s">
        <v>3103</v>
      </c>
      <c r="N557" s="54" t="s">
        <v>3104</v>
      </c>
      <c r="O557" s="54" t="s">
        <v>3105</v>
      </c>
      <c r="P557" s="54" t="s">
        <v>3106</v>
      </c>
      <c r="Q557" s="53">
        <v>0</v>
      </c>
      <c r="R557" s="14">
        <f t="shared" si="87"/>
        <v>135</v>
      </c>
    </row>
    <row r="558" spans="2:18" ht="346.5">
      <c r="B558" s="14">
        <f t="shared" si="86"/>
        <v>55017</v>
      </c>
      <c r="C558" s="23">
        <v>1</v>
      </c>
      <c r="D558" s="14"/>
      <c r="E558" s="14"/>
      <c r="F558" s="14"/>
      <c r="G558" s="14">
        <v>1</v>
      </c>
      <c r="H558" s="128">
        <v>55017</v>
      </c>
      <c r="I558" s="54" t="s">
        <v>2974</v>
      </c>
      <c r="J558" s="54" t="s">
        <v>3021</v>
      </c>
      <c r="K558" s="54" t="s">
        <v>3022</v>
      </c>
      <c r="L558" s="54" t="s">
        <v>3023</v>
      </c>
      <c r="M558" s="54" t="s">
        <v>3024</v>
      </c>
      <c r="N558" s="54" t="s">
        <v>3025</v>
      </c>
      <c r="O558" s="54" t="s">
        <v>3026</v>
      </c>
      <c r="P558" s="54" t="s">
        <v>3027</v>
      </c>
      <c r="Q558" s="53">
        <v>0</v>
      </c>
      <c r="R558" s="14">
        <f t="shared" si="87"/>
        <v>89</v>
      </c>
    </row>
    <row r="559" spans="2:18">
      <c r="B559" s="14">
        <f t="shared" si="86"/>
        <v>3007</v>
      </c>
      <c r="C559" s="23">
        <v>0</v>
      </c>
      <c r="D559" s="14">
        <v>0</v>
      </c>
      <c r="E559" s="14">
        <v>0</v>
      </c>
      <c r="F559" s="14" t="s">
        <v>3293</v>
      </c>
      <c r="G559" s="14">
        <v>1</v>
      </c>
      <c r="H559" s="53">
        <v>3007</v>
      </c>
      <c r="I559" s="113" t="s">
        <v>3295</v>
      </c>
      <c r="J559" s="33" t="s">
        <v>3297</v>
      </c>
      <c r="K559" s="33" t="s">
        <v>3298</v>
      </c>
      <c r="L559" s="33" t="s">
        <v>3299</v>
      </c>
      <c r="M559" s="33" t="s">
        <v>3300</v>
      </c>
      <c r="N559" s="33" t="s">
        <v>3301</v>
      </c>
      <c r="O559" s="33" t="s">
        <v>3302</v>
      </c>
      <c r="P559" s="33" t="s">
        <v>3303</v>
      </c>
      <c r="Q559" s="53">
        <v>0</v>
      </c>
      <c r="R559" s="14">
        <f t="shared" si="87"/>
        <v>25</v>
      </c>
    </row>
    <row r="560" spans="2:18" ht="33">
      <c r="B560" s="14">
        <f t="shared" si="86"/>
        <v>4007</v>
      </c>
      <c r="C560" s="23">
        <v>0</v>
      </c>
      <c r="D560" s="14">
        <v>0</v>
      </c>
      <c r="E560" s="14">
        <v>0</v>
      </c>
      <c r="F560" s="14" t="s">
        <v>3293</v>
      </c>
      <c r="G560" s="14">
        <v>1</v>
      </c>
      <c r="H560" s="53">
        <v>4007</v>
      </c>
      <c r="I560" s="113" t="s">
        <v>3296</v>
      </c>
      <c r="J560" s="33" t="s">
        <v>3304</v>
      </c>
      <c r="K560" s="33" t="s">
        <v>3305</v>
      </c>
      <c r="L560" s="33" t="s">
        <v>3306</v>
      </c>
      <c r="M560" s="33" t="s">
        <v>3307</v>
      </c>
      <c r="N560" s="33" t="s">
        <v>3308</v>
      </c>
      <c r="O560" s="33" t="s">
        <v>3309</v>
      </c>
      <c r="P560" s="33" t="s">
        <v>3310</v>
      </c>
      <c r="Q560" s="53">
        <v>0</v>
      </c>
      <c r="R560" s="14">
        <f t="shared" si="87"/>
        <v>38</v>
      </c>
    </row>
    <row r="561" spans="2:18">
      <c r="B561" s="14">
        <f t="shared" si="86"/>
        <v>5007</v>
      </c>
      <c r="C561" s="23">
        <v>0</v>
      </c>
      <c r="D561" s="14">
        <v>0</v>
      </c>
      <c r="E561" s="14">
        <v>0</v>
      </c>
      <c r="F561" s="14" t="s">
        <v>3293</v>
      </c>
      <c r="G561" s="14">
        <v>1</v>
      </c>
      <c r="H561" s="53">
        <v>5007</v>
      </c>
      <c r="I561" s="16" t="s">
        <v>3593</v>
      </c>
      <c r="J561" s="33" t="s">
        <v>3594</v>
      </c>
      <c r="K561" s="33" t="s">
        <v>3595</v>
      </c>
      <c r="L561" s="33" t="s">
        <v>3596</v>
      </c>
      <c r="M561" s="33" t="s">
        <v>3597</v>
      </c>
      <c r="N561" s="86" t="s">
        <v>3598</v>
      </c>
      <c r="O561" s="33" t="s">
        <v>3599</v>
      </c>
      <c r="P561" s="33" t="s">
        <v>3600</v>
      </c>
      <c r="Q561" s="53">
        <v>0</v>
      </c>
      <c r="R561" s="14">
        <f t="shared" si="87"/>
        <v>32</v>
      </c>
    </row>
    <row r="562" spans="2:18">
      <c r="B562" s="14">
        <f>H562</f>
        <v>36401</v>
      </c>
      <c r="C562" s="23">
        <v>0</v>
      </c>
      <c r="D562" s="23"/>
      <c r="E562" s="23"/>
      <c r="F562" s="23" t="s">
        <v>3120</v>
      </c>
      <c r="G562" s="23">
        <v>1</v>
      </c>
      <c r="H562" s="80">
        <v>36401</v>
      </c>
      <c r="I562" s="16" t="s">
        <v>149</v>
      </c>
      <c r="J562" s="33" t="s">
        <v>3171</v>
      </c>
      <c r="K562" s="33" t="s">
        <v>3172</v>
      </c>
      <c r="L562" s="33" t="s">
        <v>3173</v>
      </c>
      <c r="M562" s="33" t="s">
        <v>3174</v>
      </c>
      <c r="N562" s="49" t="s">
        <v>3175</v>
      </c>
      <c r="O562" s="33" t="s">
        <v>3176</v>
      </c>
      <c r="P562" s="33" t="s">
        <v>3177</v>
      </c>
      <c r="Q562" s="14">
        <v>0</v>
      </c>
      <c r="R562" s="14">
        <v>11</v>
      </c>
    </row>
    <row r="563" spans="2:18">
      <c r="B563" s="14">
        <f t="shared" ref="B563:B591" si="88">H563</f>
        <v>36402</v>
      </c>
      <c r="C563" s="23">
        <v>0</v>
      </c>
      <c r="D563" s="23"/>
      <c r="E563" s="23"/>
      <c r="F563" s="23" t="s">
        <v>3120</v>
      </c>
      <c r="G563" s="23">
        <v>1</v>
      </c>
      <c r="H563" s="80">
        <v>36402</v>
      </c>
      <c r="I563" s="16" t="s">
        <v>149</v>
      </c>
      <c r="J563" s="33" t="s">
        <v>3171</v>
      </c>
      <c r="K563" s="33" t="s">
        <v>3172</v>
      </c>
      <c r="L563" s="33" t="s">
        <v>3173</v>
      </c>
      <c r="M563" s="33" t="s">
        <v>3174</v>
      </c>
      <c r="N563" s="49" t="s">
        <v>3175</v>
      </c>
      <c r="O563" s="33" t="s">
        <v>3176</v>
      </c>
      <c r="P563" s="33" t="s">
        <v>3177</v>
      </c>
      <c r="Q563" s="14">
        <v>0</v>
      </c>
      <c r="R563" s="14">
        <v>11</v>
      </c>
    </row>
    <row r="564" spans="2:18">
      <c r="B564" s="14">
        <f t="shared" si="88"/>
        <v>36403</v>
      </c>
      <c r="C564" s="23">
        <v>0</v>
      </c>
      <c r="D564" s="23"/>
      <c r="E564" s="23"/>
      <c r="F564" s="23" t="s">
        <v>3120</v>
      </c>
      <c r="G564" s="23">
        <v>1</v>
      </c>
      <c r="H564" s="80">
        <v>36403</v>
      </c>
      <c r="I564" s="16" t="s">
        <v>149</v>
      </c>
      <c r="J564" s="33" t="s">
        <v>3171</v>
      </c>
      <c r="K564" s="33" t="s">
        <v>3172</v>
      </c>
      <c r="L564" s="33" t="s">
        <v>3173</v>
      </c>
      <c r="M564" s="33" t="s">
        <v>3174</v>
      </c>
      <c r="N564" s="49" t="s">
        <v>3175</v>
      </c>
      <c r="O564" s="33" t="s">
        <v>3176</v>
      </c>
      <c r="P564" s="33" t="s">
        <v>3177</v>
      </c>
      <c r="Q564" s="14">
        <v>0</v>
      </c>
      <c r="R564" s="14">
        <v>11</v>
      </c>
    </row>
    <row r="565" spans="2:18">
      <c r="B565" s="14">
        <f t="shared" si="88"/>
        <v>36404</v>
      </c>
      <c r="C565" s="23">
        <v>0</v>
      </c>
      <c r="D565" s="23"/>
      <c r="E565" s="23"/>
      <c r="F565" s="23" t="s">
        <v>3120</v>
      </c>
      <c r="G565" s="23">
        <v>1</v>
      </c>
      <c r="H565" s="80">
        <v>36404</v>
      </c>
      <c r="I565" s="16" t="s">
        <v>149</v>
      </c>
      <c r="J565" s="33" t="s">
        <v>3171</v>
      </c>
      <c r="K565" s="33" t="s">
        <v>3172</v>
      </c>
      <c r="L565" s="33" t="s">
        <v>3173</v>
      </c>
      <c r="M565" s="33" t="s">
        <v>3174</v>
      </c>
      <c r="N565" s="49" t="s">
        <v>3175</v>
      </c>
      <c r="O565" s="33" t="s">
        <v>3176</v>
      </c>
      <c r="P565" s="33" t="s">
        <v>3177</v>
      </c>
      <c r="Q565" s="14">
        <v>0</v>
      </c>
      <c r="R565" s="14">
        <v>11</v>
      </c>
    </row>
    <row r="566" spans="2:18">
      <c r="B566" s="14">
        <f t="shared" si="88"/>
        <v>36405</v>
      </c>
      <c r="C566" s="23">
        <v>0</v>
      </c>
      <c r="D566" s="23"/>
      <c r="E566" s="23"/>
      <c r="F566" s="23" t="s">
        <v>3120</v>
      </c>
      <c r="G566" s="23">
        <v>1</v>
      </c>
      <c r="H566" s="80">
        <v>36405</v>
      </c>
      <c r="I566" s="16" t="s">
        <v>149</v>
      </c>
      <c r="J566" s="33" t="s">
        <v>3171</v>
      </c>
      <c r="K566" s="33" t="s">
        <v>3172</v>
      </c>
      <c r="L566" s="33" t="s">
        <v>3173</v>
      </c>
      <c r="M566" s="33" t="s">
        <v>3174</v>
      </c>
      <c r="N566" s="49" t="s">
        <v>3175</v>
      </c>
      <c r="O566" s="33" t="s">
        <v>3176</v>
      </c>
      <c r="P566" s="33" t="s">
        <v>3177</v>
      </c>
      <c r="Q566" s="14">
        <v>0</v>
      </c>
      <c r="R566" s="14">
        <v>11</v>
      </c>
    </row>
    <row r="567" spans="2:18">
      <c r="B567" s="14">
        <f t="shared" si="88"/>
        <v>36406</v>
      </c>
      <c r="C567" s="23">
        <v>0</v>
      </c>
      <c r="D567" s="23"/>
      <c r="E567" s="23"/>
      <c r="F567" s="23" t="s">
        <v>3120</v>
      </c>
      <c r="G567" s="23">
        <v>1</v>
      </c>
      <c r="H567" s="80">
        <v>36406</v>
      </c>
      <c r="I567" s="16" t="s">
        <v>149</v>
      </c>
      <c r="J567" s="33" t="s">
        <v>3171</v>
      </c>
      <c r="K567" s="33" t="s">
        <v>3172</v>
      </c>
      <c r="L567" s="33" t="s">
        <v>3173</v>
      </c>
      <c r="M567" s="33" t="s">
        <v>3174</v>
      </c>
      <c r="N567" s="49" t="s">
        <v>3175</v>
      </c>
      <c r="O567" s="33" t="s">
        <v>3176</v>
      </c>
      <c r="P567" s="33" t="s">
        <v>3177</v>
      </c>
      <c r="Q567" s="14">
        <v>0</v>
      </c>
      <c r="R567" s="14">
        <v>11</v>
      </c>
    </row>
    <row r="568" spans="2:18">
      <c r="B568" s="14">
        <f t="shared" si="88"/>
        <v>36407</v>
      </c>
      <c r="C568" s="23">
        <v>0</v>
      </c>
      <c r="D568" s="23"/>
      <c r="E568" s="23"/>
      <c r="F568" s="23" t="s">
        <v>3120</v>
      </c>
      <c r="G568" s="23">
        <v>1</v>
      </c>
      <c r="H568" s="80">
        <v>36407</v>
      </c>
      <c r="I568" s="16" t="s">
        <v>149</v>
      </c>
      <c r="J568" s="33" t="s">
        <v>3171</v>
      </c>
      <c r="K568" s="33" t="s">
        <v>3172</v>
      </c>
      <c r="L568" s="33" t="s">
        <v>3173</v>
      </c>
      <c r="M568" s="33" t="s">
        <v>3174</v>
      </c>
      <c r="N568" s="49" t="s">
        <v>3175</v>
      </c>
      <c r="O568" s="33" t="s">
        <v>3176</v>
      </c>
      <c r="P568" s="33" t="s">
        <v>3177</v>
      </c>
      <c r="Q568" s="14">
        <v>0</v>
      </c>
      <c r="R568" s="14">
        <v>11</v>
      </c>
    </row>
    <row r="569" spans="2:18">
      <c r="B569" s="14">
        <f t="shared" si="88"/>
        <v>36408</v>
      </c>
      <c r="C569" s="23">
        <v>0</v>
      </c>
      <c r="D569" s="23"/>
      <c r="E569" s="23"/>
      <c r="F569" s="23" t="s">
        <v>3120</v>
      </c>
      <c r="G569" s="23">
        <v>1</v>
      </c>
      <c r="H569" s="80">
        <v>36408</v>
      </c>
      <c r="I569" s="16" t="s">
        <v>149</v>
      </c>
      <c r="J569" s="33" t="s">
        <v>3171</v>
      </c>
      <c r="K569" s="33" t="s">
        <v>3172</v>
      </c>
      <c r="L569" s="33" t="s">
        <v>3173</v>
      </c>
      <c r="M569" s="33" t="s">
        <v>3174</v>
      </c>
      <c r="N569" s="49" t="s">
        <v>3175</v>
      </c>
      <c r="O569" s="33" t="s">
        <v>3176</v>
      </c>
      <c r="P569" s="33" t="s">
        <v>3177</v>
      </c>
      <c r="Q569" s="14">
        <v>0</v>
      </c>
      <c r="R569" s="14">
        <v>11</v>
      </c>
    </row>
    <row r="570" spans="2:18">
      <c r="B570" s="14">
        <f t="shared" si="88"/>
        <v>36409</v>
      </c>
      <c r="C570" s="23">
        <v>0</v>
      </c>
      <c r="D570" s="23"/>
      <c r="E570" s="23"/>
      <c r="F570" s="23" t="s">
        <v>3120</v>
      </c>
      <c r="G570" s="23">
        <v>1</v>
      </c>
      <c r="H570" s="80">
        <v>36409</v>
      </c>
      <c r="I570" s="16" t="s">
        <v>149</v>
      </c>
      <c r="J570" s="33" t="s">
        <v>3171</v>
      </c>
      <c r="K570" s="33" t="s">
        <v>3172</v>
      </c>
      <c r="L570" s="33" t="s">
        <v>3173</v>
      </c>
      <c r="M570" s="33" t="s">
        <v>3174</v>
      </c>
      <c r="N570" s="49" t="s">
        <v>3175</v>
      </c>
      <c r="O570" s="33" t="s">
        <v>3176</v>
      </c>
      <c r="P570" s="33" t="s">
        <v>3177</v>
      </c>
      <c r="Q570" s="14">
        <v>0</v>
      </c>
      <c r="R570" s="14">
        <v>11</v>
      </c>
    </row>
    <row r="571" spans="2:18">
      <c r="B571" s="14">
        <f t="shared" si="88"/>
        <v>36410</v>
      </c>
      <c r="C571" s="23">
        <v>0</v>
      </c>
      <c r="D571" s="23"/>
      <c r="E571" s="23"/>
      <c r="F571" s="23" t="s">
        <v>3120</v>
      </c>
      <c r="G571" s="23">
        <v>1</v>
      </c>
      <c r="H571" s="80">
        <v>36410</v>
      </c>
      <c r="I571" s="16" t="s">
        <v>149</v>
      </c>
      <c r="J571" s="33" t="s">
        <v>3171</v>
      </c>
      <c r="K571" s="33" t="s">
        <v>3172</v>
      </c>
      <c r="L571" s="33" t="s">
        <v>3173</v>
      </c>
      <c r="M571" s="33" t="s">
        <v>3174</v>
      </c>
      <c r="N571" s="49" t="s">
        <v>3175</v>
      </c>
      <c r="O571" s="33" t="s">
        <v>3176</v>
      </c>
      <c r="P571" s="33" t="s">
        <v>3177</v>
      </c>
      <c r="Q571" s="14">
        <v>0</v>
      </c>
      <c r="R571" s="14">
        <v>11</v>
      </c>
    </row>
    <row r="572" spans="2:18">
      <c r="B572" s="14">
        <f t="shared" ref="B572" si="89">H572</f>
        <v>36411</v>
      </c>
      <c r="C572" s="23">
        <v>0</v>
      </c>
      <c r="D572" s="23"/>
      <c r="E572" s="23"/>
      <c r="F572" s="23" t="s">
        <v>3120</v>
      </c>
      <c r="G572" s="23">
        <v>1</v>
      </c>
      <c r="H572" s="80">
        <v>36411</v>
      </c>
      <c r="I572" s="16" t="s">
        <v>149</v>
      </c>
      <c r="J572" s="33" t="s">
        <v>3171</v>
      </c>
      <c r="K572" s="33" t="s">
        <v>3172</v>
      </c>
      <c r="L572" s="33" t="s">
        <v>3173</v>
      </c>
      <c r="M572" s="33" t="s">
        <v>3174</v>
      </c>
      <c r="N572" s="49" t="s">
        <v>3175</v>
      </c>
      <c r="O572" s="33" t="s">
        <v>3176</v>
      </c>
      <c r="P572" s="33" t="s">
        <v>3177</v>
      </c>
      <c r="Q572" s="14">
        <v>0</v>
      </c>
      <c r="R572" s="14">
        <v>11</v>
      </c>
    </row>
    <row r="573" spans="2:18">
      <c r="B573" s="14">
        <f t="shared" si="88"/>
        <v>37401</v>
      </c>
      <c r="C573" s="23">
        <v>0</v>
      </c>
      <c r="D573" s="23"/>
      <c r="E573" s="23"/>
      <c r="F573" s="23" t="s">
        <v>3120</v>
      </c>
      <c r="G573" s="23">
        <v>1</v>
      </c>
      <c r="H573" s="80">
        <v>37401</v>
      </c>
      <c r="I573" s="16" t="s">
        <v>3138</v>
      </c>
      <c r="J573" s="33" t="s">
        <v>3178</v>
      </c>
      <c r="K573" s="33" t="s">
        <v>3179</v>
      </c>
      <c r="L573" s="33" t="s">
        <v>3180</v>
      </c>
      <c r="M573" s="33" t="s">
        <v>3181</v>
      </c>
      <c r="N573" s="49" t="s">
        <v>3182</v>
      </c>
      <c r="O573" s="33" t="s">
        <v>3183</v>
      </c>
      <c r="P573" s="33" t="s">
        <v>3655</v>
      </c>
      <c r="Q573" s="14">
        <v>0</v>
      </c>
      <c r="R573" s="14">
        <v>18</v>
      </c>
    </row>
    <row r="574" spans="2:18">
      <c r="B574" s="14">
        <f t="shared" si="88"/>
        <v>37402</v>
      </c>
      <c r="C574" s="23">
        <v>0</v>
      </c>
      <c r="D574" s="23"/>
      <c r="E574" s="23"/>
      <c r="F574" s="23" t="s">
        <v>3120</v>
      </c>
      <c r="G574" s="23">
        <v>1</v>
      </c>
      <c r="H574" s="80">
        <v>37402</v>
      </c>
      <c r="I574" s="16" t="s">
        <v>3138</v>
      </c>
      <c r="J574" s="33" t="s">
        <v>3178</v>
      </c>
      <c r="K574" s="33" t="s">
        <v>3179</v>
      </c>
      <c r="L574" s="33" t="s">
        <v>3180</v>
      </c>
      <c r="M574" s="33" t="s">
        <v>3181</v>
      </c>
      <c r="N574" s="49" t="s">
        <v>3182</v>
      </c>
      <c r="O574" s="33" t="s">
        <v>3183</v>
      </c>
      <c r="P574" s="33" t="s">
        <v>3655</v>
      </c>
      <c r="Q574" s="14">
        <v>0</v>
      </c>
      <c r="R574" s="14">
        <v>18</v>
      </c>
    </row>
    <row r="575" spans="2:18">
      <c r="B575" s="14">
        <f t="shared" si="88"/>
        <v>37403</v>
      </c>
      <c r="C575" s="23">
        <v>0</v>
      </c>
      <c r="D575" s="23"/>
      <c r="E575" s="23"/>
      <c r="F575" s="23" t="s">
        <v>3120</v>
      </c>
      <c r="G575" s="23">
        <v>1</v>
      </c>
      <c r="H575" s="80">
        <v>37403</v>
      </c>
      <c r="I575" s="16" t="s">
        <v>3138</v>
      </c>
      <c r="J575" s="33" t="s">
        <v>3178</v>
      </c>
      <c r="K575" s="33" t="s">
        <v>3179</v>
      </c>
      <c r="L575" s="33" t="s">
        <v>3180</v>
      </c>
      <c r="M575" s="33" t="s">
        <v>3181</v>
      </c>
      <c r="N575" s="49" t="s">
        <v>3182</v>
      </c>
      <c r="O575" s="33" t="s">
        <v>3183</v>
      </c>
      <c r="P575" s="33" t="s">
        <v>3655</v>
      </c>
      <c r="Q575" s="14">
        <v>0</v>
      </c>
      <c r="R575" s="14">
        <v>18</v>
      </c>
    </row>
    <row r="576" spans="2:18">
      <c r="B576" s="14">
        <f t="shared" si="88"/>
        <v>37404</v>
      </c>
      <c r="C576" s="23">
        <v>0</v>
      </c>
      <c r="D576" s="23"/>
      <c r="E576" s="23"/>
      <c r="F576" s="23" t="s">
        <v>3120</v>
      </c>
      <c r="G576" s="23">
        <v>1</v>
      </c>
      <c r="H576" s="80">
        <v>37404</v>
      </c>
      <c r="I576" s="16" t="s">
        <v>3138</v>
      </c>
      <c r="J576" s="33" t="s">
        <v>3178</v>
      </c>
      <c r="K576" s="33" t="s">
        <v>3179</v>
      </c>
      <c r="L576" s="33" t="s">
        <v>3180</v>
      </c>
      <c r="M576" s="33" t="s">
        <v>3181</v>
      </c>
      <c r="N576" s="49" t="s">
        <v>3182</v>
      </c>
      <c r="O576" s="33" t="s">
        <v>3183</v>
      </c>
      <c r="P576" s="33" t="s">
        <v>3655</v>
      </c>
      <c r="Q576" s="14">
        <v>0</v>
      </c>
      <c r="R576" s="14">
        <v>18</v>
      </c>
    </row>
    <row r="577" spans="2:18">
      <c r="B577" s="14">
        <f t="shared" si="88"/>
        <v>37405</v>
      </c>
      <c r="C577" s="23">
        <v>0</v>
      </c>
      <c r="D577" s="23"/>
      <c r="E577" s="23"/>
      <c r="F577" s="23" t="s">
        <v>3120</v>
      </c>
      <c r="G577" s="23">
        <v>1</v>
      </c>
      <c r="H577" s="80">
        <v>37405</v>
      </c>
      <c r="I577" s="16" t="s">
        <v>3138</v>
      </c>
      <c r="J577" s="33" t="s">
        <v>3178</v>
      </c>
      <c r="K577" s="33" t="s">
        <v>3179</v>
      </c>
      <c r="L577" s="33" t="s">
        <v>3180</v>
      </c>
      <c r="M577" s="33" t="s">
        <v>3181</v>
      </c>
      <c r="N577" s="49" t="s">
        <v>3182</v>
      </c>
      <c r="O577" s="33" t="s">
        <v>3183</v>
      </c>
      <c r="P577" s="33" t="s">
        <v>3655</v>
      </c>
      <c r="Q577" s="14">
        <v>0</v>
      </c>
      <c r="R577" s="14">
        <v>18</v>
      </c>
    </row>
    <row r="578" spans="2:18">
      <c r="B578" s="14">
        <f t="shared" si="88"/>
        <v>37406</v>
      </c>
      <c r="C578" s="23">
        <v>0</v>
      </c>
      <c r="D578" s="23"/>
      <c r="E578" s="23"/>
      <c r="F578" s="23" t="s">
        <v>3120</v>
      </c>
      <c r="G578" s="23">
        <v>1</v>
      </c>
      <c r="H578" s="80">
        <v>37406</v>
      </c>
      <c r="I578" s="16" t="s">
        <v>3138</v>
      </c>
      <c r="J578" s="33" t="s">
        <v>3178</v>
      </c>
      <c r="K578" s="33" t="s">
        <v>3179</v>
      </c>
      <c r="L578" s="33" t="s">
        <v>3180</v>
      </c>
      <c r="M578" s="33" t="s">
        <v>3181</v>
      </c>
      <c r="N578" s="49" t="s">
        <v>3182</v>
      </c>
      <c r="O578" s="33" t="s">
        <v>3183</v>
      </c>
      <c r="P578" s="33" t="s">
        <v>3655</v>
      </c>
      <c r="Q578" s="14">
        <v>0</v>
      </c>
      <c r="R578" s="14">
        <v>18</v>
      </c>
    </row>
    <row r="579" spans="2:18">
      <c r="B579" s="14">
        <f t="shared" si="88"/>
        <v>37407</v>
      </c>
      <c r="C579" s="23">
        <v>0</v>
      </c>
      <c r="D579" s="23"/>
      <c r="E579" s="23"/>
      <c r="F579" s="23" t="s">
        <v>3120</v>
      </c>
      <c r="G579" s="23">
        <v>1</v>
      </c>
      <c r="H579" s="80">
        <v>37407</v>
      </c>
      <c r="I579" s="16" t="s">
        <v>3138</v>
      </c>
      <c r="J579" s="33" t="s">
        <v>3178</v>
      </c>
      <c r="K579" s="33" t="s">
        <v>3179</v>
      </c>
      <c r="L579" s="33" t="s">
        <v>3180</v>
      </c>
      <c r="M579" s="33" t="s">
        <v>3181</v>
      </c>
      <c r="N579" s="49" t="s">
        <v>3182</v>
      </c>
      <c r="O579" s="33" t="s">
        <v>3183</v>
      </c>
      <c r="P579" s="33" t="s">
        <v>3655</v>
      </c>
      <c r="Q579" s="14">
        <v>0</v>
      </c>
      <c r="R579" s="14">
        <v>18</v>
      </c>
    </row>
    <row r="580" spans="2:18">
      <c r="B580" s="14">
        <f t="shared" si="88"/>
        <v>37408</v>
      </c>
      <c r="C580" s="23">
        <v>0</v>
      </c>
      <c r="D580" s="23"/>
      <c r="E580" s="23"/>
      <c r="F580" s="23" t="s">
        <v>3120</v>
      </c>
      <c r="G580" s="23">
        <v>1</v>
      </c>
      <c r="H580" s="80">
        <v>37408</v>
      </c>
      <c r="I580" s="16" t="s">
        <v>3138</v>
      </c>
      <c r="J580" s="33" t="s">
        <v>3178</v>
      </c>
      <c r="K580" s="33" t="s">
        <v>3179</v>
      </c>
      <c r="L580" s="33" t="s">
        <v>3180</v>
      </c>
      <c r="M580" s="33" t="s">
        <v>3181</v>
      </c>
      <c r="N580" s="49" t="s">
        <v>3182</v>
      </c>
      <c r="O580" s="33" t="s">
        <v>3183</v>
      </c>
      <c r="P580" s="33" t="s">
        <v>3655</v>
      </c>
      <c r="Q580" s="14">
        <v>0</v>
      </c>
      <c r="R580" s="14">
        <v>18</v>
      </c>
    </row>
    <row r="581" spans="2:18">
      <c r="B581" s="14">
        <f t="shared" si="88"/>
        <v>37409</v>
      </c>
      <c r="C581" s="23">
        <v>0</v>
      </c>
      <c r="D581" s="23"/>
      <c r="E581" s="23"/>
      <c r="F581" s="23" t="s">
        <v>3120</v>
      </c>
      <c r="G581" s="23">
        <v>1</v>
      </c>
      <c r="H581" s="80">
        <v>37409</v>
      </c>
      <c r="I581" s="16" t="s">
        <v>3138</v>
      </c>
      <c r="J581" s="33" t="s">
        <v>3178</v>
      </c>
      <c r="K581" s="33" t="s">
        <v>3179</v>
      </c>
      <c r="L581" s="33" t="s">
        <v>3180</v>
      </c>
      <c r="M581" s="33" t="s">
        <v>3181</v>
      </c>
      <c r="N581" s="49" t="s">
        <v>3182</v>
      </c>
      <c r="O581" s="33" t="s">
        <v>3183</v>
      </c>
      <c r="P581" s="33" t="s">
        <v>3655</v>
      </c>
      <c r="Q581" s="14">
        <v>0</v>
      </c>
      <c r="R581" s="14">
        <v>18</v>
      </c>
    </row>
    <row r="582" spans="2:18">
      <c r="B582" s="14">
        <f t="shared" si="88"/>
        <v>37410</v>
      </c>
      <c r="C582" s="23">
        <v>0</v>
      </c>
      <c r="D582" s="23"/>
      <c r="E582" s="23"/>
      <c r="F582" s="23" t="s">
        <v>3120</v>
      </c>
      <c r="G582" s="23">
        <v>1</v>
      </c>
      <c r="H582" s="80">
        <v>37410</v>
      </c>
      <c r="I582" s="16" t="s">
        <v>3138</v>
      </c>
      <c r="J582" s="33" t="s">
        <v>3178</v>
      </c>
      <c r="K582" s="33" t="s">
        <v>3179</v>
      </c>
      <c r="L582" s="33" t="s">
        <v>3180</v>
      </c>
      <c r="M582" s="33" t="s">
        <v>3181</v>
      </c>
      <c r="N582" s="49" t="s">
        <v>3182</v>
      </c>
      <c r="O582" s="33" t="s">
        <v>3183</v>
      </c>
      <c r="P582" s="33" t="s">
        <v>3655</v>
      </c>
      <c r="Q582" s="14">
        <v>0</v>
      </c>
      <c r="R582" s="14">
        <v>18</v>
      </c>
    </row>
    <row r="583" spans="2:18">
      <c r="B583" s="14">
        <f t="shared" ref="B583" si="90">H583</f>
        <v>37411</v>
      </c>
      <c r="C583" s="23">
        <v>0</v>
      </c>
      <c r="D583" s="23"/>
      <c r="E583" s="23"/>
      <c r="F583" s="23" t="s">
        <v>3120</v>
      </c>
      <c r="G583" s="23">
        <v>1</v>
      </c>
      <c r="H583" s="80">
        <v>37411</v>
      </c>
      <c r="I583" s="16" t="s">
        <v>3138</v>
      </c>
      <c r="J583" s="33" t="s">
        <v>3178</v>
      </c>
      <c r="K583" s="33" t="s">
        <v>3179</v>
      </c>
      <c r="L583" s="33" t="s">
        <v>3180</v>
      </c>
      <c r="M583" s="33" t="s">
        <v>3181</v>
      </c>
      <c r="N583" s="49" t="s">
        <v>3182</v>
      </c>
      <c r="O583" s="33" t="s">
        <v>3183</v>
      </c>
      <c r="P583" s="33" t="s">
        <v>3655</v>
      </c>
      <c r="Q583" s="14">
        <v>0</v>
      </c>
      <c r="R583" s="14">
        <v>18</v>
      </c>
    </row>
    <row r="584" spans="2:18">
      <c r="B584" s="14">
        <f t="shared" si="88"/>
        <v>38401</v>
      </c>
      <c r="C584" s="23">
        <v>0</v>
      </c>
      <c r="D584" s="23"/>
      <c r="E584" s="23"/>
      <c r="F584" s="23" t="s">
        <v>3120</v>
      </c>
      <c r="G584" s="23">
        <v>1</v>
      </c>
      <c r="H584" s="80">
        <v>38401</v>
      </c>
      <c r="I584" s="16" t="s">
        <v>3139</v>
      </c>
      <c r="J584" s="33" t="s">
        <v>3184</v>
      </c>
      <c r="K584" s="33" t="s">
        <v>3185</v>
      </c>
      <c r="L584" s="33" t="s">
        <v>3186</v>
      </c>
      <c r="M584" s="33" t="s">
        <v>3187</v>
      </c>
      <c r="N584" s="51" t="s">
        <v>3188</v>
      </c>
      <c r="O584" s="33" t="s">
        <v>3189</v>
      </c>
      <c r="P584" s="33" t="s">
        <v>3656</v>
      </c>
      <c r="Q584" s="14">
        <v>0</v>
      </c>
      <c r="R584" s="14">
        <v>145</v>
      </c>
    </row>
    <row r="585" spans="2:18">
      <c r="B585" s="14">
        <f t="shared" si="88"/>
        <v>38402</v>
      </c>
      <c r="C585" s="23">
        <v>0</v>
      </c>
      <c r="D585" s="23"/>
      <c r="E585" s="23"/>
      <c r="F585" s="23" t="s">
        <v>3120</v>
      </c>
      <c r="G585" s="23">
        <v>1</v>
      </c>
      <c r="H585" s="80">
        <v>38402</v>
      </c>
      <c r="I585" s="16" t="s">
        <v>3150</v>
      </c>
      <c r="J585" s="33" t="s">
        <v>3190</v>
      </c>
      <c r="K585" s="33" t="s">
        <v>3191</v>
      </c>
      <c r="L585" s="33" t="s">
        <v>3192</v>
      </c>
      <c r="M585" s="33" t="s">
        <v>3193</v>
      </c>
      <c r="N585" s="51" t="s">
        <v>3194</v>
      </c>
      <c r="O585" s="33" t="s">
        <v>3195</v>
      </c>
      <c r="P585" s="33" t="s">
        <v>3657</v>
      </c>
      <c r="Q585" s="14">
        <v>0</v>
      </c>
      <c r="R585" s="14">
        <v>145</v>
      </c>
    </row>
    <row r="586" spans="2:18">
      <c r="B586" s="14">
        <f t="shared" si="88"/>
        <v>38403</v>
      </c>
      <c r="C586" s="23">
        <v>0</v>
      </c>
      <c r="D586" s="23"/>
      <c r="E586" s="23"/>
      <c r="F586" s="23" t="s">
        <v>3120</v>
      </c>
      <c r="G586" s="23">
        <v>1</v>
      </c>
      <c r="H586" s="80">
        <v>38403</v>
      </c>
      <c r="I586" s="16" t="s">
        <v>3151</v>
      </c>
      <c r="J586" s="33" t="s">
        <v>3196</v>
      </c>
      <c r="K586" s="33" t="s">
        <v>3197</v>
      </c>
      <c r="L586" s="33" t="s">
        <v>3198</v>
      </c>
      <c r="M586" s="33" t="s">
        <v>3199</v>
      </c>
      <c r="N586" s="51" t="s">
        <v>3200</v>
      </c>
      <c r="O586" s="33" t="s">
        <v>3201</v>
      </c>
      <c r="P586" s="33" t="s">
        <v>3658</v>
      </c>
      <c r="Q586" s="14">
        <v>0</v>
      </c>
      <c r="R586" s="14">
        <v>145</v>
      </c>
    </row>
    <row r="587" spans="2:18">
      <c r="B587" s="14">
        <f t="shared" si="88"/>
        <v>38404</v>
      </c>
      <c r="C587" s="23">
        <v>0</v>
      </c>
      <c r="D587" s="23"/>
      <c r="E587" s="23"/>
      <c r="F587" s="23" t="s">
        <v>3120</v>
      </c>
      <c r="G587" s="23">
        <v>1</v>
      </c>
      <c r="H587" s="80">
        <v>38404</v>
      </c>
      <c r="I587" s="16" t="s">
        <v>3152</v>
      </c>
      <c r="J587" s="33" t="s">
        <v>3202</v>
      </c>
      <c r="K587" s="33" t="s">
        <v>3203</v>
      </c>
      <c r="L587" s="33" t="s">
        <v>3204</v>
      </c>
      <c r="M587" s="33" t="s">
        <v>3205</v>
      </c>
      <c r="N587" s="51" t="s">
        <v>3206</v>
      </c>
      <c r="O587" s="33" t="s">
        <v>3207</v>
      </c>
      <c r="P587" s="33" t="s">
        <v>3659</v>
      </c>
      <c r="Q587" s="14">
        <v>0</v>
      </c>
      <c r="R587" s="14">
        <v>145</v>
      </c>
    </row>
    <row r="588" spans="2:18">
      <c r="B588" s="14">
        <f t="shared" si="88"/>
        <v>38405</v>
      </c>
      <c r="C588" s="23">
        <v>0</v>
      </c>
      <c r="D588" s="23"/>
      <c r="E588" s="23"/>
      <c r="F588" s="23" t="s">
        <v>3120</v>
      </c>
      <c r="G588" s="23">
        <v>1</v>
      </c>
      <c r="H588" s="80">
        <v>38405</v>
      </c>
      <c r="I588" s="16" t="s">
        <v>3153</v>
      </c>
      <c r="J588" s="33" t="s">
        <v>3208</v>
      </c>
      <c r="K588" s="33" t="s">
        <v>3209</v>
      </c>
      <c r="L588" s="33" t="s">
        <v>3210</v>
      </c>
      <c r="M588" s="33" t="s">
        <v>3211</v>
      </c>
      <c r="N588" s="51" t="s">
        <v>3212</v>
      </c>
      <c r="O588" s="33" t="s">
        <v>3213</v>
      </c>
      <c r="P588" s="33" t="s">
        <v>3660</v>
      </c>
      <c r="Q588" s="14">
        <v>0</v>
      </c>
      <c r="R588" s="14">
        <v>145</v>
      </c>
    </row>
    <row r="589" spans="2:18">
      <c r="B589" s="14">
        <f t="shared" si="88"/>
        <v>38406</v>
      </c>
      <c r="C589" s="23">
        <v>0</v>
      </c>
      <c r="D589" s="23"/>
      <c r="E589" s="23"/>
      <c r="F589" s="23" t="s">
        <v>3120</v>
      </c>
      <c r="G589" s="23">
        <v>1</v>
      </c>
      <c r="H589" s="80">
        <v>38406</v>
      </c>
      <c r="I589" s="16" t="s">
        <v>3154</v>
      </c>
      <c r="J589" s="33" t="s">
        <v>3214</v>
      </c>
      <c r="K589" s="33" t="s">
        <v>3215</v>
      </c>
      <c r="L589" s="33" t="s">
        <v>3216</v>
      </c>
      <c r="M589" s="33" t="s">
        <v>3217</v>
      </c>
      <c r="N589" s="51" t="s">
        <v>3218</v>
      </c>
      <c r="O589" s="33" t="s">
        <v>3219</v>
      </c>
      <c r="P589" s="33" t="s">
        <v>3661</v>
      </c>
      <c r="Q589" s="14">
        <v>0</v>
      </c>
      <c r="R589" s="14">
        <v>145</v>
      </c>
    </row>
    <row r="590" spans="2:18">
      <c r="B590" s="14">
        <f t="shared" si="88"/>
        <v>38407</v>
      </c>
      <c r="C590" s="23">
        <v>0</v>
      </c>
      <c r="D590" s="23"/>
      <c r="E590" s="23"/>
      <c r="F590" s="23" t="s">
        <v>3120</v>
      </c>
      <c r="G590" s="23">
        <v>1</v>
      </c>
      <c r="H590" s="80">
        <v>38407</v>
      </c>
      <c r="I590" s="16" t="s">
        <v>3155</v>
      </c>
      <c r="J590" s="33" t="s">
        <v>3220</v>
      </c>
      <c r="K590" s="33" t="s">
        <v>3221</v>
      </c>
      <c r="L590" s="33" t="s">
        <v>3222</v>
      </c>
      <c r="M590" s="33" t="s">
        <v>3223</v>
      </c>
      <c r="N590" s="51" t="s">
        <v>3224</v>
      </c>
      <c r="O590" s="33" t="s">
        <v>3225</v>
      </c>
      <c r="P590" s="33" t="s">
        <v>3662</v>
      </c>
      <c r="Q590" s="14">
        <v>0</v>
      </c>
      <c r="R590" s="14">
        <v>145</v>
      </c>
    </row>
    <row r="591" spans="2:18">
      <c r="B591" s="14">
        <f t="shared" si="88"/>
        <v>38408</v>
      </c>
      <c r="C591" s="23">
        <v>0</v>
      </c>
      <c r="D591" s="23"/>
      <c r="E591" s="23"/>
      <c r="F591" s="23" t="s">
        <v>3120</v>
      </c>
      <c r="G591" s="23">
        <v>1</v>
      </c>
      <c r="H591" s="80">
        <v>38408</v>
      </c>
      <c r="I591" s="16" t="s">
        <v>3156</v>
      </c>
      <c r="J591" s="33" t="s">
        <v>3226</v>
      </c>
      <c r="K591" s="33" t="s">
        <v>3227</v>
      </c>
      <c r="L591" s="33" t="s">
        <v>3228</v>
      </c>
      <c r="M591" s="33" t="s">
        <v>3229</v>
      </c>
      <c r="N591" s="51" t="s">
        <v>3230</v>
      </c>
      <c r="O591" s="33" t="s">
        <v>3231</v>
      </c>
      <c r="P591" s="33" t="s">
        <v>3663</v>
      </c>
      <c r="Q591" s="14">
        <v>0</v>
      </c>
      <c r="R591" s="14">
        <v>145</v>
      </c>
    </row>
    <row r="592" spans="2:18">
      <c r="B592" s="14">
        <f>H592</f>
        <v>38409</v>
      </c>
      <c r="C592" s="23">
        <v>0</v>
      </c>
      <c r="D592" s="23"/>
      <c r="E592" s="23"/>
      <c r="F592" s="23" t="s">
        <v>3120</v>
      </c>
      <c r="G592" s="23">
        <v>1</v>
      </c>
      <c r="H592" s="80">
        <v>38409</v>
      </c>
      <c r="I592" s="16" t="s">
        <v>3157</v>
      </c>
      <c r="J592" s="33" t="s">
        <v>3232</v>
      </c>
      <c r="K592" s="33" t="s">
        <v>3233</v>
      </c>
      <c r="L592" s="33" t="s">
        <v>3234</v>
      </c>
      <c r="M592" s="33" t="s">
        <v>3235</v>
      </c>
      <c r="N592" s="51" t="s">
        <v>3236</v>
      </c>
      <c r="O592" s="33" t="s">
        <v>3237</v>
      </c>
      <c r="P592" s="33" t="s">
        <v>3664</v>
      </c>
      <c r="Q592" s="14">
        <v>0</v>
      </c>
      <c r="R592" s="14">
        <v>145</v>
      </c>
    </row>
    <row r="593" spans="2:18">
      <c r="B593" s="14">
        <f>H593</f>
        <v>38410</v>
      </c>
      <c r="C593" s="23">
        <v>0</v>
      </c>
      <c r="D593" s="23"/>
      <c r="E593" s="23"/>
      <c r="F593" s="23" t="s">
        <v>3120</v>
      </c>
      <c r="G593" s="23">
        <v>1</v>
      </c>
      <c r="H593" s="80">
        <v>38410</v>
      </c>
      <c r="I593" s="16" t="s">
        <v>3158</v>
      </c>
      <c r="J593" s="33" t="s">
        <v>3238</v>
      </c>
      <c r="K593" s="33" t="s">
        <v>3239</v>
      </c>
      <c r="L593" s="33" t="s">
        <v>3240</v>
      </c>
      <c r="M593" s="33" t="s">
        <v>3241</v>
      </c>
      <c r="N593" s="51" t="s">
        <v>3242</v>
      </c>
      <c r="O593" s="33" t="s">
        <v>3243</v>
      </c>
      <c r="P593" s="33" t="s">
        <v>3665</v>
      </c>
      <c r="Q593" s="14">
        <v>0</v>
      </c>
      <c r="R593" s="14">
        <v>145</v>
      </c>
    </row>
    <row r="594" spans="2:18">
      <c r="B594" s="14">
        <f t="shared" ref="B594" si="91">H594</f>
        <v>38411</v>
      </c>
      <c r="C594" s="23">
        <v>0</v>
      </c>
      <c r="D594" s="23"/>
      <c r="E594" s="23"/>
      <c r="F594" s="23" t="s">
        <v>3120</v>
      </c>
      <c r="G594" s="23">
        <v>1</v>
      </c>
      <c r="H594" s="80">
        <v>38411</v>
      </c>
      <c r="I594" s="16" t="s">
        <v>3294</v>
      </c>
      <c r="J594" s="33" t="s">
        <v>3666</v>
      </c>
      <c r="K594" s="33" t="s">
        <v>3667</v>
      </c>
      <c r="L594" s="33" t="s">
        <v>3668</v>
      </c>
      <c r="M594" s="33" t="s">
        <v>3669</v>
      </c>
      <c r="N594" s="51" t="s">
        <v>3670</v>
      </c>
      <c r="O594" s="33" t="s">
        <v>3671</v>
      </c>
      <c r="P594" s="33" t="s">
        <v>3672</v>
      </c>
      <c r="Q594" s="14">
        <v>0</v>
      </c>
      <c r="R594" s="14">
        <v>145</v>
      </c>
    </row>
  </sheetData>
  <autoFilter ref="G1:G594" xr:uid="{00000000-0001-0000-0100-000000000000}"/>
  <phoneticPr fontId="1" type="noConversion"/>
  <conditionalFormatting sqref="I595:I1048576 I524:I529 I1:I4">
    <cfRule type="duplicateValues" dxfId="287" priority="415"/>
  </conditionalFormatting>
  <conditionalFormatting sqref="B595:G1048576 B1:G1 H2:H4 E524:F558">
    <cfRule type="duplicateValues" dxfId="286" priority="479"/>
  </conditionalFormatting>
  <conditionalFormatting sqref="B10">
    <cfRule type="duplicateValues" dxfId="285" priority="387"/>
  </conditionalFormatting>
  <conditionalFormatting sqref="B8:B10">
    <cfRule type="duplicateValues" dxfId="284" priority="388"/>
  </conditionalFormatting>
  <conditionalFormatting sqref="B22:B28">
    <cfRule type="duplicateValues" dxfId="283" priority="385"/>
  </conditionalFormatting>
  <conditionalFormatting sqref="B20:B28">
    <cfRule type="duplicateValues" dxfId="282" priority="386"/>
  </conditionalFormatting>
  <conditionalFormatting sqref="B22:B28">
    <cfRule type="duplicateValues" dxfId="281" priority="384"/>
  </conditionalFormatting>
  <conditionalFormatting sqref="B31:B34">
    <cfRule type="duplicateValues" dxfId="280" priority="382"/>
  </conditionalFormatting>
  <conditionalFormatting sqref="B29:B34">
    <cfRule type="duplicateValues" dxfId="279" priority="383"/>
  </conditionalFormatting>
  <conditionalFormatting sqref="B31:B34">
    <cfRule type="duplicateValues" dxfId="278" priority="381"/>
  </conditionalFormatting>
  <conditionalFormatting sqref="B31:B34">
    <cfRule type="duplicateValues" dxfId="277" priority="380"/>
  </conditionalFormatting>
  <conditionalFormatting sqref="B167:B169">
    <cfRule type="duplicateValues" dxfId="276" priority="379"/>
  </conditionalFormatting>
  <conditionalFormatting sqref="B170:B172">
    <cfRule type="duplicateValues" dxfId="275" priority="378"/>
  </conditionalFormatting>
  <conditionalFormatting sqref="B11:B13">
    <cfRule type="duplicateValues" dxfId="274" priority="377"/>
  </conditionalFormatting>
  <conditionalFormatting sqref="B11:B13">
    <cfRule type="duplicateValues" dxfId="273" priority="376"/>
  </conditionalFormatting>
  <conditionalFormatting sqref="B80:B82">
    <cfRule type="duplicateValues" dxfId="272" priority="375"/>
  </conditionalFormatting>
  <conditionalFormatting sqref="B83:B85">
    <cfRule type="duplicateValues" dxfId="271" priority="374"/>
  </conditionalFormatting>
  <conditionalFormatting sqref="B86:B88">
    <cfRule type="duplicateValues" dxfId="270" priority="373"/>
  </conditionalFormatting>
  <conditionalFormatting sqref="B89:B91">
    <cfRule type="duplicateValues" dxfId="269" priority="372"/>
  </conditionalFormatting>
  <conditionalFormatting sqref="B92:B94">
    <cfRule type="duplicateValues" dxfId="268" priority="371"/>
  </conditionalFormatting>
  <conditionalFormatting sqref="B173:B175">
    <cfRule type="duplicateValues" dxfId="267" priority="368"/>
  </conditionalFormatting>
  <conditionalFormatting sqref="B175">
    <cfRule type="duplicateValues" dxfId="266" priority="366"/>
  </conditionalFormatting>
  <conditionalFormatting sqref="H175">
    <cfRule type="duplicateValues" dxfId="265" priority="367"/>
  </conditionalFormatting>
  <conditionalFormatting sqref="H173:H175">
    <cfRule type="duplicateValues" dxfId="264" priority="365"/>
  </conditionalFormatting>
  <conditionalFormatting sqref="H301">
    <cfRule type="duplicateValues" dxfId="263" priority="363"/>
  </conditionalFormatting>
  <conditionalFormatting sqref="H470">
    <cfRule type="duplicateValues" dxfId="262" priority="362"/>
  </conditionalFormatting>
  <conditionalFormatting sqref="H474">
    <cfRule type="duplicateValues" dxfId="261" priority="361"/>
  </conditionalFormatting>
  <conditionalFormatting sqref="H478">
    <cfRule type="duplicateValues" dxfId="260" priority="360"/>
  </conditionalFormatting>
  <conditionalFormatting sqref="H471:H473">
    <cfRule type="duplicateValues" dxfId="259" priority="359"/>
  </conditionalFormatting>
  <conditionalFormatting sqref="H475:H476">
    <cfRule type="duplicateValues" dxfId="258" priority="358"/>
  </conditionalFormatting>
  <conditionalFormatting sqref="H479:H480">
    <cfRule type="duplicateValues" dxfId="257" priority="357"/>
  </conditionalFormatting>
  <conditionalFormatting sqref="H269:H274">
    <cfRule type="duplicateValues" dxfId="256" priority="355"/>
  </conditionalFormatting>
  <conditionalFormatting sqref="B14:B16">
    <cfRule type="duplicateValues" dxfId="255" priority="353"/>
  </conditionalFormatting>
  <conditionalFormatting sqref="B14:B16">
    <cfRule type="duplicateValues" dxfId="254" priority="352"/>
  </conditionalFormatting>
  <conditionalFormatting sqref="H14:H16">
    <cfRule type="duplicateValues" dxfId="253" priority="351"/>
  </conditionalFormatting>
  <conditionalFormatting sqref="H595:H1048576 H524:H532 H478:H480 H1:H16 H470:H476 H29:H34 H119:H238 H20:H25 H251:H275 H301:H334 H338:H343 H44:H112">
    <cfRule type="duplicateValues" dxfId="252" priority="350"/>
  </conditionalFormatting>
  <conditionalFormatting sqref="I257:I268 H185:H238 H251:H256">
    <cfRule type="duplicateValues" dxfId="251" priority="489"/>
  </conditionalFormatting>
  <conditionalFormatting sqref="H477">
    <cfRule type="duplicateValues" dxfId="250" priority="349"/>
  </conditionalFormatting>
  <conditionalFormatting sqref="H477">
    <cfRule type="duplicateValues" dxfId="249" priority="348"/>
  </conditionalFormatting>
  <conditionalFormatting sqref="H481">
    <cfRule type="duplicateValues" dxfId="248" priority="347"/>
  </conditionalFormatting>
  <conditionalFormatting sqref="H481">
    <cfRule type="duplicateValues" dxfId="247" priority="346"/>
  </conditionalFormatting>
  <conditionalFormatting sqref="H276:H277 H280:H286 H289:H298">
    <cfRule type="duplicateValues" dxfId="246" priority="344"/>
  </conditionalFormatting>
  <conditionalFormatting sqref="H278">
    <cfRule type="duplicateValues" dxfId="245" priority="343"/>
  </conditionalFormatting>
  <conditionalFormatting sqref="H287">
    <cfRule type="duplicateValues" dxfId="244" priority="342"/>
  </conditionalFormatting>
  <conditionalFormatting sqref="H299">
    <cfRule type="duplicateValues" dxfId="243" priority="341"/>
  </conditionalFormatting>
  <conditionalFormatting sqref="H280:H287 H289:H299 H276:H278">
    <cfRule type="duplicateValues" dxfId="242" priority="340"/>
  </conditionalFormatting>
  <conditionalFormatting sqref="H279">
    <cfRule type="duplicateValues" dxfId="241" priority="339"/>
  </conditionalFormatting>
  <conditionalFormatting sqref="H279">
    <cfRule type="duplicateValues" dxfId="240" priority="338"/>
  </conditionalFormatting>
  <conditionalFormatting sqref="H288">
    <cfRule type="duplicateValues" dxfId="239" priority="337"/>
  </conditionalFormatting>
  <conditionalFormatting sqref="H288">
    <cfRule type="duplicateValues" dxfId="238" priority="336"/>
  </conditionalFormatting>
  <conditionalFormatting sqref="H300">
    <cfRule type="duplicateValues" dxfId="237" priority="335"/>
  </conditionalFormatting>
  <conditionalFormatting sqref="H300">
    <cfRule type="duplicateValues" dxfId="236" priority="334"/>
  </conditionalFormatting>
  <conditionalFormatting sqref="H26:H28">
    <cfRule type="duplicateValues" dxfId="235" priority="333"/>
  </conditionalFormatting>
  <conditionalFormatting sqref="H26:H28">
    <cfRule type="duplicateValues" dxfId="234" priority="332"/>
  </conditionalFormatting>
  <conditionalFormatting sqref="H344">
    <cfRule type="duplicateValues" dxfId="233" priority="331"/>
  </conditionalFormatting>
  <conditionalFormatting sqref="H345 H347 H349">
    <cfRule type="duplicateValues" dxfId="232" priority="330"/>
  </conditionalFormatting>
  <conditionalFormatting sqref="H344:H345 H347 H349">
    <cfRule type="duplicateValues" dxfId="231" priority="329"/>
  </conditionalFormatting>
  <conditionalFormatting sqref="B344:B345">
    <cfRule type="duplicateValues" dxfId="230" priority="328"/>
  </conditionalFormatting>
  <conditionalFormatting sqref="H346 H348 H350:H351">
    <cfRule type="duplicateValues" dxfId="229" priority="327"/>
  </conditionalFormatting>
  <conditionalFormatting sqref="H346">
    <cfRule type="duplicateValues" dxfId="228" priority="326"/>
  </conditionalFormatting>
  <conditionalFormatting sqref="B346">
    <cfRule type="duplicateValues" dxfId="227" priority="325"/>
  </conditionalFormatting>
  <conditionalFormatting sqref="B347">
    <cfRule type="duplicateValues" dxfId="226" priority="322"/>
  </conditionalFormatting>
  <conditionalFormatting sqref="B348">
    <cfRule type="duplicateValues" dxfId="225" priority="319"/>
  </conditionalFormatting>
  <conditionalFormatting sqref="B349">
    <cfRule type="duplicateValues" dxfId="224" priority="316"/>
  </conditionalFormatting>
  <conditionalFormatting sqref="B350:B351">
    <cfRule type="duplicateValues" dxfId="223" priority="313"/>
  </conditionalFormatting>
  <conditionalFormatting sqref="H352">
    <cfRule type="duplicateValues" dxfId="222" priority="312"/>
  </conditionalFormatting>
  <conditionalFormatting sqref="H353 H355 H357 H359">
    <cfRule type="duplicateValues" dxfId="221" priority="311"/>
  </conditionalFormatting>
  <conditionalFormatting sqref="H352:H353 H355 H357 H359">
    <cfRule type="duplicateValues" dxfId="220" priority="310"/>
  </conditionalFormatting>
  <conditionalFormatting sqref="B352:B353">
    <cfRule type="duplicateValues" dxfId="219" priority="309"/>
  </conditionalFormatting>
  <conditionalFormatting sqref="H354 H356 H358">
    <cfRule type="duplicateValues" dxfId="218" priority="308"/>
  </conditionalFormatting>
  <conditionalFormatting sqref="H354">
    <cfRule type="duplicateValues" dxfId="217" priority="307"/>
  </conditionalFormatting>
  <conditionalFormatting sqref="B354">
    <cfRule type="duplicateValues" dxfId="216" priority="306"/>
  </conditionalFormatting>
  <conditionalFormatting sqref="B355">
    <cfRule type="duplicateValues" dxfId="215" priority="303"/>
  </conditionalFormatting>
  <conditionalFormatting sqref="B356">
    <cfRule type="duplicateValues" dxfId="214" priority="302"/>
  </conditionalFormatting>
  <conditionalFormatting sqref="B357 B359">
    <cfRule type="duplicateValues" dxfId="213" priority="301"/>
  </conditionalFormatting>
  <conditionalFormatting sqref="B358">
    <cfRule type="duplicateValues" dxfId="212" priority="300"/>
  </conditionalFormatting>
  <conditionalFormatting sqref="H360">
    <cfRule type="duplicateValues" dxfId="211" priority="299"/>
  </conditionalFormatting>
  <conditionalFormatting sqref="H361 H363 H365 H367">
    <cfRule type="duplicateValues" dxfId="210" priority="298"/>
  </conditionalFormatting>
  <conditionalFormatting sqref="H360:H361 H363 H365 H367">
    <cfRule type="duplicateValues" dxfId="209" priority="297"/>
  </conditionalFormatting>
  <conditionalFormatting sqref="B360:B361">
    <cfRule type="duplicateValues" dxfId="208" priority="296"/>
  </conditionalFormatting>
  <conditionalFormatting sqref="H362 H364 H366">
    <cfRule type="duplicateValues" dxfId="207" priority="295"/>
  </conditionalFormatting>
  <conditionalFormatting sqref="H362">
    <cfRule type="duplicateValues" dxfId="206" priority="294"/>
  </conditionalFormatting>
  <conditionalFormatting sqref="B362">
    <cfRule type="duplicateValues" dxfId="205" priority="293"/>
  </conditionalFormatting>
  <conditionalFormatting sqref="B363">
    <cfRule type="duplicateValues" dxfId="204" priority="292"/>
  </conditionalFormatting>
  <conditionalFormatting sqref="B364">
    <cfRule type="duplicateValues" dxfId="203" priority="291"/>
  </conditionalFormatting>
  <conditionalFormatting sqref="B365 B367">
    <cfRule type="duplicateValues" dxfId="202" priority="290"/>
  </conditionalFormatting>
  <conditionalFormatting sqref="B366">
    <cfRule type="duplicateValues" dxfId="201" priority="289"/>
  </conditionalFormatting>
  <conditionalFormatting sqref="N5:P16 N29:P34 N119:P238 N20:P25 N470:P481 N251:P334 N451:P452 N338:P343 N44:P112">
    <cfRule type="cellIs" dxfId="200" priority="288" operator="equal">
      <formula>0</formula>
    </cfRule>
  </conditionalFormatting>
  <conditionalFormatting sqref="B113:B115">
    <cfRule type="duplicateValues" dxfId="199" priority="284"/>
  </conditionalFormatting>
  <conditionalFormatting sqref="B113:B115">
    <cfRule type="duplicateValues" dxfId="198" priority="281"/>
  </conditionalFormatting>
  <conditionalFormatting sqref="H113:H115">
    <cfRule type="duplicateValues" dxfId="197" priority="279"/>
  </conditionalFormatting>
  <conditionalFormatting sqref="H113:H115">
    <cfRule type="duplicateValues" dxfId="196" priority="278"/>
  </conditionalFormatting>
  <conditionalFormatting sqref="H368">
    <cfRule type="duplicateValues" dxfId="195" priority="277"/>
  </conditionalFormatting>
  <conditionalFormatting sqref="B368">
    <cfRule type="duplicateValues" dxfId="194" priority="276"/>
  </conditionalFormatting>
  <conditionalFormatting sqref="H369">
    <cfRule type="duplicateValues" dxfId="193" priority="275"/>
  </conditionalFormatting>
  <conditionalFormatting sqref="B369">
    <cfRule type="duplicateValues" dxfId="192" priority="274"/>
  </conditionalFormatting>
  <conditionalFormatting sqref="H370">
    <cfRule type="duplicateValues" dxfId="191" priority="273"/>
  </conditionalFormatting>
  <conditionalFormatting sqref="B370">
    <cfRule type="duplicateValues" dxfId="190" priority="272"/>
  </conditionalFormatting>
  <conditionalFormatting sqref="B116:B118">
    <cfRule type="duplicateValues" dxfId="189" priority="271"/>
  </conditionalFormatting>
  <conditionalFormatting sqref="B116:B118">
    <cfRule type="duplicateValues" dxfId="188" priority="270"/>
  </conditionalFormatting>
  <conditionalFormatting sqref="B116:B118">
    <cfRule type="duplicateValues" dxfId="187" priority="269"/>
  </conditionalFormatting>
  <conditionalFormatting sqref="H116:H118">
    <cfRule type="duplicateValues" dxfId="186" priority="268"/>
  </conditionalFormatting>
  <conditionalFormatting sqref="H116:H118">
    <cfRule type="duplicateValues" dxfId="185" priority="267"/>
  </conditionalFormatting>
  <conditionalFormatting sqref="H371">
    <cfRule type="duplicateValues" dxfId="184" priority="266"/>
  </conditionalFormatting>
  <conditionalFormatting sqref="B371">
    <cfRule type="duplicateValues" dxfId="183" priority="265"/>
  </conditionalFormatting>
  <conditionalFormatting sqref="H372">
    <cfRule type="duplicateValues" dxfId="182" priority="264"/>
  </conditionalFormatting>
  <conditionalFormatting sqref="B372">
    <cfRule type="duplicateValues" dxfId="181" priority="263"/>
  </conditionalFormatting>
  <conditionalFormatting sqref="H373">
    <cfRule type="duplicateValues" dxfId="180" priority="262"/>
  </conditionalFormatting>
  <conditionalFormatting sqref="B373">
    <cfRule type="duplicateValues" dxfId="179" priority="261"/>
  </conditionalFormatting>
  <conditionalFormatting sqref="H374">
    <cfRule type="duplicateValues" dxfId="178" priority="260"/>
  </conditionalFormatting>
  <conditionalFormatting sqref="B374">
    <cfRule type="duplicateValues" dxfId="177" priority="259"/>
  </conditionalFormatting>
  <conditionalFormatting sqref="H375">
    <cfRule type="duplicateValues" dxfId="176" priority="258"/>
  </conditionalFormatting>
  <conditionalFormatting sqref="B375">
    <cfRule type="duplicateValues" dxfId="175" priority="257"/>
  </conditionalFormatting>
  <conditionalFormatting sqref="H376">
    <cfRule type="duplicateValues" dxfId="174" priority="256"/>
  </conditionalFormatting>
  <conditionalFormatting sqref="B376">
    <cfRule type="duplicateValues" dxfId="173" priority="255"/>
  </conditionalFormatting>
  <conditionalFormatting sqref="H595:H1048576 H524:H532 H1:H16 H20:H34 H470:H481 H251:H334 H338:H376 H44:H238">
    <cfRule type="duplicateValues" dxfId="172" priority="240"/>
  </conditionalFormatting>
  <conditionalFormatting sqref="H377">
    <cfRule type="duplicateValues" dxfId="171" priority="239"/>
  </conditionalFormatting>
  <conditionalFormatting sqref="B377">
    <cfRule type="duplicateValues" dxfId="170" priority="238"/>
  </conditionalFormatting>
  <conditionalFormatting sqref="H378">
    <cfRule type="duplicateValues" dxfId="169" priority="237"/>
  </conditionalFormatting>
  <conditionalFormatting sqref="B378">
    <cfRule type="duplicateValues" dxfId="168" priority="236"/>
  </conditionalFormatting>
  <conditionalFormatting sqref="H379">
    <cfRule type="duplicateValues" dxfId="167" priority="235"/>
  </conditionalFormatting>
  <conditionalFormatting sqref="B379">
    <cfRule type="duplicateValues" dxfId="166" priority="234"/>
  </conditionalFormatting>
  <conditionalFormatting sqref="H377:H379">
    <cfRule type="duplicateValues" dxfId="165" priority="233"/>
  </conditionalFormatting>
  <conditionalFormatting sqref="H380">
    <cfRule type="duplicateValues" dxfId="164" priority="232"/>
  </conditionalFormatting>
  <conditionalFormatting sqref="B380">
    <cfRule type="duplicateValues" dxfId="163" priority="231"/>
  </conditionalFormatting>
  <conditionalFormatting sqref="H381">
    <cfRule type="duplicateValues" dxfId="162" priority="230"/>
  </conditionalFormatting>
  <conditionalFormatting sqref="B381">
    <cfRule type="duplicateValues" dxfId="161" priority="229"/>
  </conditionalFormatting>
  <conditionalFormatting sqref="H382">
    <cfRule type="duplicateValues" dxfId="160" priority="228"/>
  </conditionalFormatting>
  <conditionalFormatting sqref="B382">
    <cfRule type="duplicateValues" dxfId="159" priority="227"/>
  </conditionalFormatting>
  <conditionalFormatting sqref="H380:H382">
    <cfRule type="duplicateValues" dxfId="158" priority="226"/>
  </conditionalFormatting>
  <conditionalFormatting sqref="H493">
    <cfRule type="duplicateValues" dxfId="157" priority="223"/>
  </conditionalFormatting>
  <conditionalFormatting sqref="H494:H496">
    <cfRule type="duplicateValues" dxfId="156" priority="224"/>
  </conditionalFormatting>
  <conditionalFormatting sqref="H498:H499">
    <cfRule type="duplicateValues" dxfId="155" priority="225"/>
  </conditionalFormatting>
  <conditionalFormatting sqref="H497">
    <cfRule type="duplicateValues" dxfId="154" priority="214"/>
  </conditionalFormatting>
  <conditionalFormatting sqref="H497">
    <cfRule type="duplicateValues" dxfId="153" priority="215"/>
  </conditionalFormatting>
  <conditionalFormatting sqref="H501">
    <cfRule type="duplicateValues" dxfId="152" priority="212"/>
  </conditionalFormatting>
  <conditionalFormatting sqref="H501">
    <cfRule type="duplicateValues" dxfId="151" priority="213"/>
  </conditionalFormatting>
  <conditionalFormatting sqref="H500">
    <cfRule type="duplicateValues" dxfId="150" priority="210"/>
  </conditionalFormatting>
  <conditionalFormatting sqref="H500">
    <cfRule type="duplicateValues" dxfId="149" priority="211"/>
  </conditionalFormatting>
  <conditionalFormatting sqref="H483:H487">
    <cfRule type="duplicateValues" dxfId="148" priority="204"/>
  </conditionalFormatting>
  <conditionalFormatting sqref="H483:H487">
    <cfRule type="duplicateValues" dxfId="147" priority="203"/>
  </conditionalFormatting>
  <conditionalFormatting sqref="H488:H492">
    <cfRule type="duplicateValues" dxfId="146" priority="200"/>
  </conditionalFormatting>
  <conditionalFormatting sqref="H488:H492">
    <cfRule type="duplicateValues" dxfId="145" priority="199"/>
  </conditionalFormatting>
  <conditionalFormatting sqref="H482">
    <cfRule type="duplicateValues" dxfId="144" priority="209"/>
  </conditionalFormatting>
  <conditionalFormatting sqref="H595:H1048576 H524:H532 H470:H501 H1:H16 H20:H34 H251:H334 H338:H382 H44:H238">
    <cfRule type="duplicateValues" dxfId="143" priority="198"/>
  </conditionalFormatting>
  <conditionalFormatting sqref="H17:H19">
    <cfRule type="duplicateValues" dxfId="142" priority="195"/>
  </conditionalFormatting>
  <conditionalFormatting sqref="H17:H19">
    <cfRule type="duplicateValues" dxfId="141" priority="194"/>
  </conditionalFormatting>
  <conditionalFormatting sqref="D17:G19 B17:B19">
    <cfRule type="duplicateValues" dxfId="140" priority="196"/>
  </conditionalFormatting>
  <conditionalFormatting sqref="D17:G19 B17:B19">
    <cfRule type="duplicateValues" dxfId="139" priority="197"/>
  </conditionalFormatting>
  <conditionalFormatting sqref="H239:H250">
    <cfRule type="duplicateValues" dxfId="138" priority="192"/>
  </conditionalFormatting>
  <conditionalFormatting sqref="H239:H250">
    <cfRule type="duplicateValues" dxfId="137" priority="193"/>
  </conditionalFormatting>
  <conditionalFormatting sqref="B395">
    <cfRule type="duplicateValues" dxfId="136" priority="189"/>
  </conditionalFormatting>
  <conditionalFormatting sqref="B396">
    <cfRule type="duplicateValues" dxfId="135" priority="186"/>
  </conditionalFormatting>
  <conditionalFormatting sqref="B397">
    <cfRule type="duplicateValues" dxfId="134" priority="181"/>
  </conditionalFormatting>
  <conditionalFormatting sqref="B398">
    <cfRule type="duplicateValues" dxfId="133" priority="178"/>
  </conditionalFormatting>
  <conditionalFormatting sqref="B399">
    <cfRule type="duplicateValues" dxfId="132" priority="173"/>
  </conditionalFormatting>
  <conditionalFormatting sqref="B428:B450 B400">
    <cfRule type="duplicateValues" dxfId="131" priority="170"/>
  </conditionalFormatting>
  <conditionalFormatting sqref="B383">
    <cfRule type="duplicateValues" dxfId="130" priority="166"/>
  </conditionalFormatting>
  <conditionalFormatting sqref="B384">
    <cfRule type="duplicateValues" dxfId="129" priority="164"/>
  </conditionalFormatting>
  <conditionalFormatting sqref="B385">
    <cfRule type="duplicateValues" dxfId="128" priority="162"/>
  </conditionalFormatting>
  <conditionalFormatting sqref="H383">
    <cfRule type="duplicateValues" dxfId="127" priority="159"/>
  </conditionalFormatting>
  <conditionalFormatting sqref="H384">
    <cfRule type="duplicateValues" dxfId="126" priority="158"/>
  </conditionalFormatting>
  <conditionalFormatting sqref="H385">
    <cfRule type="duplicateValues" dxfId="125" priority="157"/>
  </conditionalFormatting>
  <conditionalFormatting sqref="H383:H385">
    <cfRule type="duplicateValues" dxfId="124" priority="156"/>
  </conditionalFormatting>
  <conditionalFormatting sqref="H383:H385">
    <cfRule type="duplicateValues" dxfId="123" priority="155"/>
  </conditionalFormatting>
  <conditionalFormatting sqref="B451">
    <cfRule type="duplicateValues" dxfId="122" priority="154"/>
  </conditionalFormatting>
  <conditionalFormatting sqref="B452">
    <cfRule type="duplicateValues" dxfId="121" priority="153"/>
  </conditionalFormatting>
  <conditionalFormatting sqref="B386">
    <cfRule type="duplicateValues" dxfId="120" priority="149"/>
  </conditionalFormatting>
  <conditionalFormatting sqref="B387">
    <cfRule type="duplicateValues" dxfId="119" priority="148"/>
  </conditionalFormatting>
  <conditionalFormatting sqref="B388">
    <cfRule type="duplicateValues" dxfId="118" priority="147"/>
  </conditionalFormatting>
  <conditionalFormatting sqref="H386">
    <cfRule type="duplicateValues" dxfId="117" priority="146"/>
  </conditionalFormatting>
  <conditionalFormatting sqref="H387">
    <cfRule type="duplicateValues" dxfId="116" priority="145"/>
  </conditionalFormatting>
  <conditionalFormatting sqref="H388">
    <cfRule type="duplicateValues" dxfId="115" priority="144"/>
  </conditionalFormatting>
  <conditionalFormatting sqref="H386:H388">
    <cfRule type="duplicateValues" dxfId="114" priority="143"/>
  </conditionalFormatting>
  <conditionalFormatting sqref="H386:H388">
    <cfRule type="duplicateValues" dxfId="113" priority="142"/>
  </conditionalFormatting>
  <conditionalFormatting sqref="B389">
    <cfRule type="duplicateValues" dxfId="112" priority="141"/>
  </conditionalFormatting>
  <conditionalFormatting sqref="B390">
    <cfRule type="duplicateValues" dxfId="111" priority="140"/>
  </conditionalFormatting>
  <conditionalFormatting sqref="B391">
    <cfRule type="duplicateValues" dxfId="110" priority="139"/>
  </conditionalFormatting>
  <conditionalFormatting sqref="H389">
    <cfRule type="duplicateValues" dxfId="109" priority="138"/>
  </conditionalFormatting>
  <conditionalFormatting sqref="H390">
    <cfRule type="duplicateValues" dxfId="108" priority="137"/>
  </conditionalFormatting>
  <conditionalFormatting sqref="H391">
    <cfRule type="duplicateValues" dxfId="107" priority="136"/>
  </conditionalFormatting>
  <conditionalFormatting sqref="H389:H391">
    <cfRule type="duplicateValues" dxfId="106" priority="135"/>
  </conditionalFormatting>
  <conditionalFormatting sqref="H389:H391">
    <cfRule type="duplicateValues" dxfId="105" priority="134"/>
  </conditionalFormatting>
  <conditionalFormatting sqref="B392">
    <cfRule type="duplicateValues" dxfId="104" priority="133"/>
  </conditionalFormatting>
  <conditionalFormatting sqref="B393">
    <cfRule type="duplicateValues" dxfId="103" priority="132"/>
  </conditionalFormatting>
  <conditionalFormatting sqref="B394">
    <cfRule type="duplicateValues" dxfId="102" priority="131"/>
  </conditionalFormatting>
  <conditionalFormatting sqref="H392">
    <cfRule type="duplicateValues" dxfId="101" priority="130"/>
  </conditionalFormatting>
  <conditionalFormatting sqref="H393">
    <cfRule type="duplicateValues" dxfId="100" priority="129"/>
  </conditionalFormatting>
  <conditionalFormatting sqref="H394">
    <cfRule type="duplicateValues" dxfId="99" priority="128"/>
  </conditionalFormatting>
  <conditionalFormatting sqref="H392:H394">
    <cfRule type="duplicateValues" dxfId="98" priority="127"/>
  </conditionalFormatting>
  <conditionalFormatting sqref="H392:H394">
    <cfRule type="duplicateValues" dxfId="97" priority="126"/>
  </conditionalFormatting>
  <conditionalFormatting sqref="B595:B1048576 B470:B481 B1:B16 B20:B34 B119:B334 B338:B343 B44:B115">
    <cfRule type="duplicateValues" dxfId="96" priority="507"/>
  </conditionalFormatting>
  <conditionalFormatting sqref="B453">
    <cfRule type="duplicateValues" dxfId="95" priority="527"/>
  </conditionalFormatting>
  <conditionalFormatting sqref="H456:H457">
    <cfRule type="duplicateValues" dxfId="94" priority="119"/>
  </conditionalFormatting>
  <conditionalFormatting sqref="H463:H464">
    <cfRule type="duplicateValues" dxfId="93" priority="118"/>
  </conditionalFormatting>
  <conditionalFormatting sqref="H458:H462">
    <cfRule type="duplicateValues" dxfId="92" priority="117"/>
  </conditionalFormatting>
  <conditionalFormatting sqref="H458:H462">
    <cfRule type="duplicateValues" dxfId="91" priority="116"/>
  </conditionalFormatting>
  <conditionalFormatting sqref="H465 H468:H469">
    <cfRule type="duplicateValues" dxfId="90" priority="115"/>
  </conditionalFormatting>
  <conditionalFormatting sqref="H465">
    <cfRule type="duplicateValues" dxfId="89" priority="114"/>
  </conditionalFormatting>
  <conditionalFormatting sqref="H456">
    <cfRule type="duplicateValues" dxfId="88" priority="113"/>
  </conditionalFormatting>
  <conditionalFormatting sqref="H463">
    <cfRule type="duplicateValues" dxfId="87" priority="112"/>
  </conditionalFormatting>
  <conditionalFormatting sqref="H463">
    <cfRule type="duplicateValues" dxfId="86" priority="111"/>
  </conditionalFormatting>
  <conditionalFormatting sqref="H454:H455">
    <cfRule type="duplicateValues" dxfId="85" priority="125"/>
  </conditionalFormatting>
  <conditionalFormatting sqref="H466:H467">
    <cfRule type="duplicateValues" dxfId="84" priority="110"/>
  </conditionalFormatting>
  <conditionalFormatting sqref="H466:H467">
    <cfRule type="duplicateValues" dxfId="83" priority="109"/>
  </conditionalFormatting>
  <conditionalFormatting sqref="H466">
    <cfRule type="duplicateValues" dxfId="82" priority="108"/>
  </conditionalFormatting>
  <conditionalFormatting sqref="H466">
    <cfRule type="duplicateValues" dxfId="81" priority="107"/>
  </conditionalFormatting>
  <conditionalFormatting sqref="H502">
    <cfRule type="duplicateValues" dxfId="80" priority="104"/>
  </conditionalFormatting>
  <conditionalFormatting sqref="H505:H506">
    <cfRule type="duplicateValues" dxfId="79" priority="106"/>
  </conditionalFormatting>
  <conditionalFormatting sqref="H508">
    <cfRule type="duplicateValues" dxfId="78" priority="93"/>
  </conditionalFormatting>
  <conditionalFormatting sqref="H508">
    <cfRule type="duplicateValues" dxfId="77" priority="94"/>
  </conditionalFormatting>
  <conditionalFormatting sqref="H507">
    <cfRule type="duplicateValues" dxfId="76" priority="91"/>
  </conditionalFormatting>
  <conditionalFormatting sqref="H507">
    <cfRule type="duplicateValues" dxfId="75" priority="92"/>
  </conditionalFormatting>
  <conditionalFormatting sqref="H503:H504">
    <cfRule type="duplicateValues" dxfId="74" priority="552"/>
  </conditionalFormatting>
  <conditionalFormatting sqref="H595:H1048576 H524:H532 H1:H34 H428:H508 H338:H400 H44:H334">
    <cfRule type="duplicateValues" dxfId="73" priority="89"/>
  </conditionalFormatting>
  <conditionalFormatting sqref="H509:H512">
    <cfRule type="duplicateValues" dxfId="72" priority="80"/>
  </conditionalFormatting>
  <conditionalFormatting sqref="H519:H520">
    <cfRule type="duplicateValues" dxfId="71" priority="72"/>
  </conditionalFormatting>
  <conditionalFormatting sqref="H519:H520">
    <cfRule type="duplicateValues" dxfId="70" priority="73"/>
  </conditionalFormatting>
  <conditionalFormatting sqref="H513:H516">
    <cfRule type="duplicateValues" dxfId="69" priority="81"/>
  </conditionalFormatting>
  <conditionalFormatting sqref="H517:H518">
    <cfRule type="duplicateValues" dxfId="68" priority="84"/>
  </conditionalFormatting>
  <conditionalFormatting sqref="H275 H5:H13 H176:H184 H20:H25 H29:H34 H119:H172 H302:H334 H338:H343 H44:H112">
    <cfRule type="duplicateValues" dxfId="67" priority="665"/>
  </conditionalFormatting>
  <conditionalFormatting sqref="H521:H523">
    <cfRule type="duplicateValues" dxfId="66" priority="70"/>
  </conditionalFormatting>
  <conditionalFormatting sqref="H521:H523">
    <cfRule type="duplicateValues" dxfId="65" priority="71"/>
  </conditionalFormatting>
  <conditionalFormatting sqref="I533:I534">
    <cfRule type="duplicateValues" dxfId="64" priority="68"/>
  </conditionalFormatting>
  <conditionalFormatting sqref="H533:H558">
    <cfRule type="duplicateValues" dxfId="63" priority="67"/>
  </conditionalFormatting>
  <conditionalFormatting sqref="I535:I558">
    <cfRule type="duplicateValues" dxfId="62" priority="54"/>
  </conditionalFormatting>
  <conditionalFormatting sqref="B403">
    <cfRule type="duplicateValues" dxfId="61" priority="51"/>
  </conditionalFormatting>
  <conditionalFormatting sqref="B404">
    <cfRule type="duplicateValues" dxfId="60" priority="50"/>
  </conditionalFormatting>
  <conditionalFormatting sqref="B405">
    <cfRule type="duplicateValues" dxfId="59" priority="49"/>
  </conditionalFormatting>
  <conditionalFormatting sqref="B401">
    <cfRule type="duplicateValues" dxfId="58" priority="48"/>
  </conditionalFormatting>
  <conditionalFormatting sqref="B402">
    <cfRule type="duplicateValues" dxfId="57" priority="47"/>
  </conditionalFormatting>
  <conditionalFormatting sqref="B407">
    <cfRule type="duplicateValues" dxfId="56" priority="46"/>
  </conditionalFormatting>
  <conditionalFormatting sqref="B408">
    <cfRule type="duplicateValues" dxfId="55" priority="45"/>
  </conditionalFormatting>
  <conditionalFormatting sqref="B586:B594">
    <cfRule type="duplicateValues" dxfId="54" priority="44"/>
  </conditionalFormatting>
  <conditionalFormatting sqref="B562:B594">
    <cfRule type="duplicateValues" dxfId="53" priority="42"/>
  </conditionalFormatting>
  <conditionalFormatting sqref="H559:H561">
    <cfRule type="duplicateValues" dxfId="52" priority="41"/>
  </conditionalFormatting>
  <conditionalFormatting sqref="H559:H561">
    <cfRule type="duplicateValues" dxfId="51" priority="39"/>
  </conditionalFormatting>
  <conditionalFormatting sqref="H559:H561">
    <cfRule type="duplicateValues" dxfId="50" priority="40"/>
  </conditionalFormatting>
  <conditionalFormatting sqref="H562:H594">
    <cfRule type="duplicateValues" dxfId="49" priority="700"/>
  </conditionalFormatting>
  <conditionalFormatting sqref="B412">
    <cfRule type="duplicateValues" dxfId="48" priority="36"/>
  </conditionalFormatting>
  <conditionalFormatting sqref="B413">
    <cfRule type="duplicateValues" dxfId="47" priority="35"/>
  </conditionalFormatting>
  <conditionalFormatting sqref="B414">
    <cfRule type="duplicateValues" dxfId="46" priority="34"/>
  </conditionalFormatting>
  <conditionalFormatting sqref="B410">
    <cfRule type="duplicateValues" dxfId="45" priority="33"/>
  </conditionalFormatting>
  <conditionalFormatting sqref="B411">
    <cfRule type="duplicateValues" dxfId="44" priority="32"/>
  </conditionalFormatting>
  <conditionalFormatting sqref="B416">
    <cfRule type="duplicateValues" dxfId="43" priority="31"/>
  </conditionalFormatting>
  <conditionalFormatting sqref="B417">
    <cfRule type="duplicateValues" dxfId="42" priority="30"/>
  </conditionalFormatting>
  <conditionalFormatting sqref="B406 B409">
    <cfRule type="duplicateValues" dxfId="41" priority="739"/>
  </conditionalFormatting>
  <conditionalFormatting sqref="H401:H409">
    <cfRule type="duplicateValues" dxfId="40" priority="741"/>
  </conditionalFormatting>
  <conditionalFormatting sqref="H335:H337">
    <cfRule type="duplicateValues" dxfId="39" priority="27"/>
  </conditionalFormatting>
  <conditionalFormatting sqref="H335:H337">
    <cfRule type="duplicateValues" dxfId="38" priority="28"/>
  </conditionalFormatting>
  <conditionalFormatting sqref="B335:B337 D335:F337">
    <cfRule type="duplicateValues" dxfId="37" priority="29"/>
  </conditionalFormatting>
  <conditionalFormatting sqref="D335:D337">
    <cfRule type="duplicateValues" dxfId="36" priority="25"/>
  </conditionalFormatting>
  <conditionalFormatting sqref="D335:D337">
    <cfRule type="duplicateValues" dxfId="35" priority="26"/>
  </conditionalFormatting>
  <conditionalFormatting sqref="D335:D337">
    <cfRule type="duplicateValues" dxfId="34" priority="24"/>
  </conditionalFormatting>
  <conditionalFormatting sqref="D335:D337">
    <cfRule type="duplicateValues" dxfId="33" priority="23"/>
  </conditionalFormatting>
  <conditionalFormatting sqref="F335:F337">
    <cfRule type="duplicateValues" dxfId="32" priority="21"/>
  </conditionalFormatting>
  <conditionalFormatting sqref="F335:F337">
    <cfRule type="duplicateValues" dxfId="31" priority="22"/>
  </conditionalFormatting>
  <conditionalFormatting sqref="F335:F337">
    <cfRule type="duplicateValues" dxfId="30" priority="20"/>
  </conditionalFormatting>
  <conditionalFormatting sqref="F335:F337">
    <cfRule type="duplicateValues" dxfId="29" priority="19"/>
  </conditionalFormatting>
  <conditionalFormatting sqref="H35:H43">
    <cfRule type="duplicateValues" dxfId="28" priority="14"/>
  </conditionalFormatting>
  <conditionalFormatting sqref="H35:H43">
    <cfRule type="duplicateValues" dxfId="27" priority="15"/>
  </conditionalFormatting>
  <conditionalFormatting sqref="B35:B43 D35:F43">
    <cfRule type="duplicateValues" dxfId="26" priority="16"/>
  </conditionalFormatting>
  <conditionalFormatting sqref="B35:B43 D35:F43">
    <cfRule type="duplicateValues" dxfId="25" priority="17"/>
  </conditionalFormatting>
  <conditionalFormatting sqref="B35:B43 D35:F43">
    <cfRule type="duplicateValues" dxfId="24" priority="18"/>
  </conditionalFormatting>
  <conditionalFormatting sqref="D35:D43">
    <cfRule type="duplicateValues" dxfId="23" priority="13"/>
  </conditionalFormatting>
  <conditionalFormatting sqref="D35:D43">
    <cfRule type="duplicateValues" dxfId="22" priority="12"/>
  </conditionalFormatting>
  <conditionalFormatting sqref="F35:F43">
    <cfRule type="duplicateValues" dxfId="21" priority="11"/>
  </conditionalFormatting>
  <conditionalFormatting sqref="F35:F43">
    <cfRule type="duplicateValues" dxfId="20" priority="10"/>
  </conditionalFormatting>
  <conditionalFormatting sqref="B424 B427">
    <cfRule type="duplicateValues" dxfId="19" priority="9"/>
  </conditionalFormatting>
  <conditionalFormatting sqref="H419:H427">
    <cfRule type="duplicateValues" dxfId="18" priority="8"/>
  </conditionalFormatting>
  <conditionalFormatting sqref="B421">
    <cfRule type="duplicateValues" dxfId="17" priority="7"/>
  </conditionalFormatting>
  <conditionalFormatting sqref="B422">
    <cfRule type="duplicateValues" dxfId="16" priority="6"/>
  </conditionalFormatting>
  <conditionalFormatting sqref="B423">
    <cfRule type="duplicateValues" dxfId="15" priority="5"/>
  </conditionalFormatting>
  <conditionalFormatting sqref="B419">
    <cfRule type="duplicateValues" dxfId="14" priority="4"/>
  </conditionalFormatting>
  <conditionalFormatting sqref="B420">
    <cfRule type="duplicateValues" dxfId="13" priority="3"/>
  </conditionalFormatting>
  <conditionalFormatting sqref="B425">
    <cfRule type="duplicateValues" dxfId="12" priority="2"/>
  </conditionalFormatting>
  <conditionalFormatting sqref="B426">
    <cfRule type="duplicateValues" dxfId="11" priority="1"/>
  </conditionalFormatting>
  <conditionalFormatting sqref="B415 B418">
    <cfRule type="duplicateValues" dxfId="10" priority="790"/>
  </conditionalFormatting>
  <conditionalFormatting sqref="H410:H418">
    <cfRule type="duplicateValues" dxfId="9" priority="792"/>
  </conditionalFormatting>
  <conditionalFormatting sqref="D524:D558">
    <cfRule type="duplicateValues" dxfId="8" priority="923"/>
  </conditionalFormatting>
  <conditionalFormatting sqref="H509:H523">
    <cfRule type="duplicateValues" dxfId="7" priority="1053"/>
  </conditionalFormatting>
  <conditionalFormatting sqref="H509:H518">
    <cfRule type="duplicateValues" dxfId="6" priority="1054"/>
  </conditionalFormatting>
  <conditionalFormatting sqref="H502:H506">
    <cfRule type="duplicateValues" dxfId="5" priority="1181"/>
  </conditionalFormatting>
  <conditionalFormatting sqref="H502:H508">
    <cfRule type="duplicateValues" dxfId="4" priority="1182"/>
  </conditionalFormatting>
  <conditionalFormatting sqref="H498:H499 H493:H496">
    <cfRule type="duplicateValues" dxfId="3" priority="1206"/>
  </conditionalFormatting>
  <conditionalFormatting sqref="H463:H464 H454:H457">
    <cfRule type="duplicateValues" dxfId="2" priority="1243"/>
  </conditionalFormatting>
  <conditionalFormatting sqref="H454:H469">
    <cfRule type="duplicateValues" dxfId="1" priority="1338"/>
  </conditionalFormatting>
  <conditionalFormatting sqref="B95:B112">
    <cfRule type="duplicateValues" dxfId="0" priority="1344"/>
  </conditionalFormatting>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2049" r:id="rId4" name="JsonFileCreate">
          <controlPr autoLine="0" autoPict="0" r:id="rId5">
            <anchor moveWithCells="1">
              <from>
                <xdr:col>0</xdr:col>
                <xdr:colOff>9525</xdr:colOff>
                <xdr:row>0</xdr:row>
                <xdr:rowOff>9525</xdr:rowOff>
              </from>
              <to>
                <xdr:col>3</xdr:col>
                <xdr:colOff>819150</xdr:colOff>
                <xdr:row>2</xdr:row>
                <xdr:rowOff>133350</xdr:rowOff>
              </to>
            </anchor>
          </controlPr>
        </control>
      </mc:Choice>
      <mc:Fallback>
        <control shapeId="2049" r:id="rId4" name="JsonFileCre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H19"/>
  <sheetViews>
    <sheetView workbookViewId="0">
      <selection activeCell="E26" sqref="E26"/>
    </sheetView>
  </sheetViews>
  <sheetFormatPr defaultRowHeight="16.5"/>
  <cols>
    <col min="3" max="3" width="28.125" bestFit="1" customWidth="1"/>
    <col min="4" max="4" width="10.5" bestFit="1" customWidth="1"/>
    <col min="5" max="5" width="12.75" bestFit="1" customWidth="1"/>
    <col min="6" max="6" width="11.5" bestFit="1" customWidth="1"/>
    <col min="8" max="8" width="18.875" bestFit="1" customWidth="1"/>
  </cols>
  <sheetData>
    <row r="3" spans="2:8">
      <c r="B3" s="8" t="s">
        <v>27</v>
      </c>
      <c r="C3" s="8" t="s">
        <v>24</v>
      </c>
      <c r="D3" s="8" t="s">
        <v>25</v>
      </c>
      <c r="E3" s="8" t="s">
        <v>30</v>
      </c>
      <c r="F3" s="8" t="s">
        <v>26</v>
      </c>
    </row>
    <row r="4" spans="2:8">
      <c r="B4" s="7">
        <v>1</v>
      </c>
      <c r="C4" s="7" t="s">
        <v>94</v>
      </c>
      <c r="D4" s="7" t="s">
        <v>31</v>
      </c>
      <c r="E4" s="7" t="s">
        <v>32</v>
      </c>
      <c r="F4" s="7" t="s">
        <v>33</v>
      </c>
      <c r="H4" s="15" t="s">
        <v>96</v>
      </c>
    </row>
    <row r="5" spans="2:8">
      <c r="B5" s="7">
        <v>2</v>
      </c>
      <c r="C5" s="7" t="s">
        <v>47</v>
      </c>
      <c r="D5" s="7" t="s">
        <v>34</v>
      </c>
      <c r="E5" s="7" t="s">
        <v>35</v>
      </c>
      <c r="F5" s="7" t="s">
        <v>36</v>
      </c>
      <c r="H5" s="15" t="s">
        <v>97</v>
      </c>
    </row>
    <row r="6" spans="2:8">
      <c r="B6" s="7">
        <v>3</v>
      </c>
      <c r="C6" s="7" t="s">
        <v>48</v>
      </c>
      <c r="D6" s="7" t="s">
        <v>37</v>
      </c>
      <c r="E6" s="7" t="s">
        <v>38</v>
      </c>
      <c r="F6" s="7" t="s">
        <v>39</v>
      </c>
      <c r="H6" s="15" t="s">
        <v>98</v>
      </c>
    </row>
    <row r="7" spans="2:8">
      <c r="B7" s="7">
        <v>4</v>
      </c>
      <c r="C7" s="7" t="s">
        <v>29</v>
      </c>
      <c r="D7" s="7" t="s">
        <v>40</v>
      </c>
      <c r="E7" s="7" t="s">
        <v>41</v>
      </c>
      <c r="F7" s="7" t="s">
        <v>42</v>
      </c>
      <c r="H7" s="15" t="s">
        <v>99</v>
      </c>
    </row>
    <row r="8" spans="2:8">
      <c r="B8" s="7">
        <v>5</v>
      </c>
      <c r="C8" s="7" t="s">
        <v>49</v>
      </c>
      <c r="D8" s="7" t="s">
        <v>50</v>
      </c>
      <c r="E8" s="7" t="s">
        <v>51</v>
      </c>
      <c r="F8" s="7" t="s">
        <v>52</v>
      </c>
    </row>
    <row r="9" spans="2:8">
      <c r="B9" s="7">
        <v>6</v>
      </c>
      <c r="C9" s="7" t="s">
        <v>64</v>
      </c>
      <c r="D9" s="7" t="s">
        <v>65</v>
      </c>
      <c r="E9" s="7" t="s">
        <v>66</v>
      </c>
      <c r="F9" s="7" t="s">
        <v>67</v>
      </c>
    </row>
    <row r="10" spans="2:8">
      <c r="B10" s="7">
        <v>7</v>
      </c>
      <c r="C10" s="7" t="s">
        <v>132</v>
      </c>
      <c r="D10" s="7" t="s">
        <v>80</v>
      </c>
      <c r="E10" s="7" t="s">
        <v>81</v>
      </c>
      <c r="F10" s="7" t="s">
        <v>82</v>
      </c>
    </row>
    <row r="11" spans="2:8">
      <c r="B11" s="7">
        <v>8</v>
      </c>
      <c r="C11" s="7" t="s">
        <v>133</v>
      </c>
      <c r="D11" s="7" t="s">
        <v>100</v>
      </c>
      <c r="E11" s="7" t="s">
        <v>101</v>
      </c>
      <c r="F11" s="7" t="s">
        <v>102</v>
      </c>
    </row>
    <row r="12" spans="2:8">
      <c r="B12" s="7">
        <v>9</v>
      </c>
      <c r="C12" s="7" t="s">
        <v>172</v>
      </c>
      <c r="D12" s="7" t="s">
        <v>103</v>
      </c>
      <c r="E12" s="7" t="s">
        <v>104</v>
      </c>
      <c r="F12" s="7" t="s">
        <v>105</v>
      </c>
    </row>
    <row r="13" spans="2:8">
      <c r="B13" s="7">
        <v>10</v>
      </c>
      <c r="C13" s="7" t="s">
        <v>171</v>
      </c>
      <c r="D13" s="7" t="s">
        <v>106</v>
      </c>
      <c r="E13" s="7" t="s">
        <v>107</v>
      </c>
      <c r="F13" s="7" t="s">
        <v>108</v>
      </c>
    </row>
    <row r="15" spans="2:8">
      <c r="B15" s="7">
        <v>12</v>
      </c>
      <c r="C15" s="7" t="s">
        <v>535</v>
      </c>
      <c r="D15" s="7" t="s">
        <v>540</v>
      </c>
      <c r="E15" s="7" t="s">
        <v>541</v>
      </c>
      <c r="F15" s="7" t="s">
        <v>542</v>
      </c>
    </row>
    <row r="16" spans="2:8">
      <c r="B16" s="7">
        <v>13</v>
      </c>
      <c r="C16" s="7" t="s">
        <v>999</v>
      </c>
      <c r="D16" s="7" t="s">
        <v>1000</v>
      </c>
      <c r="E16" s="7" t="s">
        <v>1001</v>
      </c>
      <c r="F16" s="7" t="s">
        <v>1002</v>
      </c>
    </row>
    <row r="18" spans="2:6">
      <c r="B18" s="7">
        <v>14</v>
      </c>
      <c r="C18" s="7" t="s">
        <v>1015</v>
      </c>
      <c r="D18" s="7" t="s">
        <v>1016</v>
      </c>
      <c r="E18" s="7" t="s">
        <v>1017</v>
      </c>
      <c r="F18" s="7" t="s">
        <v>1018</v>
      </c>
    </row>
    <row r="19" spans="2:6">
      <c r="B19" s="7">
        <v>16</v>
      </c>
      <c r="C19" s="7" t="s">
        <v>1425</v>
      </c>
      <c r="D19" s="7" t="s">
        <v>1427</v>
      </c>
      <c r="E19" s="7" t="s">
        <v>1426</v>
      </c>
      <c r="F19" s="7" t="s">
        <v>1428</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!명세서</vt:lpstr>
      <vt:lpstr>STRING_MAIL</vt:lpstr>
      <vt:lpstr>!규칙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SeungJin</dc:creator>
  <cp:lastModifiedBy>wmoffice27</cp:lastModifiedBy>
  <dcterms:created xsi:type="dcterms:W3CDTF">2016-01-18T01:31:30Z</dcterms:created>
  <dcterms:modified xsi:type="dcterms:W3CDTF">2025-12-23T08:20:53Z</dcterms:modified>
</cp:coreProperties>
</file>