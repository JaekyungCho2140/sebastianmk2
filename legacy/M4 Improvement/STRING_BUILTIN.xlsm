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899C9086-67A9-5B14-2C2D-5A8001700F7D}"/>
  <workbookPr codeName="현재_통합_문서" hidePivotFieldList="1"/>
  <mc:AlternateContent xmlns:mc="http://schemas.openxmlformats.org/markup-compatibility/2006">
    <mc:Choice Requires="x15">
      <x15ac:absPath xmlns:x15ac="http://schemas.microsoft.com/office/spreadsheetml/2010/11/ac" url="\\172.17.255.21\nas_Wm\WM_L10n팀\01_MIR4\99_ARCHIVE\MIR4_FULL_LOCALE\2025년\251223\251223_테이블 정제\"/>
    </mc:Choice>
  </mc:AlternateContent>
  <xr:revisionPtr revIDLastSave="0" documentId="13_ncr:1_{068AAA30-0B62-4C9E-B65F-906907454923}" xr6:coauthVersionLast="47" xr6:coauthVersionMax="47" xr10:uidLastSave="{00000000-0000-0000-0000-000000000000}"/>
  <bookViews>
    <workbookView xWindow="-120" yWindow="-120" windowWidth="29040" windowHeight="15720" activeTab="1" xr2:uid="{00000000-000D-0000-FFFF-FFFF00000000}"/>
  </bookViews>
  <sheets>
    <sheet name="!명세서" sheetId="2" r:id="rId1"/>
    <sheet name="STRING_BUILTIN" sheetId="4" r:id="rId2"/>
    <sheet name="!아이디규칙" sheetId="5" r:id="rId3"/>
    <sheet name="!List" sheetId="9" r:id="rId4"/>
    <sheet name="!스트링 정리" sheetId="6" r:id="rId5"/>
  </sheets>
  <definedNames>
    <definedName name="_xlnm._FilterDatabase" localSheetId="1" hidden="1">STRING_BUILTIN!$A$4:$P$242</definedName>
    <definedName name="_리스트_ChattingMessageType_Item">_표_ChattingMessageType[ChattingMessageType_Item]</definedName>
    <definedName name="_리스트_MessageType_Item">_표_MessageType[MessageType_Item]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40" i="4" l="1"/>
  <c r="P196" i="4"/>
  <c r="O196" i="4"/>
  <c r="N196" i="4"/>
  <c r="M196" i="4"/>
  <c r="L196" i="4"/>
  <c r="K196" i="4"/>
  <c r="J196" i="4"/>
  <c r="P242" i="4"/>
  <c r="O242" i="4"/>
  <c r="N242" i="4"/>
  <c r="M242" i="4"/>
  <c r="L242" i="4"/>
  <c r="K242" i="4"/>
  <c r="P241" i="4"/>
  <c r="O241" i="4"/>
  <c r="N241" i="4"/>
  <c r="M241" i="4"/>
  <c r="L241" i="4"/>
  <c r="K241" i="4"/>
  <c r="P240" i="4"/>
  <c r="O240" i="4"/>
  <c r="N240" i="4"/>
  <c r="M240" i="4"/>
  <c r="L240" i="4"/>
  <c r="K240" i="4"/>
  <c r="J242" i="4"/>
  <c r="J241" i="4"/>
  <c r="P200" i="4"/>
  <c r="O200" i="4"/>
  <c r="N200" i="4"/>
  <c r="M200" i="4"/>
  <c r="L200" i="4"/>
  <c r="K200" i="4"/>
  <c r="J200" i="4"/>
  <c r="V4" i="4"/>
  <c r="V3" i="4"/>
  <c r="V2" i="4"/>
  <c r="U4" i="4"/>
  <c r="U3" i="4"/>
  <c r="U2" i="4"/>
  <c r="T4" i="4"/>
  <c r="T3" i="4"/>
  <c r="T2" i="4"/>
  <c r="S4" i="4"/>
  <c r="S3" i="4"/>
  <c r="S2" i="4"/>
  <c r="R4" i="4"/>
  <c r="R3" i="4"/>
  <c r="R2" i="4"/>
  <c r="Q4" i="4"/>
  <c r="Q3" i="4"/>
  <c r="Q2" i="4"/>
  <c r="P4" i="4"/>
  <c r="P3" i="4"/>
  <c r="P2" i="4"/>
  <c r="O4" i="4"/>
  <c r="O3" i="4"/>
  <c r="O2" i="4"/>
  <c r="N4" i="4"/>
  <c r="N3" i="4"/>
  <c r="N2" i="4"/>
  <c r="J4" i="4"/>
  <c r="J3" i="4"/>
  <c r="J2" i="4"/>
  <c r="M4" i="4"/>
  <c r="M3" i="4"/>
  <c r="M2" i="4"/>
  <c r="L4" i="4"/>
  <c r="L3" i="4"/>
  <c r="L2" i="4"/>
  <c r="K4" i="4"/>
  <c r="K3" i="4"/>
  <c r="K2" i="4"/>
  <c r="I4" i="4"/>
  <c r="I3" i="4"/>
  <c r="I2" i="4"/>
  <c r="H4" i="4"/>
  <c r="H3" i="4"/>
  <c r="H2" i="4"/>
  <c r="G4" i="4"/>
  <c r="G3" i="4"/>
  <c r="G2" i="4"/>
  <c r="F4" i="4"/>
  <c r="F3" i="4"/>
  <c r="F2" i="4"/>
  <c r="E4" i="4"/>
  <c r="E3" i="4"/>
  <c r="E2" i="4"/>
  <c r="D4" i="4"/>
  <c r="D3" i="4"/>
  <c r="D2" i="4"/>
  <c r="C4" i="4"/>
  <c r="C3" i="4"/>
  <c r="C2" i="4"/>
  <c r="B4" i="4"/>
  <c r="B3" i="4"/>
  <c r="B2" i="4"/>
  <c r="B112" i="4" a="1"/>
  <c r="B92" i="4" a="1"/>
  <c r="B232" i="4" a="1"/>
  <c r="B146" i="4" a="1"/>
  <c r="B26" i="4" a="1"/>
  <c r="B202" i="4" a="1"/>
  <c r="B89" i="4" a="1"/>
  <c r="B164" i="4" a="1"/>
  <c r="B215" i="4" a="1"/>
  <c r="B108" i="4" a="1"/>
  <c r="B225" i="4" a="1"/>
  <c r="B16" i="4" a="1"/>
  <c r="B102" i="4" a="1"/>
  <c r="B86" i="4" a="1"/>
  <c r="B196" i="4" a="1"/>
  <c r="B25" i="4" a="1"/>
  <c r="B130" i="4" a="1"/>
  <c r="B11" i="4" a="1"/>
  <c r="B76" i="4" a="1"/>
  <c r="B127" i="4" a="1"/>
  <c r="B176" i="4" a="1"/>
  <c r="B32" i="4" a="1"/>
  <c r="B132" i="4" a="1"/>
  <c r="B161" i="4" a="1"/>
  <c r="B175" i="4" a="1"/>
  <c r="B23" i="4" a="1"/>
  <c r="B36" i="4" a="1"/>
  <c r="B207" i="4" a="1"/>
  <c r="B21" i="4" a="1"/>
  <c r="B20" i="4" a="1"/>
  <c r="B53" i="4" a="1"/>
  <c r="B56" i="4" a="1"/>
  <c r="B55" i="4" a="1"/>
  <c r="B57" i="4" a="1"/>
  <c r="B169" i="4" a="1"/>
  <c r="B15" i="4" a="1"/>
  <c r="B221" i="4" a="1"/>
  <c r="B198" i="4" a="1"/>
  <c r="B5" i="4" a="1"/>
  <c r="B37" i="4" a="1"/>
  <c r="B118" i="4" a="1"/>
  <c r="B71" i="4" a="1"/>
  <c r="B167" i="4" a="1"/>
  <c r="B40" i="4" a="1"/>
  <c r="B213" i="4" a="1"/>
  <c r="B217" i="4" a="1"/>
  <c r="B24" i="4" a="1"/>
  <c r="B87" i="4" a="1"/>
  <c r="B27" i="4" a="1"/>
  <c r="B212" i="4" a="1"/>
  <c r="B210" i="4" a="1"/>
  <c r="B42" i="4" a="1"/>
  <c r="B79" i="4" a="1"/>
  <c r="B168" i="4" a="1"/>
  <c r="B133" i="4" a="1"/>
  <c r="B231" i="4" a="1"/>
  <c r="B223" i="4" a="1"/>
  <c r="B65" i="4" a="1"/>
  <c r="B186" i="4" a="1"/>
  <c r="B98" i="4" a="1"/>
  <c r="B72" i="4" a="1"/>
  <c r="B59" i="4" a="1"/>
  <c r="B206" i="4" a="1"/>
  <c r="B101" i="4" a="1"/>
  <c r="B51" i="4" a="1"/>
  <c r="B66" i="4" a="1"/>
  <c r="B184" i="4" a="1"/>
  <c r="B156" i="4" a="1"/>
  <c r="B165" i="4" a="1"/>
  <c r="B153" i="4" a="1"/>
  <c r="B61" i="4" a="1"/>
  <c r="B123" i="4" a="1"/>
  <c r="B93" i="4" a="1"/>
  <c r="B67" i="4" a="1"/>
  <c r="B6" i="4" a="1"/>
  <c r="B69" i="4" a="1"/>
  <c r="B100" i="4" a="1"/>
  <c r="B189" i="4" a="1"/>
  <c r="B134" i="4" a="1"/>
  <c r="B183" i="4" a="1"/>
  <c r="B17" i="4" a="1"/>
  <c r="B85" i="4" a="1"/>
  <c r="B242" i="4" a="1"/>
  <c r="B218" i="4" a="1"/>
  <c r="B47" i="4" a="1"/>
  <c r="B99" i="4" a="1"/>
  <c r="B74" i="4" a="1"/>
  <c r="B70" i="4" a="1"/>
  <c r="B135" i="4" a="1"/>
  <c r="B185" i="4" a="1"/>
  <c r="B105" i="4" a="1"/>
  <c r="B48" i="4" a="1"/>
  <c r="B205" i="4" a="1"/>
  <c r="B34" i="4" a="1"/>
  <c r="B238" i="4" a="1"/>
  <c r="B50" i="4" a="1"/>
  <c r="B230" i="4" a="1"/>
  <c r="B94" i="4" a="1"/>
  <c r="B181" i="4" a="1"/>
  <c r="B13" i="4" a="1"/>
  <c r="B171" i="4" a="1"/>
  <c r="B83" i="4" a="1"/>
  <c r="B204" i="4" a="1"/>
  <c r="B119" i="4" a="1"/>
  <c r="B54" i="4" a="1"/>
  <c r="B131" i="4" a="1"/>
  <c r="B43" i="4" a="1"/>
  <c r="B9" i="4" a="1"/>
  <c r="B84" i="4" a="1"/>
  <c r="B120" i="4" a="1"/>
  <c r="B35" i="4" a="1"/>
  <c r="B30" i="4" a="1"/>
  <c r="B128" i="4" a="1"/>
  <c r="B49" i="4" a="1"/>
  <c r="B142" i="4" a="1"/>
  <c r="B235" i="4" a="1"/>
  <c r="B39" i="4" a="1"/>
  <c r="B178" i="4" a="1"/>
  <c r="B195" i="4" a="1"/>
  <c r="B222" i="4" a="1"/>
  <c r="B117" i="4" a="1"/>
  <c r="B97" i="4" a="1"/>
  <c r="B111" i="4" a="1"/>
  <c r="B73" i="4" a="1"/>
  <c r="B33" i="4" a="1"/>
  <c r="B88" i="4" a="1"/>
  <c r="B227" i="4" a="1"/>
  <c r="B62" i="4" a="1"/>
  <c r="B182" i="4" a="1"/>
  <c r="B233" i="4" a="1"/>
  <c r="B214" i="4" a="1"/>
  <c r="B122" i="4" a="1"/>
  <c r="B224" i="4" a="1"/>
  <c r="B237" i="4" a="1"/>
  <c r="B144" i="4" a="1"/>
  <c r="B113" i="4" a="1"/>
  <c r="B162" i="4" a="1"/>
  <c r="B81" i="4" a="1"/>
  <c r="B226" i="4" a="1"/>
  <c r="B173" i="4" a="1"/>
  <c r="B58" i="4" a="1"/>
  <c r="B163" i="4" a="1"/>
  <c r="B155" i="4" a="1"/>
  <c r="B109" i="4" a="1"/>
  <c r="B52" i="4" a="1"/>
  <c r="B129" i="4" a="1"/>
  <c r="B216" i="4" a="1"/>
  <c r="B95" i="4" a="1"/>
  <c r="B28" i="4" a="1"/>
  <c r="B136" i="4" a="1"/>
  <c r="B124" i="4" a="1"/>
  <c r="B10" i="4" a="1"/>
  <c r="B203" i="4" a="1"/>
  <c r="B138" i="4" a="1"/>
  <c r="B22" i="4" a="1"/>
  <c r="B14" i="4" a="1"/>
  <c r="B174" i="4" a="1"/>
  <c r="B188" i="4" a="1"/>
  <c r="B145" i="4" a="1"/>
  <c r="B234" i="4" a="1"/>
  <c r="B75" i="4" a="1"/>
  <c r="B106" i="4" a="1"/>
  <c r="B190" i="4" a="1"/>
  <c r="B91" i="4" a="1"/>
  <c r="B148" i="4" a="1"/>
  <c r="B114" i="4" a="1"/>
  <c r="B194" i="4" a="1"/>
  <c r="B179" i="4" a="1"/>
  <c r="B193" i="4" a="1"/>
  <c r="B8" i="4" a="1"/>
  <c r="B187" i="4" a="1"/>
  <c r="B240" i="4" a="1"/>
  <c r="B191" i="4" a="1"/>
  <c r="B90" i="4" a="1"/>
  <c r="B107" i="4" a="1"/>
  <c r="B159" i="4" a="1"/>
  <c r="B12" i="4" a="1"/>
  <c r="B7" i="4" a="1"/>
  <c r="B18" i="4" a="1"/>
  <c r="B157" i="4" a="1"/>
  <c r="B166" i="4" a="1"/>
  <c r="B96" i="4" a="1"/>
  <c r="B192" i="4" a="1"/>
  <c r="B228" i="4" a="1"/>
  <c r="B170" i="4" a="1"/>
  <c r="B31" i="4" a="1"/>
  <c r="B63" i="4" a="1"/>
  <c r="B80" i="4" a="1"/>
  <c r="B172" i="4" a="1"/>
  <c r="B158" i="4" a="1"/>
  <c r="B241" i="4" a="1"/>
  <c r="B110" i="4" a="1"/>
  <c r="B82" i="4" a="1"/>
  <c r="B151" i="4" a="1"/>
  <c r="B154" i="4" a="1"/>
  <c r="B104" i="4" a="1"/>
  <c r="B208" i="4" a="1"/>
  <c r="B19" i="4" a="1"/>
  <c r="B199" i="4" a="1"/>
  <c r="B121" i="4" a="1"/>
  <c r="B77" i="4" a="1"/>
  <c r="B150" i="4" a="1"/>
  <c r="B44" i="4" a="1"/>
  <c r="B29" i="4" a="1"/>
  <c r="B219" i="4" a="1"/>
  <c r="B45" i="4" a="1"/>
  <c r="B177" i="4" a="1"/>
  <c r="B60" i="4" a="1"/>
  <c r="B68" i="4" a="1"/>
  <c r="B78" i="4" a="1"/>
  <c r="B149" i="4" a="1"/>
  <c r="B116" i="4" a="1"/>
  <c r="B201" i="4" a="1"/>
  <c r="B220" i="4" a="1"/>
  <c r="B115" i="4" a="1"/>
  <c r="B137" i="4" a="1"/>
  <c r="B209" i="4" a="1"/>
  <c r="B140" i="4" a="1"/>
  <c r="B197" i="4" a="1"/>
  <c r="B211" i="4" a="1"/>
  <c r="B229" i="4" a="1"/>
  <c r="B139" i="4" a="1"/>
  <c r="B38" i="4" a="1"/>
  <c r="B41" i="4" a="1"/>
  <c r="B160" i="4" a="1"/>
  <c r="B126" i="4" a="1"/>
  <c r="B239" i="4" a="1"/>
  <c r="B141" i="4" a="1"/>
  <c r="B143" i="4" a="1"/>
  <c r="B152" i="4" a="1"/>
  <c r="B125" i="4" a="1"/>
  <c r="B147" i="4" a="1"/>
  <c r="B103" i="4" a="1"/>
  <c r="B64" i="4" a="1"/>
  <c r="B236" i="4" a="1"/>
  <c r="B46" i="4" a="1"/>
  <c r="B180" i="4" a="1"/>
  <c r="B205" i="4" l="1"/>
  <c r="B241" i="4"/>
  <c r="B242" i="4"/>
  <c r="B240" i="4"/>
  <c r="B239" i="4"/>
  <c r="B173" i="4"/>
  <c r="B93" i="4"/>
  <c r="B149" i="4"/>
  <c r="B181" i="4"/>
  <c r="B215" i="4"/>
  <c r="B207" i="4"/>
  <c r="B77" i="4"/>
  <c r="B97" i="4"/>
  <c r="B185" i="4"/>
  <c r="B219" i="4"/>
  <c r="B117" i="4"/>
  <c r="B29" i="4"/>
  <c r="B211" i="4"/>
  <c r="B49" i="4"/>
  <c r="B125" i="4"/>
  <c r="B157" i="4"/>
  <c r="B223" i="4"/>
  <c r="B141" i="4"/>
  <c r="B45" i="4"/>
  <c r="B121" i="4"/>
  <c r="B17" i="4"/>
  <c r="B81" i="4"/>
  <c r="B153" i="4"/>
  <c r="B129" i="4"/>
  <c r="B21" i="4"/>
  <c r="B37" i="4"/>
  <c r="B53" i="4"/>
  <c r="B69" i="4"/>
  <c r="B85" i="4"/>
  <c r="B105" i="4"/>
  <c r="B133" i="4"/>
  <c r="B161" i="4"/>
  <c r="B193" i="4"/>
  <c r="B227" i="4"/>
  <c r="B13" i="4"/>
  <c r="B145" i="4"/>
  <c r="B65" i="4"/>
  <c r="B101" i="4"/>
  <c r="B189" i="4"/>
  <c r="B109" i="4"/>
  <c r="B137" i="4"/>
  <c r="B165" i="4"/>
  <c r="B197" i="4"/>
  <c r="B231" i="4"/>
  <c r="B61" i="4"/>
  <c r="B177" i="4"/>
  <c r="B33" i="4"/>
  <c r="B9" i="4"/>
  <c r="B25" i="4"/>
  <c r="B41" i="4"/>
  <c r="B57" i="4"/>
  <c r="B73" i="4"/>
  <c r="B89" i="4"/>
  <c r="B113" i="4"/>
  <c r="B169" i="4"/>
  <c r="B202" i="4"/>
  <c r="B235" i="4"/>
  <c r="B6" i="4"/>
  <c r="B30" i="4"/>
  <c r="B38" i="4"/>
  <c r="B46" i="4"/>
  <c r="B54" i="4"/>
  <c r="B62" i="4"/>
  <c r="B70" i="4"/>
  <c r="B78" i="4"/>
  <c r="B86" i="4"/>
  <c r="B94" i="4"/>
  <c r="B102" i="4"/>
  <c r="B110" i="4"/>
  <c r="B118" i="4"/>
  <c r="B126" i="4"/>
  <c r="B138" i="4"/>
  <c r="B146" i="4"/>
  <c r="B154" i="4"/>
  <c r="B162" i="4"/>
  <c r="B170" i="4"/>
  <c r="B178" i="4"/>
  <c r="B186" i="4"/>
  <c r="B194" i="4"/>
  <c r="B203" i="4"/>
  <c r="B212" i="4"/>
  <c r="B216" i="4"/>
  <c r="B220" i="4"/>
  <c r="B228" i="4"/>
  <c r="B232" i="4"/>
  <c r="B236" i="4"/>
  <c r="B10" i="4"/>
  <c r="B34" i="4"/>
  <c r="B42" i="4"/>
  <c r="B50" i="4"/>
  <c r="B58" i="4"/>
  <c r="B66" i="4"/>
  <c r="B74" i="4"/>
  <c r="B82" i="4"/>
  <c r="B90" i="4"/>
  <c r="B98" i="4"/>
  <c r="B106" i="4"/>
  <c r="B114" i="4"/>
  <c r="B122" i="4"/>
  <c r="B130" i="4"/>
  <c r="B134" i="4"/>
  <c r="B142" i="4"/>
  <c r="B150" i="4"/>
  <c r="B158" i="4"/>
  <c r="B166" i="4"/>
  <c r="B174" i="4"/>
  <c r="B182" i="4"/>
  <c r="B190" i="4"/>
  <c r="B198" i="4"/>
  <c r="B208" i="4"/>
  <c r="B224" i="4"/>
  <c r="B22" i="4"/>
  <c r="B7" i="4"/>
  <c r="B11" i="4"/>
  <c r="B19" i="4"/>
  <c r="B27" i="4"/>
  <c r="B35" i="4"/>
  <c r="B43" i="4"/>
  <c r="B51" i="4"/>
  <c r="B59" i="4"/>
  <c r="B67" i="4"/>
  <c r="B75" i="4"/>
  <c r="B87" i="4"/>
  <c r="B95" i="4"/>
  <c r="B103" i="4"/>
  <c r="B111" i="4"/>
  <c r="B119" i="4"/>
  <c r="B131" i="4"/>
  <c r="B139" i="4"/>
  <c r="B147" i="4"/>
  <c r="B155" i="4"/>
  <c r="B163" i="4"/>
  <c r="B171" i="4"/>
  <c r="B179" i="4"/>
  <c r="B187" i="4"/>
  <c r="B195" i="4"/>
  <c r="B204" i="4"/>
  <c r="B209" i="4"/>
  <c r="B213" i="4"/>
  <c r="B217" i="4"/>
  <c r="B221" i="4"/>
  <c r="B225" i="4"/>
  <c r="B229" i="4"/>
  <c r="B237" i="4"/>
  <c r="B18" i="4"/>
  <c r="B15" i="4"/>
  <c r="B23" i="4"/>
  <c r="B31" i="4"/>
  <c r="B39" i="4"/>
  <c r="B47" i="4"/>
  <c r="B55" i="4"/>
  <c r="B63" i="4"/>
  <c r="B71" i="4"/>
  <c r="B79" i="4"/>
  <c r="B83" i="4"/>
  <c r="B91" i="4"/>
  <c r="B99" i="4"/>
  <c r="B107" i="4"/>
  <c r="B115" i="4"/>
  <c r="B123" i="4"/>
  <c r="B127" i="4"/>
  <c r="B135" i="4"/>
  <c r="B143" i="4"/>
  <c r="B151" i="4"/>
  <c r="B159" i="4"/>
  <c r="B167" i="4"/>
  <c r="B175" i="4"/>
  <c r="B183" i="4"/>
  <c r="B191" i="4"/>
  <c r="B199" i="4"/>
  <c r="B233" i="4"/>
  <c r="B26" i="4"/>
  <c r="B12" i="4"/>
  <c r="B20" i="4"/>
  <c r="B32" i="4"/>
  <c r="B40" i="4"/>
  <c r="B52" i="4"/>
  <c r="B60" i="4"/>
  <c r="B68" i="4"/>
  <c r="B80" i="4"/>
  <c r="B88" i="4"/>
  <c r="B100" i="4"/>
  <c r="B108" i="4"/>
  <c r="B120" i="4"/>
  <c r="B128" i="4"/>
  <c r="B140" i="4"/>
  <c r="B148" i="4"/>
  <c r="B156" i="4"/>
  <c r="B164" i="4"/>
  <c r="B172" i="4"/>
  <c r="B184" i="4"/>
  <c r="B192" i="4"/>
  <c r="B201" i="4"/>
  <c r="B206" i="4"/>
  <c r="B210" i="4"/>
  <c r="B214" i="4"/>
  <c r="B222" i="4"/>
  <c r="B226" i="4"/>
  <c r="B230" i="4"/>
  <c r="B234" i="4"/>
  <c r="B238" i="4"/>
  <c r="B14" i="4"/>
  <c r="B8" i="4"/>
  <c r="B16" i="4"/>
  <c r="B24" i="4"/>
  <c r="B28" i="4"/>
  <c r="B36" i="4"/>
  <c r="B44" i="4"/>
  <c r="B48" i="4"/>
  <c r="B56" i="4"/>
  <c r="B64" i="4"/>
  <c r="B72" i="4"/>
  <c r="B76" i="4"/>
  <c r="B84" i="4"/>
  <c r="B92" i="4"/>
  <c r="B96" i="4"/>
  <c r="B104" i="4"/>
  <c r="B112" i="4"/>
  <c r="B116" i="4"/>
  <c r="B124" i="4"/>
  <c r="B132" i="4"/>
  <c r="B136" i="4"/>
  <c r="B144" i="4"/>
  <c r="B152" i="4"/>
  <c r="B160" i="4"/>
  <c r="B168" i="4"/>
  <c r="B176" i="4"/>
  <c r="B180" i="4"/>
  <c r="B188" i="4"/>
  <c r="B196" i="4"/>
  <c r="B218" i="4"/>
  <c r="B5" i="4"/>
  <c r="D129" i="5" l="1"/>
  <c r="E129" i="5"/>
  <c r="F129" i="5" s="1"/>
  <c r="D128" i="5" l="1"/>
  <c r="E128" i="5"/>
  <c r="F128" i="5" s="1"/>
  <c r="D127" i="5" l="1"/>
  <c r="E127" i="5"/>
  <c r="F127" i="5" s="1"/>
  <c r="E126" i="5" l="1"/>
  <c r="F126" i="5" s="1"/>
  <c r="D126" i="5"/>
  <c r="C2" i="9" l="1"/>
  <c r="C3" i="9"/>
  <c r="C4" i="9"/>
  <c r="S241" i="4" l="1"/>
  <c r="S240" i="4"/>
  <c r="S242" i="4"/>
  <c r="S239" i="4"/>
  <c r="S238" i="4"/>
  <c r="S227" i="4"/>
  <c r="S226" i="4"/>
  <c r="S225" i="4"/>
  <c r="S224" i="4"/>
  <c r="S36" i="4"/>
  <c r="S28" i="4"/>
  <c r="S20" i="4"/>
  <c r="S12" i="4"/>
  <c r="S35" i="4"/>
  <c r="S19" i="4"/>
  <c r="S10" i="4"/>
  <c r="S32" i="4"/>
  <c r="S13" i="4"/>
  <c r="S27" i="4"/>
  <c r="S11" i="4"/>
  <c r="S9" i="4"/>
  <c r="S8" i="4"/>
  <c r="S21" i="4"/>
  <c r="S34" i="4"/>
  <c r="S26" i="4"/>
  <c r="S18" i="4"/>
  <c r="S25" i="4"/>
  <c r="S24" i="4"/>
  <c r="S37" i="4"/>
  <c r="S33" i="4"/>
  <c r="S17" i="4"/>
  <c r="S16" i="4"/>
  <c r="S29" i="4"/>
  <c r="S31" i="4"/>
  <c r="S23" i="4"/>
  <c r="S15" i="4"/>
  <c r="S7" i="4"/>
  <c r="S30" i="4"/>
  <c r="S22" i="4"/>
  <c r="S14" i="4"/>
  <c r="S6" i="4"/>
  <c r="S163" i="4"/>
  <c r="S206" i="4"/>
  <c r="S166" i="4"/>
  <c r="S229" i="4"/>
  <c r="S68" i="4"/>
  <c r="S38" i="4"/>
  <c r="S231" i="4"/>
  <c r="S208" i="4"/>
  <c r="S64" i="4"/>
  <c r="S162" i="4"/>
  <c r="S232" i="4"/>
  <c r="S165" i="4"/>
  <c r="S228" i="4"/>
  <c r="S71" i="4"/>
  <c r="S67" i="4"/>
  <c r="S5" i="4"/>
  <c r="S174" i="4"/>
  <c r="S70" i="4"/>
  <c r="S164" i="4"/>
  <c r="S207" i="4"/>
  <c r="S230" i="4"/>
  <c r="S233" i="4"/>
  <c r="S69" i="4"/>
  <c r="S39" i="4"/>
  <c r="E123" i="5"/>
  <c r="F123" i="5" s="1"/>
  <c r="D123" i="5"/>
  <c r="E125" i="5"/>
  <c r="F125" i="5" s="1"/>
  <c r="D125" i="5"/>
  <c r="D13" i="9" l="1"/>
  <c r="D14" i="9"/>
  <c r="D15" i="9"/>
  <c r="D16" i="9"/>
  <c r="D17" i="9"/>
  <c r="D18" i="9"/>
  <c r="D19" i="9"/>
  <c r="D20" i="9"/>
  <c r="D21" i="9"/>
  <c r="C5" i="9"/>
  <c r="C6" i="9"/>
  <c r="C7" i="9"/>
  <c r="C8" i="9"/>
  <c r="C9" i="9"/>
  <c r="S222" i="4" l="1"/>
  <c r="S218" i="4"/>
  <c r="S212" i="4"/>
  <c r="S220" i="4"/>
  <c r="S221" i="4"/>
  <c r="S217" i="4"/>
  <c r="S216" i="4"/>
  <c r="S223" i="4"/>
  <c r="S219" i="4"/>
  <c r="S213" i="4"/>
  <c r="U240" i="4"/>
  <c r="U241" i="4"/>
  <c r="U242" i="4"/>
  <c r="U239" i="4"/>
  <c r="U227" i="4"/>
  <c r="U226" i="4"/>
  <c r="U225" i="4"/>
  <c r="U224" i="4"/>
  <c r="U238" i="4"/>
  <c r="U37" i="4"/>
  <c r="U29" i="4"/>
  <c r="U36" i="4"/>
  <c r="U28" i="4"/>
  <c r="U20" i="4"/>
  <c r="U12" i="4"/>
  <c r="U32" i="4"/>
  <c r="U21" i="4"/>
  <c r="U35" i="4"/>
  <c r="U27" i="4"/>
  <c r="U19" i="4"/>
  <c r="U11" i="4"/>
  <c r="U24" i="4"/>
  <c r="U34" i="4"/>
  <c r="U26" i="4"/>
  <c r="U18" i="4"/>
  <c r="U10" i="4"/>
  <c r="U16" i="4"/>
  <c r="U33" i="4"/>
  <c r="U25" i="4"/>
  <c r="U17" i="4"/>
  <c r="U9" i="4"/>
  <c r="U8" i="4"/>
  <c r="U31" i="4"/>
  <c r="U23" i="4"/>
  <c r="U15" i="4"/>
  <c r="U7" i="4"/>
  <c r="U30" i="4"/>
  <c r="U22" i="4"/>
  <c r="U14" i="4"/>
  <c r="U6" i="4"/>
  <c r="U13" i="4"/>
  <c r="U163" i="4"/>
  <c r="U166" i="4"/>
  <c r="U38" i="4"/>
  <c r="U162" i="4"/>
  <c r="U232" i="4"/>
  <c r="U165" i="4"/>
  <c r="U228" i="4"/>
  <c r="U221" i="4"/>
  <c r="U217" i="4"/>
  <c r="U71" i="4"/>
  <c r="U67" i="4"/>
  <c r="U5" i="4"/>
  <c r="U222" i="4"/>
  <c r="U229" i="4"/>
  <c r="U68" i="4"/>
  <c r="U208" i="4"/>
  <c r="U231" i="4"/>
  <c r="U174" i="4"/>
  <c r="U164" i="4"/>
  <c r="U220" i="4"/>
  <c r="U216" i="4"/>
  <c r="U70" i="4"/>
  <c r="U64" i="4"/>
  <c r="U218" i="4"/>
  <c r="U207" i="4"/>
  <c r="U230" i="4"/>
  <c r="U233" i="4"/>
  <c r="U223" i="4"/>
  <c r="U219" i="4"/>
  <c r="U213" i="4"/>
  <c r="U69" i="4"/>
  <c r="U39" i="4"/>
  <c r="U206" i="4"/>
  <c r="U212" i="4"/>
  <c r="F121" i="5"/>
  <c r="F122" i="5" s="1"/>
  <c r="E121" i="5"/>
  <c r="E122" i="5" s="1"/>
  <c r="D121" i="5"/>
  <c r="D122" i="5" s="1"/>
  <c r="C121" i="5"/>
  <c r="C122" i="5" s="1"/>
  <c r="E124" i="5" l="1"/>
  <c r="F124" i="5" s="1"/>
  <c r="D124" i="5"/>
  <c r="C25" i="5" l="1"/>
  <c r="C26" i="5" s="1"/>
  <c r="D25" i="5"/>
  <c r="D26" i="5" s="1"/>
  <c r="E25" i="5"/>
  <c r="E26" i="5" s="1"/>
  <c r="F25" i="5"/>
  <c r="F26" i="5" s="1"/>
  <c r="F28" i="5" l="1"/>
  <c r="F29" i="5" s="1"/>
  <c r="F30" i="5" s="1"/>
  <c r="F31" i="5" s="1"/>
  <c r="F32" i="5" s="1"/>
  <c r="F33" i="5" s="1"/>
  <c r="F34" i="5" s="1"/>
  <c r="F35" i="5" s="1"/>
  <c r="F36" i="5" s="1"/>
  <c r="F37" i="5" s="1"/>
  <c r="F38" i="5" s="1"/>
  <c r="E28" i="5"/>
  <c r="E29" i="5" s="1"/>
  <c r="E30" i="5" s="1"/>
  <c r="E31" i="5" s="1"/>
  <c r="E32" i="5" s="1"/>
  <c r="E33" i="5" s="1"/>
  <c r="E34" i="5" s="1"/>
  <c r="E35" i="5" s="1"/>
  <c r="E36" i="5" s="1"/>
  <c r="E37" i="5" s="1"/>
  <c r="E38" i="5" s="1"/>
  <c r="D28" i="5"/>
  <c r="D29" i="5" s="1"/>
  <c r="D30" i="5" s="1"/>
  <c r="D31" i="5" s="1"/>
  <c r="D32" i="5" s="1"/>
  <c r="D33" i="5" s="1"/>
  <c r="D34" i="5" s="1"/>
  <c r="D35" i="5" s="1"/>
  <c r="D36" i="5" s="1"/>
  <c r="D37" i="5" s="1"/>
  <c r="D38" i="5" s="1"/>
  <c r="C28" i="5"/>
  <c r="C29" i="5" s="1"/>
  <c r="C30" i="5" s="1"/>
  <c r="C31" i="5" s="1"/>
  <c r="C32" i="5" s="1"/>
  <c r="C33" i="5" s="1"/>
  <c r="C34" i="5" s="1"/>
  <c r="C35" i="5" s="1"/>
  <c r="C36" i="5" s="1"/>
  <c r="C37" i="5" s="1"/>
  <c r="C38" i="5" s="1"/>
  <c r="C39" i="5" l="1"/>
  <c r="C40" i="5" s="1"/>
  <c r="C41" i="5" s="1"/>
  <c r="C42" i="5" s="1"/>
  <c r="C43" i="5" s="1"/>
  <c r="C44" i="5" s="1"/>
  <c r="C45" i="5" s="1"/>
  <c r="C46" i="5" s="1"/>
  <c r="C47" i="5" s="1"/>
  <c r="C48" i="5" s="1"/>
  <c r="C49" i="5" s="1"/>
  <c r="C50" i="5" s="1"/>
  <c r="D39" i="5"/>
  <c r="D40" i="5" s="1"/>
  <c r="D41" i="5" s="1"/>
  <c r="D42" i="5" s="1"/>
  <c r="D43" i="5" s="1"/>
  <c r="D44" i="5" s="1"/>
  <c r="D45" i="5" s="1"/>
  <c r="D46" i="5" s="1"/>
  <c r="D47" i="5" s="1"/>
  <c r="D48" i="5" s="1"/>
  <c r="D49" i="5" s="1"/>
  <c r="D50" i="5" s="1"/>
  <c r="E39" i="5"/>
  <c r="E40" i="5" s="1"/>
  <c r="E41" i="5" s="1"/>
  <c r="E42" i="5" s="1"/>
  <c r="E43" i="5" s="1"/>
  <c r="E44" i="5" s="1"/>
  <c r="E45" i="5" s="1"/>
  <c r="E46" i="5" s="1"/>
  <c r="E47" i="5" s="1"/>
  <c r="E48" i="5" s="1"/>
  <c r="E49" i="5" s="1"/>
  <c r="E50" i="5" s="1"/>
  <c r="F39" i="5"/>
  <c r="F40" i="5" s="1"/>
  <c r="F41" i="5" s="1"/>
  <c r="F42" i="5" s="1"/>
  <c r="F43" i="5" s="1"/>
  <c r="F44" i="5" s="1"/>
  <c r="F45" i="5" s="1"/>
  <c r="F46" i="5" s="1"/>
  <c r="F47" i="5" s="1"/>
  <c r="F48" i="5" s="1"/>
  <c r="F49" i="5" s="1"/>
  <c r="F50" i="5" s="1"/>
  <c r="F9" i="5"/>
  <c r="F10" i="5" s="1"/>
  <c r="F11" i="5" s="1"/>
  <c r="F12" i="5" s="1"/>
  <c r="F13" i="5" s="1"/>
  <c r="F14" i="5" s="1"/>
  <c r="F15" i="5" s="1"/>
  <c r="F16" i="5" s="1"/>
  <c r="F17" i="5" s="1"/>
  <c r="F18" i="5" s="1"/>
  <c r="F19" i="5" s="1"/>
  <c r="F20" i="5" s="1"/>
  <c r="F21" i="5" s="1"/>
  <c r="C9" i="5"/>
  <c r="C10" i="5" s="1"/>
  <c r="C11" i="5" s="1"/>
  <c r="E8" i="5"/>
  <c r="E5" i="5"/>
  <c r="D5" i="5" s="1"/>
  <c r="F51" i="5" l="1"/>
  <c r="F52" i="5" s="1"/>
  <c r="F53" i="5" s="1"/>
  <c r="F54" i="5" s="1"/>
  <c r="F55" i="5" s="1"/>
  <c r="F56" i="5" s="1"/>
  <c r="F57" i="5" s="1"/>
  <c r="F58" i="5" s="1"/>
  <c r="F59" i="5" s="1"/>
  <c r="F60" i="5" s="1"/>
  <c r="F61" i="5" s="1"/>
  <c r="F62" i="5" s="1"/>
  <c r="F63" i="5" s="1"/>
  <c r="F64" i="5" s="1"/>
  <c r="F65" i="5" s="1"/>
  <c r="F66" i="5" s="1"/>
  <c r="F67" i="5" s="1"/>
  <c r="F68" i="5" s="1"/>
  <c r="F69" i="5" s="1"/>
  <c r="F70" i="5" s="1"/>
  <c r="F71" i="5" s="1"/>
  <c r="F72" i="5" s="1"/>
  <c r="F73" i="5" s="1"/>
  <c r="F74" i="5" s="1"/>
  <c r="F75" i="5" s="1"/>
  <c r="F76" i="5" s="1"/>
  <c r="F77" i="5" s="1"/>
  <c r="F78" i="5" s="1"/>
  <c r="F79" i="5" s="1"/>
  <c r="F80" i="5" s="1"/>
  <c r="F81" i="5" s="1"/>
  <c r="F82" i="5" s="1"/>
  <c r="F83" i="5" s="1"/>
  <c r="F84" i="5" s="1"/>
  <c r="F85" i="5" s="1"/>
  <c r="F86" i="5" s="1"/>
  <c r="F87" i="5" s="1"/>
  <c r="F88" i="5" s="1"/>
  <c r="F89" i="5" s="1"/>
  <c r="F90" i="5" s="1"/>
  <c r="F91" i="5" s="1"/>
  <c r="F92" i="5" s="1"/>
  <c r="F93" i="5" s="1"/>
  <c r="F94" i="5" s="1"/>
  <c r="F95" i="5" s="1"/>
  <c r="F96" i="5" s="1"/>
  <c r="F97" i="5" s="1"/>
  <c r="F98" i="5" s="1"/>
  <c r="F99" i="5" s="1"/>
  <c r="F100" i="5" s="1"/>
  <c r="F101" i="5" s="1"/>
  <c r="F102" i="5" s="1"/>
  <c r="F103" i="5" s="1"/>
  <c r="F104" i="5" s="1"/>
  <c r="F105" i="5" s="1"/>
  <c r="F106" i="5" s="1"/>
  <c r="F107" i="5" s="1"/>
  <c r="F108" i="5" s="1"/>
  <c r="F109" i="5" s="1"/>
  <c r="F110" i="5" s="1"/>
  <c r="F111" i="5" s="1"/>
  <c r="F112" i="5" s="1"/>
  <c r="F113" i="5" s="1"/>
  <c r="F114" i="5" s="1"/>
  <c r="F115" i="5" s="1"/>
  <c r="F116" i="5" s="1"/>
  <c r="E51" i="5"/>
  <c r="E52" i="5" s="1"/>
  <c r="E53" i="5" s="1"/>
  <c r="E54" i="5" s="1"/>
  <c r="E55" i="5" s="1"/>
  <c r="E56" i="5" s="1"/>
  <c r="E57" i="5" s="1"/>
  <c r="E58" i="5" s="1"/>
  <c r="E59" i="5" s="1"/>
  <c r="E60" i="5" s="1"/>
  <c r="E61" i="5" s="1"/>
  <c r="E62" i="5" s="1"/>
  <c r="E63" i="5" s="1"/>
  <c r="E64" i="5" s="1"/>
  <c r="E65" i="5" s="1"/>
  <c r="E66" i="5" s="1"/>
  <c r="E67" i="5" s="1"/>
  <c r="E68" i="5" s="1"/>
  <c r="E69" i="5" s="1"/>
  <c r="E70" i="5" s="1"/>
  <c r="E71" i="5" s="1"/>
  <c r="E72" i="5" s="1"/>
  <c r="E73" i="5" s="1"/>
  <c r="E74" i="5" s="1"/>
  <c r="E75" i="5" s="1"/>
  <c r="E76" i="5" s="1"/>
  <c r="E77" i="5" s="1"/>
  <c r="E78" i="5" s="1"/>
  <c r="E79" i="5" s="1"/>
  <c r="E80" i="5" s="1"/>
  <c r="E81" i="5" s="1"/>
  <c r="E82" i="5" s="1"/>
  <c r="E83" i="5" s="1"/>
  <c r="E84" i="5" s="1"/>
  <c r="E85" i="5" s="1"/>
  <c r="E86" i="5" s="1"/>
  <c r="E87" i="5" s="1"/>
  <c r="E88" i="5" s="1"/>
  <c r="E89" i="5" s="1"/>
  <c r="E90" i="5" s="1"/>
  <c r="E91" i="5" s="1"/>
  <c r="E92" i="5" s="1"/>
  <c r="E93" i="5" s="1"/>
  <c r="E94" i="5" s="1"/>
  <c r="E95" i="5" s="1"/>
  <c r="E96" i="5" s="1"/>
  <c r="E97" i="5" s="1"/>
  <c r="E98" i="5" s="1"/>
  <c r="E99" i="5" s="1"/>
  <c r="E100" i="5" s="1"/>
  <c r="E101" i="5" s="1"/>
  <c r="E102" i="5" s="1"/>
  <c r="E103" i="5" s="1"/>
  <c r="E104" i="5" s="1"/>
  <c r="E105" i="5" s="1"/>
  <c r="E106" i="5" s="1"/>
  <c r="E107" i="5" s="1"/>
  <c r="E108" i="5" s="1"/>
  <c r="E109" i="5" s="1"/>
  <c r="E110" i="5" s="1"/>
  <c r="E111" i="5" s="1"/>
  <c r="E112" i="5" s="1"/>
  <c r="E113" i="5" s="1"/>
  <c r="E114" i="5" s="1"/>
  <c r="E115" i="5" s="1"/>
  <c r="E116" i="5" s="1"/>
  <c r="D51" i="5"/>
  <c r="D52" i="5" s="1"/>
  <c r="D53" i="5" s="1"/>
  <c r="D54" i="5" s="1"/>
  <c r="D55" i="5" s="1"/>
  <c r="D56" i="5" s="1"/>
  <c r="D57" i="5" s="1"/>
  <c r="D58" i="5" s="1"/>
  <c r="D59" i="5" s="1"/>
  <c r="D60" i="5" s="1"/>
  <c r="D61" i="5" s="1"/>
  <c r="D62" i="5" s="1"/>
  <c r="D63" i="5" s="1"/>
  <c r="D64" i="5" s="1"/>
  <c r="D65" i="5" s="1"/>
  <c r="D66" i="5" s="1"/>
  <c r="D67" i="5" s="1"/>
  <c r="D68" i="5" s="1"/>
  <c r="D69" i="5" s="1"/>
  <c r="D70" i="5" s="1"/>
  <c r="D71" i="5" s="1"/>
  <c r="D72" i="5" s="1"/>
  <c r="D73" i="5" s="1"/>
  <c r="D74" i="5" s="1"/>
  <c r="D75" i="5" s="1"/>
  <c r="D76" i="5" s="1"/>
  <c r="D77" i="5" s="1"/>
  <c r="D78" i="5" s="1"/>
  <c r="D79" i="5" s="1"/>
  <c r="D80" i="5" s="1"/>
  <c r="D81" i="5" s="1"/>
  <c r="D82" i="5" s="1"/>
  <c r="D83" i="5" s="1"/>
  <c r="D84" i="5" s="1"/>
  <c r="D85" i="5" s="1"/>
  <c r="D86" i="5" s="1"/>
  <c r="D87" i="5" s="1"/>
  <c r="D88" i="5" s="1"/>
  <c r="D89" i="5" s="1"/>
  <c r="D90" i="5" s="1"/>
  <c r="D91" i="5" s="1"/>
  <c r="D92" i="5" s="1"/>
  <c r="D93" i="5" s="1"/>
  <c r="D94" i="5" s="1"/>
  <c r="D95" i="5" s="1"/>
  <c r="D96" i="5" s="1"/>
  <c r="D97" i="5" s="1"/>
  <c r="D98" i="5" s="1"/>
  <c r="D99" i="5" s="1"/>
  <c r="D100" i="5" s="1"/>
  <c r="D101" i="5" s="1"/>
  <c r="D102" i="5" s="1"/>
  <c r="D103" i="5" s="1"/>
  <c r="D104" i="5" s="1"/>
  <c r="D105" i="5" s="1"/>
  <c r="D106" i="5" s="1"/>
  <c r="D107" i="5" s="1"/>
  <c r="D108" i="5" s="1"/>
  <c r="D109" i="5" s="1"/>
  <c r="D110" i="5" s="1"/>
  <c r="D111" i="5" s="1"/>
  <c r="D112" i="5" s="1"/>
  <c r="D113" i="5" s="1"/>
  <c r="D114" i="5" s="1"/>
  <c r="D115" i="5" s="1"/>
  <c r="D116" i="5" s="1"/>
  <c r="C51" i="5"/>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C103" i="5" s="1"/>
  <c r="C104" i="5" s="1"/>
  <c r="C105" i="5" s="1"/>
  <c r="C106" i="5" s="1"/>
  <c r="C107" i="5" s="1"/>
  <c r="C108" i="5" s="1"/>
  <c r="C109" i="5" s="1"/>
  <c r="E9" i="5"/>
  <c r="E11" i="5"/>
  <c r="C12" i="5"/>
  <c r="E10" i="5"/>
  <c r="C110" i="5" l="1"/>
  <c r="C111" i="5" s="1"/>
  <c r="C112" i="5" s="1"/>
  <c r="C113" i="5" s="1"/>
  <c r="C114" i="5" s="1"/>
  <c r="C115" i="5" s="1"/>
  <c r="C116" i="5" s="1"/>
  <c r="C13" i="5"/>
  <c r="E12" i="5"/>
  <c r="E13" i="5" l="1"/>
  <c r="C14" i="5"/>
  <c r="C15" i="5" l="1"/>
  <c r="E14" i="5"/>
  <c r="E15" i="5" l="1"/>
  <c r="C16" i="5"/>
  <c r="C17" i="5" l="1"/>
  <c r="E16" i="5"/>
  <c r="E17" i="5" l="1"/>
  <c r="C18" i="5"/>
  <c r="E18" i="5" l="1"/>
  <c r="C19" i="5"/>
  <c r="E19" i="5" l="1"/>
  <c r="C20" i="5"/>
  <c r="E20" i="5" l="1"/>
  <c r="C21" i="5"/>
  <c r="E21"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<sst xmlns="http://schemas.openxmlformats.org/spreadsheetml/2006/main" count="2836" uniqueCount="1817">
  <si>
    <t>필드명</t>
    <phoneticPr fontId="2" type="noConversion"/>
  </si>
  <si>
    <t>변수형</t>
    <phoneticPr fontId="2" type="noConversion"/>
  </si>
  <si>
    <t>설명1</t>
    <phoneticPr fontId="2" type="noConversion"/>
  </si>
  <si>
    <t>설명2</t>
    <phoneticPr fontId="2" type="noConversion"/>
  </si>
  <si>
    <t>기본값</t>
    <phoneticPr fontId="2" type="noConversion"/>
  </si>
  <si>
    <t>최대값</t>
    <phoneticPr fontId="2" type="noConversion"/>
  </si>
  <si>
    <t>#data[{}]</t>
  </si>
  <si>
    <t>변수형</t>
    <phoneticPr fontId="2" type="noConversion"/>
  </si>
  <si>
    <t>템플릿 이름</t>
    <phoneticPr fontId="2" type="noConversion"/>
  </si>
  <si>
    <t>템플릿 설명</t>
    <phoneticPr fontId="2" type="noConversion"/>
  </si>
  <si>
    <t>연계 템플릿.필드</t>
    <phoneticPr fontId="2" type="noConversion"/>
  </si>
  <si>
    <t>필드 설명</t>
    <phoneticPr fontId="2" type="noConversion"/>
  </si>
  <si>
    <t>데이터 설정 시트가 [ 2 ]번째 일때 정상 작동 함</t>
    <phoneticPr fontId="2" type="noConversion"/>
  </si>
  <si>
    <t>Name</t>
  </si>
  <si>
    <t>int</t>
  </si>
  <si>
    <t>언리얼 필수값</t>
  </si>
  <si>
    <t>언리얼 엔진 특수 값으로 유니크 아이디와 매칭하여 사용 함</t>
  </si>
  <si>
    <t>스트링 아이디</t>
  </si>
  <si>
    <t>테이블의 유니크 ID</t>
  </si>
  <si>
    <t>TextKr</t>
  </si>
  <si>
    <t>string</t>
  </si>
  <si>
    <t>한국어</t>
  </si>
  <si>
    <t>취소</t>
  </si>
  <si>
    <t>확인</t>
  </si>
  <si>
    <t>UI 스트링</t>
    <phoneticPr fontId="2" type="noConversion"/>
  </si>
  <si>
    <t>팝업</t>
    <phoneticPr fontId="2" type="noConversion"/>
  </si>
  <si>
    <t>시작값</t>
    <phoneticPr fontId="2" type="noConversion"/>
  </si>
  <si>
    <t>최대값</t>
    <phoneticPr fontId="2" type="noConversion"/>
  </si>
  <si>
    <t>시작값</t>
    <phoneticPr fontId="2" type="noConversion"/>
  </si>
  <si>
    <t>기존 내용</t>
    <phoneticPr fontId="2" type="noConversion"/>
  </si>
  <si>
    <t>무공</t>
    <phoneticPr fontId="2" type="noConversion"/>
  </si>
  <si>
    <t>스테이지</t>
    <phoneticPr fontId="2" type="noConversion"/>
  </si>
  <si>
    <t>캐릭터</t>
    <phoneticPr fontId="2" type="noConversion"/>
  </si>
  <si>
    <t>아이템</t>
    <phoneticPr fontId="2" type="noConversion"/>
  </si>
  <si>
    <t>가방</t>
    <phoneticPr fontId="2" type="noConversion"/>
  </si>
  <si>
    <t>무옥</t>
    <phoneticPr fontId="2" type="noConversion"/>
  </si>
  <si>
    <t>퀘스트</t>
    <phoneticPr fontId="2" type="noConversion"/>
  </si>
  <si>
    <t>도감</t>
    <phoneticPr fontId="2" type="noConversion"/>
  </si>
  <si>
    <t>인게임 전투</t>
    <phoneticPr fontId="2" type="noConversion"/>
  </si>
  <si>
    <t>로비 - HUD</t>
    <phoneticPr fontId="2" type="noConversion"/>
  </si>
  <si>
    <t>무한 전장</t>
    <phoneticPr fontId="2" type="noConversion"/>
  </si>
  <si>
    <t>임무 ( 단독 임무, 부대 임무 )</t>
    <phoneticPr fontId="2" type="noConversion"/>
  </si>
  <si>
    <t>채집</t>
    <phoneticPr fontId="2" type="noConversion"/>
  </si>
  <si>
    <t>우편함</t>
    <phoneticPr fontId="2" type="noConversion"/>
  </si>
  <si>
    <t>약탈</t>
    <phoneticPr fontId="2" type="noConversion"/>
  </si>
  <si>
    <t>업적</t>
    <phoneticPr fontId="2" type="noConversion"/>
  </si>
  <si>
    <t>문파</t>
    <phoneticPr fontId="2" type="noConversion"/>
  </si>
  <si>
    <t>랭킹</t>
    <phoneticPr fontId="2" type="noConversion"/>
  </si>
  <si>
    <t>지도 시스템</t>
    <phoneticPr fontId="2" type="noConversion"/>
  </si>
  <si>
    <t>패치</t>
    <phoneticPr fontId="2" type="noConversion"/>
  </si>
  <si>
    <t>리소스 데이터 다운로드 및 설치 완료</t>
    <phoneticPr fontId="2" type="noConversion"/>
  </si>
  <si>
    <t>글자 색상</t>
    <phoneticPr fontId="2" type="noConversion"/>
  </si>
  <si>
    <t>TextColorId</t>
    <phoneticPr fontId="2" type="noConversion"/>
  </si>
  <si>
    <t>로그인화면</t>
    <phoneticPr fontId="2" type="noConversion"/>
  </si>
  <si>
    <t>드랍</t>
    <phoneticPr fontId="2" type="noConversion"/>
  </si>
  <si>
    <t>파티</t>
    <phoneticPr fontId="2" type="noConversion"/>
  </si>
  <si>
    <t>경맥</t>
    <phoneticPr fontId="2" type="noConversion"/>
  </si>
  <si>
    <t>부활</t>
    <phoneticPr fontId="2" type="noConversion"/>
  </si>
  <si>
    <t>각성</t>
    <phoneticPr fontId="2" type="noConversion"/>
  </si>
  <si>
    <t>레이드</t>
    <phoneticPr fontId="2" type="noConversion"/>
  </si>
  <si>
    <r>
      <t xml:space="preserve">1000000 자리수 기준으로 </t>
    </r>
    <r>
      <rPr>
        <b/>
        <sz val="11"/>
        <color rgb="FFFF0000"/>
        <rFont val="맑은 고딕"/>
        <family val="3"/>
        <charset val="129"/>
        <scheme val="minor"/>
      </rPr>
      <t xml:space="preserve">1000 </t>
    </r>
    <r>
      <rPr>
        <sz val="11"/>
        <color theme="1"/>
        <rFont val="맑은 고딕"/>
        <family val="2"/>
        <charset val="129"/>
        <scheme val="minor"/>
      </rPr>
      <t>단위로 사용 함</t>
    </r>
    <phoneticPr fontId="2" type="noConversion"/>
  </si>
  <si>
    <t>콘텐츠 오픈</t>
    <phoneticPr fontId="2" type="noConversion"/>
  </si>
  <si>
    <t>탈것</t>
    <phoneticPr fontId="2" type="noConversion"/>
  </si>
  <si>
    <t>수집(오브젝트몬스터)</t>
    <phoneticPr fontId="2" type="noConversion"/>
  </si>
  <si>
    <t>칭호</t>
    <phoneticPr fontId="2" type="noConversion"/>
  </si>
  <si>
    <t>포탈</t>
    <phoneticPr fontId="2" type="noConversion"/>
  </si>
  <si>
    <t>컨텐츠 이름을 적으시오!</t>
  </si>
  <si>
    <t>공통 사용</t>
    <phoneticPr fontId="2" type="noConversion"/>
  </si>
  <si>
    <t>공통 팝업</t>
    <phoneticPr fontId="2" type="noConversion"/>
  </si>
  <si>
    <t>어느 곳에서나 동일한 의미를 가지는 텍스트입니다.</t>
    <phoneticPr fontId="2" type="noConversion"/>
  </si>
  <si>
    <t>어느 곳에서나 동일한 의미를 가지는 팝업 입니다.</t>
    <phoneticPr fontId="2" type="noConversion"/>
  </si>
  <si>
    <t>금화 부족</t>
    <phoneticPr fontId="2" type="noConversion"/>
  </si>
  <si>
    <t>금화 충전</t>
    <phoneticPr fontId="2" type="noConversion"/>
  </si>
  <si>
    <t>귀속 원보 부족</t>
    <phoneticPr fontId="2" type="noConversion"/>
  </si>
  <si>
    <t>귀속 원보 충전</t>
    <phoneticPr fontId="2" type="noConversion"/>
  </si>
  <si>
    <t>원보 부족</t>
    <phoneticPr fontId="2" type="noConversion"/>
  </si>
  <si>
    <t>원보 충전</t>
    <phoneticPr fontId="2" type="noConversion"/>
  </si>
  <si>
    <t>재료 부족</t>
    <phoneticPr fontId="2" type="noConversion"/>
  </si>
  <si>
    <t>재료 구매</t>
    <phoneticPr fontId="2" type="noConversion"/>
  </si>
  <si>
    <t>추 후 UI 스트링 추가 시 각자의 판단에 의해서 공통으로 사용될거 같다 싶으시면 공통 항목으로 추가해 주세요.</t>
    <phoneticPr fontId="2" type="noConversion"/>
  </si>
  <si>
    <t>공통</t>
    <phoneticPr fontId="2" type="noConversion"/>
  </si>
  <si>
    <t>중복 텍스트로 클라이언트 아이디 교체 후 삭제 할 예정입니다.</t>
    <phoneticPr fontId="2" type="noConversion"/>
  </si>
  <si>
    <t>더 이상 사용하지 않는다고 판단되는 아이디로 확인 후 삭제 할 예정입니다.</t>
    <phoneticPr fontId="2" type="noConversion"/>
  </si>
  <si>
    <t>제작</t>
    <phoneticPr fontId="2" type="noConversion"/>
  </si>
  <si>
    <t>외형변화-코스튬, 염색</t>
    <phoneticPr fontId="2" type="noConversion"/>
  </si>
  <si>
    <t>PK</t>
    <phoneticPr fontId="2" type="noConversion"/>
  </si>
  <si>
    <t>UI 스트링</t>
    <phoneticPr fontId="2" type="noConversion"/>
  </si>
  <si>
    <t>슬롯</t>
  </si>
  <si>
    <t>유저정보보기</t>
    <phoneticPr fontId="2" type="noConversion"/>
  </si>
  <si>
    <t>공통 버튼</t>
    <phoneticPr fontId="2" type="noConversion"/>
  </si>
  <si>
    <t>-</t>
    <phoneticPr fontId="2" type="noConversion"/>
  </si>
  <si>
    <t>공통팝업타이틀</t>
    <phoneticPr fontId="2" type="noConversion"/>
  </si>
  <si>
    <t>흑철</t>
    <phoneticPr fontId="2" type="noConversion"/>
  </si>
  <si>
    <t>보물</t>
    <phoneticPr fontId="2" type="noConversion"/>
  </si>
  <si>
    <t>오류</t>
    <phoneticPr fontId="2" type="noConversion"/>
  </si>
  <si>
    <t>몬스터</t>
    <phoneticPr fontId="2" type="noConversion"/>
  </si>
  <si>
    <t>ChattingMessageType</t>
  </si>
  <si>
    <t>MessageType</t>
  </si>
  <si>
    <t>채팅메시지 타입</t>
    <phoneticPr fontId="2" type="noConversion"/>
  </si>
  <si>
    <t>메시지타입(채팅제외)</t>
    <phoneticPr fontId="2" type="noConversion"/>
  </si>
  <si>
    <t>!기획메모</t>
    <phoneticPr fontId="2" type="noConversion"/>
  </si>
  <si>
    <t>기획용</t>
    <phoneticPr fontId="2" type="noConversion"/>
  </si>
  <si>
    <t>기획메모</t>
    <phoneticPr fontId="2" type="noConversion"/>
  </si>
  <si>
    <t>서버 리절트</t>
    <phoneticPr fontId="2" type="noConversion"/>
  </si>
  <si>
    <t>보물</t>
    <phoneticPr fontId="2" type="noConversion"/>
  </si>
  <si>
    <t>환경 설정</t>
    <phoneticPr fontId="2" type="noConversion"/>
  </si>
  <si>
    <t>아이템 전이</t>
    <phoneticPr fontId="2" type="noConversion"/>
  </si>
  <si>
    <t>패치/접속/종료</t>
    <phoneticPr fontId="2" type="noConversion"/>
  </si>
  <si>
    <t>패시브</t>
    <phoneticPr fontId="2" type="noConversion"/>
  </si>
  <si>
    <t>NPC 기능 (상점 포함)</t>
    <phoneticPr fontId="2" type="noConversion"/>
  </si>
  <si>
    <t>정예 사냥터 리스트</t>
    <phoneticPr fontId="2" type="noConversion"/>
  </si>
  <si>
    <t>출력 안함</t>
  </si>
  <si>
    <t>생명 (or 하트)</t>
    <phoneticPr fontId="2" type="noConversion"/>
  </si>
  <si>
    <t>채팅</t>
    <phoneticPr fontId="2" type="noConversion"/>
  </si>
  <si>
    <t>캐릭터 육성 가이드</t>
    <phoneticPr fontId="2" type="noConversion"/>
  </si>
  <si>
    <t>아이템 획득 경로</t>
    <phoneticPr fontId="2" type="noConversion"/>
  </si>
  <si>
    <t>전투메시지</t>
    <phoneticPr fontId="2" type="noConversion"/>
  </si>
  <si>
    <t>내정보</t>
    <phoneticPr fontId="2" type="noConversion"/>
  </si>
  <si>
    <t>오픈박스</t>
    <phoneticPr fontId="2" type="noConversion"/>
  </si>
  <si>
    <t>점령전</t>
    <phoneticPr fontId="2" type="noConversion"/>
  </si>
  <si>
    <t>StringId</t>
    <phoneticPr fontId="2" type="noConversion"/>
  </si>
  <si>
    <t>ui 상점</t>
    <phoneticPr fontId="2" type="noConversion"/>
  </si>
  <si>
    <t>MessageType</t>
    <phoneticPr fontId="2" type="noConversion"/>
  </si>
  <si>
    <t>화면을 터치해 주세요</t>
  </si>
  <si>
    <t>최근접속</t>
  </si>
  <si>
    <t>서버 변경</t>
  </si>
  <si>
    <t>커스터마이징</t>
    <phoneticPr fontId="2" type="noConversion"/>
  </si>
  <si>
    <t>우편함 프리셋</t>
    <phoneticPr fontId="2" type="noConversion"/>
  </si>
  <si>
    <t>수정일 (2019-02-27)</t>
    <phoneticPr fontId="2" type="noConversion"/>
  </si>
  <si>
    <t>기연</t>
    <phoneticPr fontId="2" type="noConversion"/>
  </si>
  <si>
    <t>HUD</t>
    <phoneticPr fontId="2" type="noConversion"/>
  </si>
  <si>
    <t>아이템획득 연출</t>
    <phoneticPr fontId="2" type="noConversion"/>
  </si>
  <si>
    <t>출력안함</t>
  </si>
  <si>
    <t>출력안함</t>
    <phoneticPr fontId="2" type="noConversion"/>
  </si>
  <si>
    <t>시스템 채널</t>
  </si>
  <si>
    <t>시스템 채널</t>
    <phoneticPr fontId="2" type="noConversion"/>
  </si>
  <si>
    <t>출력 안함</t>
    <phoneticPr fontId="2" type="noConversion"/>
  </si>
  <si>
    <t>헤드라인</t>
    <phoneticPr fontId="2" type="noConversion"/>
  </si>
  <si>
    <t>참고 UMG</t>
    <phoneticPr fontId="2" type="noConversion"/>
  </si>
  <si>
    <t>(/Game/UI/UMGBP/Common/Message_Headline)</t>
  </si>
  <si>
    <t>전투</t>
  </si>
  <si>
    <t>전투</t>
    <phoneticPr fontId="2" type="noConversion"/>
  </si>
  <si>
    <t>(/Game/UI/UMGBP/HUD/Battle/Damage)</t>
  </si>
  <si>
    <t>HUD 상단 메시지</t>
    <phoneticPr fontId="2" type="noConversion"/>
  </si>
  <si>
    <t>UI 상단 메시지</t>
    <phoneticPr fontId="2" type="noConversion"/>
  </si>
  <si>
    <t>STRING_ERROR 테이블의 스트링 출력을 위한 타입</t>
    <phoneticPr fontId="2" type="noConversion"/>
  </si>
  <si>
    <t>스크린 메시지</t>
    <phoneticPr fontId="2" type="noConversion"/>
  </si>
  <si>
    <t>팝업 메시지 (원버튼)</t>
    <phoneticPr fontId="2" type="noConversion"/>
  </si>
  <si>
    <t>(/Game/UI/UMGBP/Common/Message_Caption)</t>
  </si>
  <si>
    <t>(/Game/UI/UMGBP/Common/Message_Screen)</t>
  </si>
  <si>
    <t>참고 이미지</t>
    <phoneticPr fontId="2" type="noConversion"/>
  </si>
  <si>
    <t>채팅에 메시지 출력 여부를 정의하기 위한 필드
채팅 채널 번호가 매칭되기 때문에 임의로 추가하지 말 것!!
** 항목 설명은 [!List] 시트 참고 바랍니다.</t>
    <phoneticPr fontId="2" type="noConversion"/>
  </si>
  <si>
    <t>채팅을 제외한 메시지들을 정의하기 위한 필드
** 항목 설명은 [!List] 시트 참고 바랍니다.</t>
    <phoneticPr fontId="2" type="noConversion"/>
  </si>
  <si>
    <t>ChattingMessageType_Item</t>
    <phoneticPr fontId="2" type="noConversion"/>
  </si>
  <si>
    <t>ChattingMessageType_Enum</t>
    <phoneticPr fontId="2" type="noConversion"/>
  </si>
  <si>
    <t>MessageType_Enum</t>
    <phoneticPr fontId="2" type="noConversion"/>
  </si>
  <si>
    <t>MessageType_Item</t>
    <phoneticPr fontId="2" type="noConversion"/>
  </si>
  <si>
    <t>!ChattingMessageType</t>
    <phoneticPr fontId="2" type="noConversion"/>
  </si>
  <si>
    <t>!MessageType</t>
    <phoneticPr fontId="2" type="noConversion"/>
  </si>
  <si>
    <t>기획 참고용</t>
    <phoneticPr fontId="2" type="noConversion"/>
  </si>
  <si>
    <t>채팅메시지 타입</t>
    <phoneticPr fontId="2" type="noConversion"/>
  </si>
  <si>
    <t>세트 아이템</t>
    <phoneticPr fontId="2" type="noConversion"/>
  </si>
  <si>
    <t>실패 관련 메시지</t>
    <phoneticPr fontId="2" type="noConversion"/>
  </si>
  <si>
    <t>알림 도우미</t>
    <phoneticPr fontId="2" type="noConversion"/>
  </si>
  <si>
    <t>비정봉</t>
    <phoneticPr fontId="2" type="noConversion"/>
  </si>
  <si>
    <t>토벌</t>
    <phoneticPr fontId="2" type="noConversion"/>
  </si>
  <si>
    <t>유저 이벤트</t>
    <phoneticPr fontId="2" type="noConversion"/>
  </si>
  <si>
    <t>결투장</t>
    <phoneticPr fontId="2" type="noConversion"/>
  </si>
  <si>
    <t>절전모드</t>
    <phoneticPr fontId="2" type="noConversion"/>
  </si>
  <si>
    <t>게임 종료</t>
    <phoneticPr fontId="2" type="noConversion"/>
  </si>
  <si>
    <t>친구</t>
    <phoneticPr fontId="2" type="noConversion"/>
  </si>
  <si>
    <t>수식</t>
    <phoneticPr fontId="2" type="noConversion"/>
  </si>
  <si>
    <t>체질</t>
    <phoneticPr fontId="2" type="noConversion"/>
  </si>
  <si>
    <t>미용실</t>
    <phoneticPr fontId="2" type="noConversion"/>
  </si>
  <si>
    <t>보물 강화</t>
    <phoneticPr fontId="2" type="noConversion"/>
  </si>
  <si>
    <t>명성</t>
    <phoneticPr fontId="2" type="noConversion"/>
  </si>
  <si>
    <t>문파 리뉴얼</t>
    <phoneticPr fontId="2" type="noConversion"/>
  </si>
  <si>
    <t>옵션</t>
  </si>
  <si>
    <t>문파 - 문파 보급, 지원 활동 보고 등</t>
    <phoneticPr fontId="2" type="noConversion"/>
  </si>
  <si>
    <t>정령_스킬</t>
    <phoneticPr fontId="2" type="noConversion"/>
  </si>
  <si>
    <t>1101000~1101999 @채집 관련</t>
    <phoneticPr fontId="2" type="noConversion"/>
  </si>
  <si>
    <t>정령_기본</t>
    <phoneticPr fontId="2" type="noConversion"/>
  </si>
  <si>
    <t>거점전</t>
    <phoneticPr fontId="2" type="noConversion"/>
  </si>
  <si>
    <t>봉인 해제</t>
    <phoneticPr fontId="2" type="noConversion"/>
  </si>
  <si>
    <t>감정표현</t>
    <phoneticPr fontId="2" type="noConversion"/>
  </si>
  <si>
    <t>문파 원정</t>
    <phoneticPr fontId="2" type="noConversion"/>
  </si>
  <si>
    <t>촬영모드</t>
    <phoneticPr fontId="2" type="noConversion"/>
  </si>
  <si>
    <t>테이블 다운로드 완료</t>
    <phoneticPr fontId="2" type="noConversion"/>
  </si>
  <si>
    <t>테이블 로드 완료</t>
    <phoneticPr fontId="2" type="noConversion"/>
  </si>
  <si>
    <t>패치 파일 로드 완료</t>
    <phoneticPr fontId="2" type="noConversion"/>
  </si>
  <si>
    <t>셰이더 컴파일 완료</t>
    <phoneticPr fontId="2" type="noConversion"/>
  </si>
  <si>
    <t>내구도</t>
    <phoneticPr fontId="2" type="noConversion"/>
  </si>
  <si>
    <t>PK패널티</t>
    <phoneticPr fontId="2" type="noConversion"/>
  </si>
  <si>
    <t>위업</t>
    <phoneticPr fontId="2" type="noConversion"/>
  </si>
  <si>
    <t>가이드</t>
    <phoneticPr fontId="2" type="noConversion"/>
  </si>
  <si>
    <t>없음</t>
    <phoneticPr fontId="2" type="noConversion"/>
  </si>
  <si>
    <t>영지 관리</t>
    <phoneticPr fontId="2" type="noConversion"/>
  </si>
  <si>
    <t>거래소</t>
    <phoneticPr fontId="2" type="noConversion"/>
  </si>
  <si>
    <t>보감(아이템컬렉션)</t>
    <phoneticPr fontId="2" type="noConversion"/>
  </si>
  <si>
    <t>패치 오류가 반복되어 게임을 종료합니다.</t>
    <phoneticPr fontId="2" type="noConversion"/>
  </si>
  <si>
    <t>점검중입니다.</t>
    <phoneticPr fontId="2" type="noConversion"/>
  </si>
  <si>
    <t>패치 오류가 발생하여 다시 시도합니다.\r\n네트워크 상태를 확인해주세요. ({1})</t>
    <phoneticPr fontId="2" type="noConversion"/>
  </si>
  <si>
    <t>새로운 버전이 있습니다.\r\n확인을 누르면 업데이트가 시작됩니다.\r\n업데이트 후 게임을 재시작하세요.</t>
    <phoneticPr fontId="2" type="noConversion"/>
  </si>
  <si>
    <t>일반 채팅</t>
    <phoneticPr fontId="2" type="noConversion"/>
  </si>
  <si>
    <t>파티 채팅</t>
    <phoneticPr fontId="2" type="noConversion"/>
  </si>
  <si>
    <t>문파 채팅</t>
    <phoneticPr fontId="2" type="noConversion"/>
  </si>
  <si>
    <t>마석</t>
    <phoneticPr fontId="2" type="noConversion"/>
  </si>
  <si>
    <t>미니게임</t>
    <phoneticPr fontId="2" type="noConversion"/>
  </si>
  <si>
    <t>최고점수</t>
    <phoneticPr fontId="2" type="noConversion"/>
  </si>
  <si>
    <t>현재점수</t>
    <phoneticPr fontId="2" type="noConversion"/>
  </si>
  <si>
    <t>몰려드는 몬스터를 대비하세요.</t>
    <phoneticPr fontId="2" type="noConversion"/>
  </si>
  <si>
    <t>화면을 터치하면 미니게임을 재개합니다.</t>
    <phoneticPr fontId="2" type="noConversion"/>
  </si>
  <si>
    <t>다음 적을 처치하기 위해 앞으로 이동하고 있습니다.</t>
    <phoneticPr fontId="2" type="noConversion"/>
  </si>
  <si>
    <t>패배 하였습니다.\r\n화면을 터치해 주세요.</t>
    <phoneticPr fontId="2" type="noConversion"/>
  </si>
  <si>
    <t>프로필</t>
    <phoneticPr fontId="2" type="noConversion"/>
  </si>
  <si>
    <t>아이템 잠금 설정</t>
    <phoneticPr fontId="2" type="noConversion"/>
  </si>
  <si>
    <t>이 게임은 &lt;span color="#FF0000"&gt;청소년 이용불가 게임물&lt;/&gt;로\r\n18세 미만의 청소년은 이용할 수 없습니다.</t>
    <phoneticPr fontId="2" type="noConversion"/>
  </si>
  <si>
    <t>테이블 다운로드…</t>
    <phoneticPr fontId="2" type="noConversion"/>
  </si>
  <si>
    <t>테이블 로드…</t>
    <phoneticPr fontId="2" type="noConversion"/>
  </si>
  <si>
    <t>패치 파일 로드…</t>
    <phoneticPr fontId="2" type="noConversion"/>
  </si>
  <si>
    <t>셰이더 컴파일…</t>
    <phoneticPr fontId="2" type="noConversion"/>
  </si>
  <si>
    <t>로그인 프로세스</t>
    <phoneticPr fontId="2" type="noConversion"/>
  </si>
  <si>
    <t>아이템 교환</t>
    <phoneticPr fontId="2" type="noConversion"/>
  </si>
  <si>
    <t>로그아웃</t>
  </si>
  <si>
    <t>게임 시작</t>
  </si>
  <si>
    <t>다운로드 하기</t>
    <phoneticPr fontId="2" type="noConversion"/>
  </si>
  <si>
    <t>게임 플레이에 필요한 파일을 다운로드 중입니다.</t>
    <phoneticPr fontId="2" type="noConversion"/>
  </si>
  <si>
    <t>미르 대륙에서 더 큰 모험이 당신을 기다리고 있습니다.\r\n미르 대륙으로 모험은 {1}의 추가 다운로드가 필요하며, WI-FI 환경에서 다운로드를 권장합니다.</t>
    <phoneticPr fontId="2" type="noConversion"/>
  </si>
  <si>
    <t>STRING_BUILTIN</t>
    <phoneticPr fontId="2" type="noConversion"/>
  </si>
  <si>
    <t>내용 보기</t>
  </si>
  <si>
    <t>전체 선택</t>
  </si>
  <si>
    <t>Sign In With</t>
  </si>
  <si>
    <t>이어하기 코드 발급</t>
  </si>
  <si>
    <t>단말기를 변경했을 때에도 지금의 데이터를 이어서 게임을 즐기려면\r\n이어하기용 비밀번호를 설정하기 바랍니다.</t>
  </si>
  <si>
    <t>이어하기 코드</t>
  </si>
  <si>
    <t>비밀번호</t>
  </si>
  <si>
    <t>복사</t>
  </si>
  <si>
    <t>설정</t>
  </si>
  <si>
    <t>미 설정</t>
  </si>
  <si>
    <t>설정 완료</t>
  </si>
  <si>
    <t>데이터 이어하기</t>
  </si>
  <si>
    <t>불러오기</t>
  </si>
  <si>
    <t>로그 아웃</t>
  </si>
  <si>
    <t>이어하기 오류</t>
  </si>
  <si>
    <t>입력한 코드가 존재하지 않습니다.\r\n다시 확인하여 주시기 바랍니다.</t>
  </si>
  <si>
    <t>입력한 코드의 비밀번호가 일치하지 않습니다.\r\n다시 확인하여 주시기 바랍니다.</t>
  </si>
  <si>
    <t>로그인화면</t>
  </si>
  <si>
    <t>서버: {1}</t>
  </si>
  <si>
    <t>팝업 메시지 (원버튼)</t>
  </si>
  <si>
    <t>연결됨</t>
  </si>
  <si>
    <t>Google</t>
  </si>
  <si>
    <t>Facebook</t>
  </si>
  <si>
    <t>이어하기</t>
  </si>
  <si>
    <t>20101 : (로그인) 파라메터 에러
20102 : (로그인) 계정 DB 조회 안됨
20103 : (로그인) 플랫폼 로그인 검증 에러
20301 : (재로그인) 파라메터 에러
20302 : (재로그인) 계정 DB 조회 안됨
20303 : (재로그인) TokenId 시간 만료
20304 : (재로그인) 저장되어있는 TokenId가 다름
20401 : (계정연결) 파라메터 에러
20402 : (계정연결) 계정 DB 조회 안됨
20403 : (계정연결) 플랫폼 로그인 검증 에러
20404 : (계정연결) 이미 연동된 계정
20405 : (계정연결) 저장되어있는 TokenId가 다름
20501 : (게스트 패스워드 설정) 파라메터 에러
20502 : (게스트 패스워드 설정) 계정 DB 조회 안됨
20503 : (게스트 패스워드 설정) 연동 ID가 틀림
20601 : (게스트 이어하기) 파라메터 에러
20602 : (게스트 이어하기) 계정 DB 조회 안됨
20603 : (게스트 이어하기) 연동 PW가 틀림</t>
  </si>
  <si>
    <t>인증에 실패하였습니다.</t>
  </si>
  <si>
    <t>스크린 메시지</t>
  </si>
  <si>
    <t>비밀번호가 설정완료되었습니다.</t>
  </si>
  <si>
    <t>팝업 타이틀</t>
  </si>
  <si>
    <t xml:space="preserve"> 패치 중 네트워크 단절 등 오류 발생</t>
  </si>
  <si>
    <t>메시지</t>
  </si>
  <si>
    <t>버튼</t>
  </si>
  <si>
    <t>로그인 프로세스</t>
  </si>
  <si>
    <t>다시 보지 않기</t>
  </si>
  <si>
    <t>약관 동의</t>
  </si>
  <si>
    <t>사유: 회사 및 오픈마켓 스토어 프로세스 악용</t>
  </si>
  <si>
    <t>재결제를 진행하시겠습니까?</t>
  </si>
  <si>
    <t>예</t>
  </si>
  <si>
    <t>아니오</t>
  </si>
  <si>
    <t>비정상 환불 상품 회수 안내</t>
  </si>
  <si>
    <t>계정일시</t>
  </si>
  <si>
    <t>주문번호</t>
  </si>
  <si>
    <t>가격</t>
  </si>
  <si>
    <t>결제 완료</t>
  </si>
  <si>
    <t>재실행</t>
  </si>
  <si>
    <t>Apple</t>
  </si>
  <si>
    <t>보안 설정</t>
  </si>
  <si>
    <t>기기 등록 설정</t>
  </si>
  <si>
    <t>가입중</t>
  </si>
  <si>
    <t>본인 확인</t>
  </si>
  <si>
    <t>남은 시간: {1}</t>
  </si>
  <si>
    <t>재발송</t>
  </si>
  <si>
    <t>인증 확인 번호가 일치하지 않습니다.</t>
  </si>
  <si>
    <t>기기 등록 설정(스크린 메시지)</t>
  </si>
  <si>
    <t>별칭 설정</t>
  </si>
  <si>
    <t>별칭을 입력하세요.\r\n(최대 한글 8자까지 입력 가능)</t>
  </si>
  <si>
    <t>설정하기</t>
  </si>
  <si>
    <t>별칭 설정이 완료되었습니다.</t>
  </si>
  <si>
    <t>별칭 입력 조건에 맞지 않습니다. 다시 한번 확인 해 주세요.</t>
  </si>
  <si>
    <t>기기 등록 설정 (스크린 메시지)</t>
  </si>
  <si>
    <t>서버 대기</t>
  </si>
  <si>
    <t>서버 대기열</t>
  </si>
  <si>
    <t>대기 취소</t>
  </si>
  <si>
    <t>추가 다운로드 진행: &lt;span color="#FF0000"&gt;{1}&lt;/&gt;</t>
  </si>
  <si>
    <t>다운로드&amp;미니게임 시작</t>
  </si>
  <si>
    <t>돌아가기</t>
  </si>
  <si>
    <t>알림 수신에 동의하셨습니다.</t>
  </si>
  <si>
    <t>알림 수신을 거부하였습니다.</t>
  </si>
  <si>
    <t>야간 광고성 정보 수신에 거부하셨습니다.</t>
  </si>
  <si>
    <t>존재하지 않는 정보입니다.\r\n다시 확인하여 주시기 바랍니다.</t>
  </si>
  <si>
    <t>종료</t>
  </si>
  <si>
    <t>공통 - 버튼</t>
  </si>
  <si>
    <t>공통 - 팝업타이틀</t>
  </si>
  <si>
    <t>패치</t>
  </si>
  <si>
    <t>서버와의 연결이 끊어졌습니다.</t>
  </si>
  <si>
    <t>서버 연결 종료 팝업 내용(대역대가 선택에 에로 사항이 있어 이 아이디로 등록함)</t>
  </si>
  <si>
    <t>거부</t>
  </si>
  <si>
    <t>프로필 UI</t>
  </si>
  <si>
    <t>허용</t>
  </si>
  <si>
    <t>권한 설정</t>
    <phoneticPr fontId="2" type="noConversion"/>
  </si>
  <si>
    <t>{1}의 추가 패치를 다운받습니다. 진행하시겠습니까?\r\n(LTE 환경에선 추가 데이터 요금이 발생할 수 있습니다.)\r\nWifi의 사용을 권장 드립니다.</t>
    <phoneticPr fontId="2" type="noConversion"/>
  </si>
  <si>
    <t>게임은 런처에서 실행해주세요.</t>
    <phoneticPr fontId="2" type="noConversion"/>
  </si>
  <si>
    <t>로그인 화면</t>
    <phoneticPr fontId="2" type="noConversion"/>
  </si>
  <si>
    <t>Sign in with Guest에서 발급받은 코드와 설정한 비밀 번호를 입력하세요.</t>
    <phoneticPr fontId="2" type="noConversion"/>
  </si>
  <si>
    <t>로그인 프로세스_점검팝업_김선묵_20200930</t>
    <phoneticPr fontId="2" type="noConversion"/>
  </si>
  <si>
    <t>안내</t>
    <phoneticPr fontId="2" type="noConversion"/>
  </si>
  <si>
    <t>로그인 프로세스 팝업 제목</t>
    <phoneticPr fontId="2" type="noConversion"/>
  </si>
  <si>
    <t>Apple로 로그인</t>
    <phoneticPr fontId="2" type="noConversion"/>
  </si>
  <si>
    <t>Google로 로그인</t>
    <phoneticPr fontId="2" type="noConversion"/>
  </si>
  <si>
    <t>Facebook으로 로그인</t>
    <phoneticPr fontId="2" type="noConversion"/>
  </si>
  <si>
    <t>Guest로 로그인</t>
    <phoneticPr fontId="2" type="noConversion"/>
  </si>
  <si>
    <t xml:space="preserve"> </t>
    <phoneticPr fontId="2" type="noConversion"/>
  </si>
  <si>
    <t>확인요청</t>
    <phoneticPr fontId="2" type="noConversion"/>
  </si>
  <si>
    <t>게임을 종료 하시겠습니까?</t>
    <phoneticPr fontId="2" type="noConversion"/>
  </si>
  <si>
    <t>취소</t>
    <phoneticPr fontId="2" type="noConversion"/>
  </si>
  <si>
    <t>확인</t>
    <phoneticPr fontId="2" type="noConversion"/>
  </si>
  <si>
    <t>PC 버전 게임종료 팝업</t>
    <phoneticPr fontId="2" type="noConversion"/>
  </si>
  <si>
    <t>서비스 점검 중\r\n보다 즐겁고 쾌적한 게임 서비스를 위해 점검이 진행되는 점 양해 부탁드립니다.</t>
    <phoneticPr fontId="2" type="noConversion"/>
  </si>
  <si>
    <t>용량 부족 패치 불가</t>
    <phoneticPr fontId="2" type="noConversion"/>
  </si>
  <si>
    <t>패치 오류가 발생하여 게임을 종료합니다.\r\n디스크 용량이 충분한지 확인해 주세요.</t>
    <phoneticPr fontId="2" type="noConversion"/>
  </si>
  <si>
    <t>PC_투클라이언트_201209_김선묵</t>
    <phoneticPr fontId="2" type="noConversion"/>
  </si>
  <si>
    <t>서버에 접속할 수 없어 패치를 진행할 수 없습니다.\r\n네트워크 상태를 확인해 주세요.</t>
    <phoneticPr fontId="2" type="noConversion"/>
  </si>
  <si>
    <t>ServerInfo.json 다운로드 실패시 예외처리 수정_201214_김선묵</t>
    <phoneticPr fontId="2" type="noConversion"/>
  </si>
  <si>
    <t>다른 클라이언트가 패치 업데이트 과정중에 있습니다. \r\n업데이트 완료후 다시 시작해주세요.</t>
    <phoneticPr fontId="2" type="noConversion"/>
  </si>
  <si>
    <t>[평화]</t>
    <phoneticPr fontId="2" type="noConversion"/>
  </si>
  <si>
    <t>PK 안전 서버에 대한 마크 출력용 값 추가</t>
    <phoneticPr fontId="2" type="noConversion"/>
  </si>
  <si>
    <t>계정제재 해제 및 정상 게임 이용을 위해서는 비정상 환불이 이루어진 품목에 대하여 재결제가 진행하여야 하오니 참고 바랍니다.</t>
    <phoneticPr fontId="2" type="noConversion"/>
  </si>
  <si>
    <t>This program cannot be run in DOS mode_210128_김선묵</t>
    <phoneticPr fontId="2" type="noConversion"/>
  </si>
  <si>
    <t>알림</t>
    <phoneticPr fontId="2" type="noConversion"/>
  </si>
  <si>
    <t>새로운 업데이트 정보가 있습니다.\r\n게임을 다시 실행시켜 주시기 바랍니다.</t>
    <phoneticPr fontId="2" type="noConversion"/>
  </si>
  <si>
    <t>레드마인: 36748_팝업제목_210219_김선묵</t>
    <phoneticPr fontId="2" type="noConversion"/>
  </si>
  <si>
    <t>레드마인: 36748_팝업내용_210219_김선묵</t>
    <phoneticPr fontId="2" type="noConversion"/>
  </si>
  <si>
    <t>레드마인: 36748_팝업버튼_210219_김선묵</t>
    <phoneticPr fontId="2" type="noConversion"/>
  </si>
  <si>
    <t>게임종료</t>
    <phoneticPr fontId="2" type="noConversion"/>
  </si>
  <si>
    <t>코드를 입력해 주세요</t>
  </si>
  <si>
    <t>비밀번호를 입력하세요</t>
  </si>
  <si>
    <t>CHT</t>
  </si>
  <si>
    <t>중국어(번체)</t>
  </si>
  <si>
    <t>CHS</t>
  </si>
  <si>
    <t>중국어(간체)</t>
  </si>
  <si>
    <t>JPN</t>
  </si>
  <si>
    <t>일본어</t>
  </si>
  <si>
    <t>다국어 필드 (국내는 0으로 넣어주세요.)</t>
    <phoneticPr fontId="2" type="noConversion"/>
  </si>
  <si>
    <t>ENG</t>
    <phoneticPr fontId="2" type="noConversion"/>
  </si>
  <si>
    <t>영어</t>
    <phoneticPr fontId="2" type="noConversion"/>
  </si>
  <si>
    <t>지역</t>
    <phoneticPr fontId="2" type="noConversion"/>
  </si>
  <si>
    <t>查看內容</t>
  </si>
  <si>
    <t>查看内容</t>
  </si>
  <si>
    <t>詳細表示</t>
  </si>
  <si>
    <t>Show details</t>
  </si>
  <si>
    <t>全選</t>
  </si>
  <si>
    <t>全选</t>
  </si>
  <si>
    <t>全体選択</t>
  </si>
  <si>
    <t>Select all</t>
  </si>
  <si>
    <t>註冊方式</t>
  </si>
  <si>
    <t>注册方式</t>
  </si>
  <si>
    <t>Sign in with</t>
  </si>
  <si>
    <t>選項</t>
  </si>
  <si>
    <t>选项</t>
  </si>
  <si>
    <t>オプション</t>
  </si>
  <si>
    <t>獲取同步碼</t>
  </si>
  <si>
    <t>获取同步码</t>
  </si>
  <si>
    <t>引き継ぎコード発行</t>
  </si>
  <si>
    <t>Create a transfer code</t>
  </si>
  <si>
    <t>若希望在變更裝置後仍然使用當前資料進行遊戲，\r\n請設定同步專用密碼。</t>
  </si>
  <si>
    <t>若希望在更改设备后仍然使用当前数据进行游戏，\r\n请设置同步专用密码。</t>
  </si>
  <si>
    <t>In order to continue playing the game with your current data, even after switching to another device,\r\ncreate a password for data transfer.</t>
  </si>
  <si>
    <t>同步碼</t>
  </si>
  <si>
    <t>同步码</t>
  </si>
  <si>
    <t>引き継ぎコード</t>
  </si>
  <si>
    <t>Transfer Code</t>
  </si>
  <si>
    <t>密碼</t>
  </si>
  <si>
    <t>密码</t>
  </si>
  <si>
    <t>パスワード</t>
  </si>
  <si>
    <t>Password</t>
  </si>
  <si>
    <t>複製</t>
  </si>
  <si>
    <t>复制</t>
  </si>
  <si>
    <t>コピー</t>
  </si>
  <si>
    <t>Copy</t>
  </si>
  <si>
    <t>設定</t>
  </si>
  <si>
    <t>设置</t>
  </si>
  <si>
    <t>Set</t>
  </si>
  <si>
    <t>未設定</t>
  </si>
  <si>
    <t>未设置</t>
  </si>
  <si>
    <t>Not set</t>
  </si>
  <si>
    <t>設定完畢</t>
  </si>
  <si>
    <t>设置完毕</t>
  </si>
  <si>
    <t>設定完了</t>
  </si>
  <si>
    <t>Setting complete</t>
  </si>
  <si>
    <t>同步資料</t>
  </si>
  <si>
    <t>同步数据</t>
  </si>
  <si>
    <t>データ引き継ぎ</t>
  </si>
  <si>
    <t>加载</t>
  </si>
  <si>
    <t>読み込み</t>
  </si>
  <si>
    <t>Load</t>
  </si>
  <si>
    <t>登出</t>
  </si>
  <si>
    <t>退出登录</t>
  </si>
  <si>
    <t>ログアウト</t>
  </si>
  <si>
    <t>Sign out</t>
  </si>
  <si>
    <t>同步錯誤</t>
  </si>
  <si>
    <t>同步错误</t>
  </si>
  <si>
    <t>引き継ぎエラー</t>
  </si>
  <si>
    <t>輸入的代碼不存在。\r\n請重新確認。</t>
  </si>
  <si>
    <t>输入的代码不存在。\r\n请重新确认。</t>
  </si>
  <si>
    <t>The code you entered does not exist.\r\nCheck your code again.</t>
  </si>
  <si>
    <t>輸入的代碼密碼不一致。\r\n請重新確認。</t>
  </si>
  <si>
    <t>输入的代码密码不一致。\r\n请重新确认。</t>
  </si>
  <si>
    <t>The code and password you entered do not match.\r\nPlease check again.</t>
  </si>
  <si>
    <t>確認</t>
  </si>
  <si>
    <t>确认</t>
  </si>
  <si>
    <t>OK</t>
  </si>
  <si>
    <t>取消</t>
  </si>
  <si>
    <t>Cancel</t>
  </si>
  <si>
    <t>伺服器：{1}</t>
  </si>
  <si>
    <t>服务器：{1}</t>
  </si>
  <si>
    <t>サーバー：{1}</t>
  </si>
  <si>
    <t>Server: {1}</t>
  </si>
  <si>
    <t>已連線</t>
  </si>
  <si>
    <t>已连接</t>
  </si>
  <si>
    <t>接続成功</t>
  </si>
  <si>
    <t>Connected</t>
  </si>
  <si>
    <t>繼續遊戲</t>
  </si>
  <si>
    <t>继续游戏</t>
  </si>
  <si>
    <t>認證失敗。</t>
  </si>
  <si>
    <t>验证失败。</t>
  </si>
  <si>
    <t>Verification failed.</t>
  </si>
  <si>
    <t>密碼設定完畢。</t>
  </si>
  <si>
    <t>密码设置完毕。</t>
  </si>
  <si>
    <t>Your password has been set.</t>
  </si>
  <si>
    <t>彈窗標題</t>
  </si>
  <si>
    <t>弹窗标题</t>
  </si>
  <si>
    <t>ポップアップタイトル</t>
  </si>
  <si>
    <t>Pop-up Title</t>
  </si>
  <si>
    <t>訊息</t>
  </si>
  <si>
    <t>信息</t>
  </si>
  <si>
    <t>メッセージ</t>
  </si>
  <si>
    <t>Message</t>
  </si>
  <si>
    <t>按鍵</t>
  </si>
  <si>
    <t>按键</t>
  </si>
  <si>
    <t>ボタン</t>
  </si>
  <si>
    <t>Button</t>
  </si>
  <si>
    <t>錯誤</t>
  </si>
  <si>
    <t>错误</t>
  </si>
  <si>
    <t>エラー</t>
  </si>
  <si>
    <t>Error</t>
  </si>
  <si>
    <t>提示</t>
  </si>
  <si>
    <t>通知</t>
  </si>
  <si>
    <t>Notification</t>
  </si>
  <si>
    <t>維護中。</t>
  </si>
  <si>
    <t>维护中。</t>
  </si>
  <si>
    <t>Under maintenance.</t>
  </si>
  <si>
    <t>不再提示</t>
  </si>
  <si>
    <t>再表示しない</t>
  </si>
  <si>
    <t>Do not show again</t>
  </si>
  <si>
    <t>同意條款</t>
  </si>
  <si>
    <t>同意条款</t>
  </si>
  <si>
    <t>利用規約への同意</t>
  </si>
  <si>
    <t>Agree to the Terms of Use</t>
  </si>
  <si>
    <t>原因：恶意利用公司或自由市场商城的程序</t>
  </si>
  <si>
    <t>理由：会社およびオープンマーケットストアプロセス不正利用</t>
  </si>
  <si>
    <t>Reason: Abuse of Company and Open Market Store Process</t>
  </si>
  <si>
    <t>是否重新付款？</t>
  </si>
  <si>
    <t>再決済を行いますか？</t>
  </si>
  <si>
    <t>Do you want to repeat the transaction?</t>
  </si>
  <si>
    <t>是</t>
  </si>
  <si>
    <t>はい</t>
  </si>
  <si>
    <t>Yes</t>
  </si>
  <si>
    <t>否</t>
  </si>
  <si>
    <t>いいえ</t>
  </si>
  <si>
    <t>No</t>
  </si>
  <si>
    <t>非正常退款商品回收說明</t>
  </si>
  <si>
    <t>非正常退款商品回收说明</t>
  </si>
  <si>
    <t>異常返金商品の回収について</t>
  </si>
  <si>
    <t>Invalid Refund Product Retrieval Notice</t>
  </si>
  <si>
    <t>付款日期</t>
  </si>
  <si>
    <t>アカウント日時</t>
  </si>
  <si>
    <t>Account date</t>
  </si>
  <si>
    <t>訂單編號</t>
  </si>
  <si>
    <t>订单编号</t>
  </si>
  <si>
    <t>注文番号</t>
  </si>
  <si>
    <t>Order number</t>
  </si>
  <si>
    <t>價格</t>
  </si>
  <si>
    <t>价格</t>
  </si>
  <si>
    <t>価格</t>
  </si>
  <si>
    <t>Price</t>
  </si>
  <si>
    <t>付款完畢</t>
  </si>
  <si>
    <t>付款完毕</t>
  </si>
  <si>
    <t>決済完了</t>
  </si>
  <si>
    <t>Transaction complete</t>
  </si>
  <si>
    <t>重啟</t>
  </si>
  <si>
    <t>重启</t>
  </si>
  <si>
    <t>再実行</t>
  </si>
  <si>
    <t>Restart</t>
  </si>
  <si>
    <t>Apple登入</t>
  </si>
  <si>
    <t>Apple登录</t>
  </si>
  <si>
    <t>Appleでログイン</t>
  </si>
  <si>
    <t>Sign in with Apple</t>
  </si>
  <si>
    <t>Google登入</t>
  </si>
  <si>
    <t>Google登录</t>
  </si>
  <si>
    <t>Googleでログイン</t>
  </si>
  <si>
    <t>Sign in with Google</t>
  </si>
  <si>
    <t>Facebook登入</t>
  </si>
  <si>
    <t>Facebook登录</t>
  </si>
  <si>
    <t>Facebookでログイン</t>
  </si>
  <si>
    <t>Sign in with Facebook</t>
  </si>
  <si>
    <t>安全設定</t>
  </si>
  <si>
    <t>安全设置</t>
  </si>
  <si>
    <t>セキュリティ設定</t>
  </si>
  <si>
    <t>Security Settings</t>
  </si>
  <si>
    <t>已加入</t>
  </si>
  <si>
    <t>入会中</t>
  </si>
  <si>
    <t>Joining</t>
  </si>
  <si>
    <t>本人验证</t>
  </si>
  <si>
    <t>本人確認</t>
  </si>
  <si>
    <t>Confirm your identity</t>
  </si>
  <si>
    <t>剩餘時間：{1}</t>
  </si>
  <si>
    <t>剩余时间：{1}</t>
  </si>
  <si>
    <t>残り時間：{1}</t>
  </si>
  <si>
    <t>Time Remaining: {1}</t>
  </si>
  <si>
    <t>重新傳送</t>
  </si>
  <si>
    <t>重新发送</t>
  </si>
  <si>
    <t>再送信</t>
  </si>
  <si>
    <t>Resend</t>
  </si>
  <si>
    <t>验证码不一致。</t>
  </si>
  <si>
    <t>The verification code does not match.</t>
  </si>
  <si>
    <t>設定裝置名稱</t>
  </si>
  <si>
    <t>设置设备名称</t>
  </si>
  <si>
    <t>ニックネーム設定</t>
  </si>
  <si>
    <t>Set a nickname</t>
  </si>
  <si>
    <t>請輸入裝置名稱。\r\n（最多不超過中文8個字元）</t>
  </si>
  <si>
    <t>请输入设备名称。\r\n（最多不超过中文8个字）</t>
  </si>
  <si>
    <t>Enter a nickname.\r\n(Up to 8 characters)</t>
  </si>
  <si>
    <t>裝置名稱設定完畢。</t>
  </si>
  <si>
    <t>设备名称设置完毕。</t>
  </si>
  <si>
    <t>A nickname has been set.</t>
  </si>
  <si>
    <t>不符合裝置名稱的輸入要求，請重新確認。</t>
  </si>
  <si>
    <t>不符合设备名称的输入要求，请重新确认。</t>
  </si>
  <si>
    <t>The nickname is invalid. Please check again.</t>
  </si>
  <si>
    <t>取消排隊</t>
  </si>
  <si>
    <t>取消排队</t>
  </si>
  <si>
    <t>待機取消</t>
  </si>
  <si>
    <t>Stop waiting</t>
  </si>
  <si>
    <t>追加下載：&lt;span color="#FF0000"&gt;{1}&lt;/&gt;</t>
  </si>
  <si>
    <t>追加下载：&lt;span color="#FF0000"&gt;{1}&lt;/&gt;</t>
  </si>
  <si>
    <t>追加ダウンロード進行：&lt;span color="#FF0000"&gt;{1}&lt;/&gt;</t>
  </si>
  <si>
    <t>Proceed with additional download: &lt;span color="#FF0000"&gt;{1}&lt;/&gt;</t>
  </si>
  <si>
    <t>下載&amp;開始小遊戲</t>
  </si>
  <si>
    <t>下载&amp;开始小游戏</t>
  </si>
  <si>
    <t>ダウンロード&amp;ミニゲームスタート</t>
  </si>
  <si>
    <t>Download &amp; play minigame</t>
  </si>
  <si>
    <t>返回</t>
  </si>
  <si>
    <t>戻る</t>
  </si>
  <si>
    <t>Back</t>
  </si>
  <si>
    <t>Settings</t>
  </si>
  <si>
    <t>開始遊戲</t>
  </si>
  <si>
    <t>开始游戏</t>
  </si>
  <si>
    <t>ゲームスタート</t>
  </si>
  <si>
    <t>Start game</t>
  </si>
  <si>
    <t>下載</t>
  </si>
  <si>
    <t>下载</t>
  </si>
  <si>
    <t>ダウンロード</t>
  </si>
  <si>
    <t>Download</t>
  </si>
  <si>
    <t>已同意接收通知。</t>
  </si>
  <si>
    <t>You have agreed to receive notifications.</t>
  </si>
  <si>
    <t>已拒絕接收通知。</t>
  </si>
  <si>
    <t>已拒绝接收通知。</t>
  </si>
  <si>
    <t>You have refused to receive notifications.</t>
  </si>
  <si>
    <t>已拒絕接收夜間廣告資訊。</t>
  </si>
  <si>
    <t>已拒绝接收夜间广告信息。</t>
  </si>
  <si>
    <t>You have disagreed to receive nighttime advertisements.</t>
  </si>
  <si>
    <t>資訊不存在。\r\n請重新確認。</t>
  </si>
  <si>
    <t>信息不存在。\r\n请重新确认。</t>
  </si>
  <si>
    <t>The information does not exist.\r\nPlease check again.</t>
  </si>
  <si>
    <t>權限設定</t>
  </si>
  <si>
    <t>权限设置</t>
  </si>
  <si>
    <t>権限設定</t>
  </si>
  <si>
    <t>Permission Settings</t>
  </si>
  <si>
    <t>請於啟動器中運行遊戲。</t>
  </si>
  <si>
    <t>请于启动器中运行游戏。</t>
  </si>
  <si>
    <t>Start the game from the launcher.</t>
  </si>
  <si>
    <t>服務維護中\r\n為了提供更愉快舒適的遊戲服務，目前正在維護中，敬請諒解。</t>
  </si>
  <si>
    <t>服务维护中\r\n为了提供更愉快舒适的游戏服务，目前正在维护中，敬请谅解。</t>
  </si>
  <si>
    <t>Under maintenance\r\nWe are currently down for maintenance so that we can provide a more pleasant gameplay.</t>
  </si>
  <si>
    <t>說明</t>
  </si>
  <si>
    <t>说明</t>
  </si>
  <si>
    <t>案内</t>
  </si>
  <si>
    <t>Notice</t>
  </si>
  <si>
    <t>確認請求</t>
  </si>
  <si>
    <t>确认请求</t>
  </si>
  <si>
    <t>Confirmation Request</t>
  </si>
  <si>
    <t>是否結束遊戲？</t>
  </si>
  <si>
    <t>是否结束游戏？</t>
  </si>
  <si>
    <t>ゲームを終了しますか？</t>
  </si>
  <si>
    <t>Do you want to exit the game?</t>
  </si>
  <si>
    <t>补丁发生错误，游戏结束。\r\n请确认硬盘空间是否足够。</t>
  </si>
  <si>
    <t>A patch error occurred. Exiting the game.\r\nMake sure that your disk has enough space available.</t>
  </si>
  <si>
    <t>其他客户端正在进行补丁更新。\r\n请在更新完毕后重新尝试。</t>
  </si>
  <si>
    <t>Another client is being updated.\r\nRestart the game after the update is complete.</t>
  </si>
  <si>
    <t>无法连接服务器，补丁失败。\r\n请确认网络状态。</t>
  </si>
  <si>
    <t>Patching failed because the game is not connected to the server.\r\nCheck your network connection.</t>
  </si>
  <si>
    <t>存在新的更新資訊。\r\n請重啟遊戲。</t>
  </si>
  <si>
    <t>存在新的更新信息。\r\n请重启游戏。</t>
  </si>
  <si>
    <t>There is new update information.\r\nPlease restart the game.</t>
  </si>
  <si>
    <t>請輸入代碼</t>
  </si>
  <si>
    <t>请输入代码</t>
  </si>
  <si>
    <t>Enter code.</t>
  </si>
  <si>
    <t>請輸入密碼</t>
  </si>
  <si>
    <t>请输入密码</t>
  </si>
  <si>
    <t>Enter password.</t>
  </si>
  <si>
    <t>點擊畫面</t>
  </si>
  <si>
    <t>点击画面</t>
  </si>
  <si>
    <t>Tap the screen</t>
  </si>
  <si>
    <t>最近登入</t>
  </si>
  <si>
    <t>最近登录</t>
  </si>
  <si>
    <t>最近の接続</t>
  </si>
  <si>
    <t>Recent Sign-ins</t>
  </si>
  <si>
    <t>變更伺服器</t>
  </si>
  <si>
    <t>更改服务器</t>
  </si>
  <si>
    <t>サーバー変更</t>
  </si>
  <si>
    <t>Change server</t>
  </si>
  <si>
    <t>結束</t>
  </si>
  <si>
    <t>结束</t>
  </si>
  <si>
    <t>終了</t>
  </si>
  <si>
    <t>Exit</t>
  </si>
  <si>
    <t>正在下載遊戲所需檔案。</t>
  </si>
  <si>
    <t>正在下载游戏所需文件。</t>
  </si>
  <si>
    <t>資源資料下載及安裝完畢。</t>
  </si>
  <si>
    <t>资源数据下载及安装完毕。</t>
  </si>
  <si>
    <t>リソースデータダウンロードおよびインストール完了</t>
  </si>
  <si>
    <t>Downloaded and installed resource data</t>
  </si>
  <si>
    <t>服务器连接断开。</t>
  </si>
  <si>
    <t>Connection to the server was lost.</t>
  </si>
  <si>
    <t>數據庫表下載完畢</t>
  </si>
  <si>
    <t>数据库表下载完毕</t>
  </si>
  <si>
    <t>テーブルダウンロード完了</t>
  </si>
  <si>
    <t>Tables downloaded</t>
  </si>
  <si>
    <t>补丁加载完毕</t>
  </si>
  <si>
    <t>パッチファイルロード完了</t>
  </si>
  <si>
    <t>Patch files loaded</t>
  </si>
  <si>
    <t>著色器編譯完畢</t>
  </si>
  <si>
    <t>着色器编译完毕</t>
  </si>
  <si>
    <t>シェーダーコンパイル完了</t>
  </si>
  <si>
    <t>Shaders compiled</t>
  </si>
  <si>
    <t>最高分</t>
  </si>
  <si>
    <t>最高スコア</t>
  </si>
  <si>
    <t>Highest score</t>
  </si>
  <si>
    <t>失敗。\r\n請點擊畫面。</t>
  </si>
  <si>
    <t>失败。\r\n请点击画面。</t>
  </si>
  <si>
    <t>點擊畫面開始小遊戲。</t>
  </si>
  <si>
    <t>点击画面开始小游戏。</t>
  </si>
  <si>
    <t>Tap the screen to resume the mini game.</t>
  </si>
  <si>
    <t>拒絕</t>
  </si>
  <si>
    <t>拒绝</t>
  </si>
  <si>
    <t>拒否</t>
  </si>
  <si>
    <t>Decline</t>
  </si>
  <si>
    <t>允許</t>
  </si>
  <si>
    <t>允许</t>
  </si>
  <si>
    <t>許可</t>
  </si>
  <si>
    <t>Allow</t>
  </si>
  <si>
    <t>地域</t>
  </si>
  <si>
    <t>続行する</t>
  </si>
  <si>
    <t>로그인 프로세스_글로벌 전용</t>
    <phoneticPr fontId="2" type="noConversion"/>
  </si>
  <si>
    <r>
      <t>确</t>
    </r>
    <r>
      <rPr>
        <sz val="9"/>
        <color theme="1"/>
        <rFont val="새굴림"/>
        <family val="2"/>
        <charset val="134"/>
      </rPr>
      <t>认</t>
    </r>
    <phoneticPr fontId="2" type="noConversion"/>
  </si>
  <si>
    <t>THA</t>
    <phoneticPr fontId="2" type="noConversion"/>
  </si>
  <si>
    <t>SPA</t>
    <phoneticPr fontId="2" type="noConversion"/>
  </si>
  <si>
    <t>POR</t>
    <phoneticPr fontId="2" type="noConversion"/>
  </si>
  <si>
    <t>태국어</t>
    <phoneticPr fontId="2" type="noConversion"/>
  </si>
  <si>
    <t>스페인어</t>
    <phoneticPr fontId="2" type="noConversion"/>
  </si>
  <si>
    <t>포르투갈어</t>
    <phoneticPr fontId="2" type="noConversion"/>
  </si>
  <si>
    <t>string</t>
    <phoneticPr fontId="2" type="noConversion"/>
  </si>
  <si>
    <t>백그라운드 다운로드 완료</t>
  </si>
  <si>
    <t>載入</t>
  </si>
  <si>
    <t>原因：惡意利用公司或商城的機制</t>
  </si>
  <si>
    <t>本人驗證</t>
  </si>
  <si>
    <t>驗證碼不一致。</t>
  </si>
  <si>
    <t>更新發生錯誤，遊戲結束。\r\n請確認硬體容量是否足夠。</t>
  </si>
  <si>
    <t>伺服器連線斷線。</t>
  </si>
  <si>
    <t>更新檔載入完畢</t>
  </si>
  <si>
    <t>有其它正在進行更新的客戶端。\r\n請在更新完畢後重新嘗試。</t>
  </si>
  <si>
    <t>無法連線伺服器，更新失敗。\r\n請確認網路狀態。</t>
  </si>
  <si>
    <t>Transfer data</t>
  </si>
  <si>
    <t>Transfer error</t>
  </si>
  <si>
    <t>Downloading files required for your adventure.</t>
  </si>
  <si>
    <t>You have been defeated.\r\nTap the screen to continue.</t>
  </si>
  <si>
    <t>Confirm</t>
  </si>
  <si>
    <t>背景程式下載完成。</t>
  </si>
  <si>
    <t>后台程式下载完成。</t>
  </si>
  <si>
    <t>バックグラウンドダウンロード完了</t>
  </si>
  <si>
    <t>Background download complete</t>
  </si>
  <si>
    <t>แสดงรายละเอียด</t>
  </si>
  <si>
    <t>Ver detalles</t>
  </si>
  <si>
    <t>Mostrar detalhes</t>
  </si>
  <si>
    <t>เลือกทั้งหมด</t>
  </si>
  <si>
    <t>Elegir todo</t>
  </si>
  <si>
    <t>Selecionar tudo</t>
  </si>
  <si>
    <t>เข้าสู่ระบบด้วย</t>
  </si>
  <si>
    <t>Inicia sesión con</t>
  </si>
  <si>
    <t>Iniciar sessão com</t>
  </si>
  <si>
    <t>คุณสมบัติ</t>
  </si>
  <si>
    <t>Propiedades</t>
  </si>
  <si>
    <t>Propriedades</t>
  </si>
  <si>
    <t>สร้างรหัสถ่ายโอน</t>
  </si>
  <si>
    <t>Crear código de transferencia</t>
  </si>
  <si>
    <t>Criar um código de transferência</t>
  </si>
  <si>
    <t>หากต้องการเล่นเกมต่อด้วยข้อมูลปัจจุบัน แม้ว่าจะสลับไปใช้อุปกรณ์เครื่องอื่น\r\nให้สร้างรหัสผ่านสำหรับการโอนข้อมูล</t>
  </si>
  <si>
    <t>Para seguir jugando con los datos actuales, incluso tras cambiar a otro dispositivo,\r\ncrea una contraseña para la transferencia de datos.</t>
  </si>
  <si>
    <t>Para continuar a jogar com os seus dados atuais, mesmo que troque de dispositivo,\r\ncrie uma palavra-passe para a transferência dos dados.</t>
  </si>
  <si>
    <t>รหัสโอนข้อมูล</t>
  </si>
  <si>
    <t>Código de transferencia</t>
  </si>
  <si>
    <t>Código de transferência</t>
  </si>
  <si>
    <t>รหัสผ่าน</t>
  </si>
  <si>
    <t>Contraseña</t>
  </si>
  <si>
    <t>Palavra-passe</t>
  </si>
  <si>
    <t>คัดลอก</t>
  </si>
  <si>
    <t>Copiar</t>
  </si>
  <si>
    <t>ตั้งค่าแล้ว</t>
  </si>
  <si>
    <t>Establecida</t>
  </si>
  <si>
    <t>Definida</t>
  </si>
  <si>
    <t>ไม่ได้ตั้งค่า</t>
  </si>
  <si>
    <t>No establecida</t>
  </si>
  <si>
    <t>Não definida</t>
  </si>
  <si>
    <t>การตั้งค่าเสร็จสิ้น</t>
  </si>
  <si>
    <t>Ajuste completado</t>
  </si>
  <si>
    <t>Definição concluída</t>
  </si>
  <si>
    <t>ถ่ายโอนข้อมูล</t>
  </si>
  <si>
    <t>Transferir datos</t>
  </si>
  <si>
    <t>Transferir dados</t>
  </si>
  <si>
    <t>โหลด</t>
  </si>
  <si>
    <t>Cargar</t>
  </si>
  <si>
    <t>Carregar</t>
  </si>
  <si>
    <t>ออกจากระบบ</t>
  </si>
  <si>
    <t>Cerrar sesión</t>
  </si>
  <si>
    <t>Terminar sessão</t>
  </si>
  <si>
    <t>การโอนข้อมูลผิดพลาด</t>
  </si>
  <si>
    <t>Error de transferencia</t>
  </si>
  <si>
    <t>Erro de transferência</t>
  </si>
  <si>
    <t>ไม่มีรหัสที่คุณป้อน\r\nตรวจสอบรหัสของคุณอีกครั้ง</t>
  </si>
  <si>
    <t>El código que has introducido no existe.\r\nComprueba el código.</t>
  </si>
  <si>
    <t>O código que introduziu não existe.\r\nVolte a verificar o código.</t>
  </si>
  <si>
    <t>รหัสและรหัสผ่านที่คุณป้อนไม่ตรงกัน\r\nโปรดตรวจสอบอีกครั้ง</t>
  </si>
  <si>
    <t>El código y la contraseña introducidos no coinciden.\r\nCompruébalos.</t>
  </si>
  <si>
    <t>O código e a palavra-passe que introduziu não são correspondentes.\r\nVolte a verificar.</t>
  </si>
  <si>
    <t>ตกลง</t>
  </si>
  <si>
    <t>Aceptar</t>
  </si>
  <si>
    <t>ยกเลิก</t>
  </si>
  <si>
    <t>Cancelar</t>
  </si>
  <si>
    <t>เซิร์ฟเวอร์: {1}</t>
  </si>
  <si>
    <t>Servidor: {1}</t>
  </si>
  <si>
    <t>เชื่อมต่อแล้ว</t>
  </si>
  <si>
    <t>Conectado</t>
  </si>
  <si>
    <t>Ligado</t>
  </si>
  <si>
    <t>การยืนยันตัวตนล้มเหลว</t>
  </si>
  <si>
    <t>Error de verificación.</t>
  </si>
  <si>
    <t>A verificação falhou.</t>
  </si>
  <si>
    <t>ตั้งค่ารหัสผ่านของคุณเรียบร้อยแล้ว</t>
  </si>
  <si>
    <t>Contraseña establecida.</t>
  </si>
  <si>
    <t>A sua palavra-passe foi definida.</t>
  </si>
  <si>
    <t>ชื่อป็อปอัพ</t>
  </si>
  <si>
    <t>Título emergente</t>
  </si>
  <si>
    <t>Título do pop-up</t>
  </si>
  <si>
    <t>ข้อความ</t>
  </si>
  <si>
    <t>Mensaje</t>
  </si>
  <si>
    <t>Mensagem</t>
  </si>
  <si>
    <t>ปุ่ม</t>
  </si>
  <si>
    <t>Botón</t>
  </si>
  <si>
    <t>Botão</t>
  </si>
  <si>
    <t>ข้อผิดพลาด</t>
  </si>
  <si>
    <t>Erro</t>
  </si>
  <si>
    <t>Notificación</t>
  </si>
  <si>
    <t>Notificação</t>
  </si>
  <si>
    <t>อยู่ในระหว่างปิดปรับปรุง</t>
  </si>
  <si>
    <t>En mantenimiento.</t>
  </si>
  <si>
    <t>Em manutenção.</t>
  </si>
  <si>
    <t>ไม่ต้องแสดงอีก</t>
  </si>
  <si>
    <t>No volver a mostrar</t>
  </si>
  <si>
    <t>Não mostrar novamente</t>
  </si>
  <si>
    <t>ยอมรับข้อตกลงการใช้งาน</t>
  </si>
  <si>
    <t>Aceptar los Términos de uso</t>
  </si>
  <si>
    <t>Concordar com os Termos de Utilização</t>
  </si>
  <si>
    <t>เหตุผล: การละเมิดบริษัทและกระบวนการร้านค้าตลาดแบบเปิด</t>
  </si>
  <si>
    <t>Motivo: abuso de procesos de tiendas de mercado abierto y de la empresa</t>
  </si>
  <si>
    <t>Motivo: abuso dos processos da empresa e da loja de mercado livre.</t>
  </si>
  <si>
    <t>ต้องการดำเนินธุรกรรมซ้ำหรือไม่</t>
  </si>
  <si>
    <t>¿Volver a repetir la transacción?</t>
  </si>
  <si>
    <t>Deseja repetir a transação?</t>
  </si>
  <si>
    <t>ใช่</t>
  </si>
  <si>
    <t>Sí</t>
  </si>
  <si>
    <t>Sim</t>
  </si>
  <si>
    <t>ไม่ใช่</t>
  </si>
  <si>
    <t>Não</t>
  </si>
  <si>
    <t>ประกาศเรื่องการขอคืนเงินผลิตภัณฑ์ที่ไม่ถูกต้อง</t>
  </si>
  <si>
    <t>Aviso de recuperación de producto con reembolso no válido</t>
  </si>
  <si>
    <t>Aviso de recuperação de reembolso de produto inválida</t>
  </si>
  <si>
    <t>วันที่บัญชี</t>
  </si>
  <si>
    <t>Fecha de cuenta</t>
  </si>
  <si>
    <t>Data da conta</t>
  </si>
  <si>
    <t>หมายเลขคำสั่งซื้อ</t>
  </si>
  <si>
    <t>Número de pedido</t>
  </si>
  <si>
    <t>Número da encomenda</t>
  </si>
  <si>
    <t>ราคา</t>
  </si>
  <si>
    <t>Precio</t>
  </si>
  <si>
    <t>Preço</t>
  </si>
  <si>
    <t>ธุรกรรมเสร็จสมบูรณ์</t>
  </si>
  <si>
    <t>Transacción completada</t>
  </si>
  <si>
    <t>Transação concluída</t>
  </si>
  <si>
    <t>รีสตาร์ท</t>
  </si>
  <si>
    <t>Reiniciar</t>
  </si>
  <si>
    <t>เข้าสู่ระบบด้วย Apple</t>
  </si>
  <si>
    <t>Iniciar sesión con Apple</t>
  </si>
  <si>
    <t>Iniciar sessão com a Apple</t>
  </si>
  <si>
    <t>เข้าสู่ระบบด้วย Google</t>
  </si>
  <si>
    <t>Iniciar sesión con Google</t>
  </si>
  <si>
    <t>Iniciar sessão com o Google</t>
  </si>
  <si>
    <t>เข้าสู่ระบบด้วย Facebook</t>
  </si>
  <si>
    <t>Iniciar sesión con Facebook</t>
  </si>
  <si>
    <t>Iniciar sessão com o Facebook</t>
  </si>
  <si>
    <t>ตั้งค่าความปลอดภัย</t>
  </si>
  <si>
    <t>Ajustes de seguridad</t>
  </si>
  <si>
    <t>Definições de segurança</t>
  </si>
  <si>
    <t>การเข้าร่วม</t>
  </si>
  <si>
    <t>Uniéndose</t>
  </si>
  <si>
    <t>A juntar-se</t>
  </si>
  <si>
    <t>ยืนยันตัวตนของคุณ</t>
  </si>
  <si>
    <t>Confirma tu identidad</t>
  </si>
  <si>
    <t>Confirmar a sua identidade</t>
  </si>
  <si>
    <t>เวลาที่เหลือ: {1}</t>
  </si>
  <si>
    <t>Tiempo restante: {1}</t>
  </si>
  <si>
    <t>Tempo restante: {1}</t>
  </si>
  <si>
    <t>ส่งใหม่</t>
  </si>
  <si>
    <t>Reenviar</t>
  </si>
  <si>
    <t>รหัสยืนยันไม่ตรงกัน</t>
  </si>
  <si>
    <t>El código de verificación no coincide.</t>
  </si>
  <si>
    <t>O código de verificação não corresponde.</t>
  </si>
  <si>
    <t>ตั้งชื่อเล่น</t>
  </si>
  <si>
    <t>Fijar un apodo</t>
  </si>
  <si>
    <t>Definir um nome de utilizador</t>
  </si>
  <si>
    <t>ป้อนชื่อเล่น\r\n(สูงสุด 8 ตัวอักษร)</t>
  </si>
  <si>
    <t>Introduce un apodo.\r\n(Hasta 8 caracteres)</t>
  </si>
  <si>
    <t>Introduza um nome de utilizador.\r\n(Até 8 caracteres)</t>
  </si>
  <si>
    <t>ตั้ง</t>
  </si>
  <si>
    <t>Definir</t>
  </si>
  <si>
    <t>ตั้งชื่อเล่นแล้ว</t>
  </si>
  <si>
    <t>Apodo establecido.</t>
  </si>
  <si>
    <t>Foi definido um nome de utilizador.</t>
  </si>
  <si>
    <t>ชื่อเล่นไม่ถูกต้อง โปรดตรวจสอบอีกครั้ง</t>
  </si>
  <si>
    <t>El apodo no es válido. Compruébalo de nuevo.</t>
  </si>
  <si>
    <t>O nome de utilizador não é válido. Volte a verificar.</t>
  </si>
  <si>
    <t>หยุดรอ</t>
  </si>
  <si>
    <t>Detener espera</t>
  </si>
  <si>
    <t>Parar de esperar</t>
  </si>
  <si>
    <t>ดำเนินการดาวน์โหลดเพิ่มเติมต่อ: &lt;span color="#FF0000"&gt;{1}&lt;/&gt;</t>
  </si>
  <si>
    <t>Continuar con descarga adicional: &lt;span color="#FF0000"&gt;{1}&lt;/&gt;</t>
  </si>
  <si>
    <t>Prosseguir com a transferência adicional: &lt;span color="#FF0000"&gt;{1}&lt;/&gt;</t>
  </si>
  <si>
    <t>ดาวน์โหลดและเล่นมินิเกม</t>
  </si>
  <si>
    <t>Descargar y jugar a minijuego</t>
  </si>
  <si>
    <t>Transferir e jogar minijogo</t>
  </si>
  <si>
    <t>ย้อนกลับ</t>
  </si>
  <si>
    <t>Atrás</t>
  </si>
  <si>
    <t>Voltar</t>
  </si>
  <si>
    <t>เริ่มเกม</t>
  </si>
  <si>
    <t>Iniciar juego</t>
  </si>
  <si>
    <t>Iniciar jogo</t>
  </si>
  <si>
    <t>ดาวน์โหลด</t>
  </si>
  <si>
    <t>Descargar</t>
  </si>
  <si>
    <t>Transferir</t>
  </si>
  <si>
    <t>คุณยินยอมที่จะรับการแจ้งเตือน</t>
  </si>
  <si>
    <t>Has aceptado recibir notificaciones.</t>
  </si>
  <si>
    <t>Aceitou receber notificações.</t>
  </si>
  <si>
    <t>คุณปฏิเสธที่จะรับการแจ้งเตือน</t>
  </si>
  <si>
    <t>Has rechazado recibir notificaciones.</t>
  </si>
  <si>
    <t>Rejeitou receber notificações.</t>
  </si>
  <si>
    <t>คุณไม่ยอมรับโฆษณาเวลากลางคืน</t>
  </si>
  <si>
    <t>Has rechazado recibir publicidad durante la noche.</t>
  </si>
  <si>
    <t>Rejeitou receber publicidade em horário noturno.</t>
  </si>
  <si>
    <t>ไม่มีข้อมูล\r\nกรุณาตรวจสอบอีกครั้ง</t>
  </si>
  <si>
    <t>La información no existe.\r\nVuelve a comprobarlo.</t>
  </si>
  <si>
    <t>A informação não existe.\r\nVolte a verificar.</t>
  </si>
  <si>
    <t>ตั้งค่าการอนุญาตสิทธิ์</t>
  </si>
  <si>
    <t>Ajustes de permisos</t>
  </si>
  <si>
    <t>Definições de permissões</t>
  </si>
  <si>
    <t>รีสตาร์ทเกมจากตัวเรียกใช้งานเกม</t>
  </si>
  <si>
    <t>Inicia el juego desde el iniciador.</t>
  </si>
  <si>
    <t>Iniciar o jogo a partir do launcher.</t>
  </si>
  <si>
    <t>กำลังอยู่ในระหว่างปิดปรับปรุง\r\nขณะนี้เรากำลังปิดปรับปรุงเพื่อให้สามารถมอบประสบการณ์เกมเพลย์ที่เพลิดเพลินยิ่งขึ้นได้</t>
  </si>
  <si>
    <t>En mantenimiento\r\nEstamos realizando labores de mantenimiento para ofrecer una jugabilidad más agradable.</t>
  </si>
  <si>
    <t>Em manutenção\r\nDe momento, estamos em baixo para manutenção de modo a fornecermos um jogo mais agradável.</t>
  </si>
  <si>
    <t>ประกาศ</t>
  </si>
  <si>
    <t>Aviso</t>
  </si>
  <si>
    <t>คำขอการยืนยัน</t>
  </si>
  <si>
    <t>Petición de confirmación</t>
  </si>
  <si>
    <t>Pedido de confirmação</t>
  </si>
  <si>
    <t>คุณต้องการออกจากเกมหรือไม่</t>
  </si>
  <si>
    <t>¿Quieres salir del juego?</t>
  </si>
  <si>
    <t>Deseja sair do jogo?</t>
  </si>
  <si>
    <t>เกิดข้อผิดพลาดแพทช์ขึ้น กำลังออกจากเกม\r\nตรวจสอบให้แน่ใจว่ามีพื้นที่ว่างในดิสก์เพียงพอ</t>
  </si>
  <si>
    <t>Error de parche. Saliendo del juego.\r\nAsegúrate de que el disco tiene espacio suficiente.</t>
  </si>
  <si>
    <t>Ocorreu um erro no patch. A sair do jogo.\r\nCertifique-se de que o seu disco tem espaço suficiente disponível.</t>
  </si>
  <si>
    <t>แตะหน้าจอ</t>
  </si>
  <si>
    <t>Toca la pantalla</t>
  </si>
  <si>
    <t>Toque no ecrã</t>
  </si>
  <si>
    <t>เข้าสู่ระบบล่าสุด</t>
  </si>
  <si>
    <t>Inicios de sesión recientes</t>
  </si>
  <si>
    <t>Inícios de sessão recentes</t>
  </si>
  <si>
    <t>เปลี่ยนเซิร์ฟเวอร์</t>
  </si>
  <si>
    <t>Cambiar servidor</t>
  </si>
  <si>
    <t>Alterar servidor</t>
  </si>
  <si>
    <t>ออก</t>
  </si>
  <si>
    <t>Salir</t>
  </si>
  <si>
    <t>Sair</t>
  </si>
  <si>
    <t>กำลังดาวน์โหลดไฟล์ที่จำเป็นสำหรับเล่นเกม</t>
  </si>
  <si>
    <t>Descargando archivos necesarios para jugar.</t>
  </si>
  <si>
    <t>A transferir ficheiros necessários para o jogo.</t>
  </si>
  <si>
    <t>ดาวน์โหลดและติดตั้งข้อมูลทรัพยากรแล้ว</t>
  </si>
  <si>
    <t>Datos de recurso descargados e instalados</t>
  </si>
  <si>
    <t>Dados de recursos transferidos e instalados</t>
  </si>
  <si>
    <t>ขาดการเชื่อมต่อกับเซิร์ฟเวอร์</t>
  </si>
  <si>
    <t>Conexión al servidor perdida.</t>
  </si>
  <si>
    <t>Perda de ligação ao servidor.</t>
  </si>
  <si>
    <t>ดาวน์โหลดตารางแล้ว</t>
  </si>
  <si>
    <t>Tablas descargadas</t>
  </si>
  <si>
    <t>Tabelas transferidas</t>
  </si>
  <si>
    <t>โหลดไฟล์แพทช์แล้ว</t>
  </si>
  <si>
    <t>Archivos de revisión cargados</t>
  </si>
  <si>
    <t>Ficheiros do patch carregados</t>
  </si>
  <si>
    <t>รวมแสงเงาแล้ว</t>
  </si>
  <si>
    <t>Sombreadores compilados</t>
  </si>
  <si>
    <t>Shaders compilados</t>
  </si>
  <si>
    <t>คะแนนสูงสุด</t>
  </si>
  <si>
    <t>Puntuación más alta</t>
  </si>
  <si>
    <t>Melhor pontuação</t>
  </si>
  <si>
    <t>แพ้แล้ว\r\nแตะหน้าจอ</t>
  </si>
  <si>
    <t>Derrotado.\r\nPulsa la pantalla.</t>
  </si>
  <si>
    <t>Derrotado.\r\nToque no ecrã.</t>
  </si>
  <si>
    <t>แตะหน้าจอเพื่อเล่นมินิเกมต่อ</t>
  </si>
  <si>
    <t>Pulsa la pantalla para reanudar el minijuego.</t>
  </si>
  <si>
    <t>Toque no ecrã para retomar o minijogo.</t>
  </si>
  <si>
    <t>ปฏิเสธ</t>
  </si>
  <si>
    <t>Rechazar</t>
  </si>
  <si>
    <t>Rejeitar</t>
  </si>
  <si>
    <t>อนุญาต</t>
  </si>
  <si>
    <t>Permitir</t>
  </si>
  <si>
    <t>DataOnOff</t>
  </si>
  <si>
    <t>데이터적용여부</t>
  </si>
  <si>
    <t>0 : Json 추출 시 해당 행 추출되지 않음
1 : 해당 행을 추출함</t>
  </si>
  <si>
    <t>!Refer</t>
  </si>
  <si>
    <t>!</t>
  </si>
  <si>
    <t>국내업데이트</t>
  </si>
  <si>
    <t>국내업데이트 날짜를 MM.YY.DD 형식으로 기입</t>
  </si>
  <si>
    <t>수정업데이트</t>
  </si>
  <si>
    <t>국내 수정업데이트 날짜를 MM.YY.DD 형식으로 기입</t>
  </si>
  <si>
    <t>글로벌업데이트</t>
  </si>
  <si>
    <t>글로벌 업데이트 날짜를 MM.YY.DD 형식으로 기입</t>
  </si>
  <si>
    <t>DataOnOff_G</t>
  </si>
  <si>
    <t>글로벌 OnOFF</t>
  </si>
  <si>
    <t>글로벌 데이터의 OnOff 값 / 0:적용안함, 1:추출적용</t>
  </si>
  <si>
    <t>ดาวน์โหลดแบคกราวด์สำเร็จ</t>
  </si>
  <si>
    <t>Descarga en segundo plano completa</t>
  </si>
  <si>
    <t>Download em segundo plano completo</t>
  </si>
  <si>
    <t>ไคลเอนต์อื่นกำลังถูกอัปเดต\r\nเริ่มเกมใหม่หลังจากการอัปเดตเสร็จสมบูรณ์</t>
  </si>
  <si>
    <t>Se está actualizando otro cliente.\r\nReinicia el juego cuando se complete la actualización.</t>
  </si>
  <si>
    <t>Está a ser atualizado outro cliente.\r\nReinicie o jogo após a atualização estar concluída.</t>
  </si>
  <si>
    <t>แพทช์ล้มเหลวเนื่องจากเกมไม่เชื่อมต่อกับเซิร์ฟเวอร์\r\nตรวจสอบการเชื่อมต่อเครือข่ายของคุณ</t>
  </si>
  <si>
    <t>El parche falló porque el juego no está conectado al servidor.\r\nComprueba tu conexión de red.</t>
  </si>
  <si>
    <t>A aplicação do patch falhou porque o jogo não está ligado ao servidor\r\nVerifique a sua ligação à rede.</t>
  </si>
  <si>
    <t>แจ้งเตือน</t>
  </si>
  <si>
    <t>มีข้อมูลอัปเดตใหม่\r\nโปรดเริ่มเกมใหม่</t>
  </si>
  <si>
    <t>Hay nueva información de actualización.\r\nReinicia el juego.</t>
  </si>
  <si>
    <t>Há novas informações de atualização.\r\nReinicie o jogo.</t>
  </si>
  <si>
    <t>ป้อนรหัส</t>
  </si>
  <si>
    <t>Introduce el código.</t>
  </si>
  <si>
    <t>Insira o código.</t>
  </si>
  <si>
    <t>ป้อนรหัสผ่าน</t>
  </si>
  <si>
    <t>Introduce la contraseña.</t>
  </si>
  <si>
    <t>Insira a palavra-passe.</t>
  </si>
  <si>
    <t>機種変更した場合も現在のデータを引き継いでゲームを楽しむには、\r\n引き継ぎ用のパスワードを設定してください</t>
  </si>
  <si>
    <t>入力したコードが存在しません\r\n再度ご確認ください</t>
  </si>
  <si>
    <t>入力したコードのパスワードが一致しません\r\n再度ご確認ください</t>
  </si>
  <si>
    <t>認証に失敗しました</t>
  </si>
  <si>
    <t>パスワード設定が完了しました</t>
  </si>
  <si>
    <t>メンテナンス中です</t>
  </si>
  <si>
    <t>認証確認番号が一致しません</t>
  </si>
  <si>
    <t>ニックネームを入力してください\r\n(ひらがな・カタカナ最大8文字まで入力可能)</t>
  </si>
  <si>
    <t>ニックネーム設定が完了しました</t>
  </si>
  <si>
    <t>ニックネーム入力条件を満たしていません。再度ご確認ください</t>
  </si>
  <si>
    <t>通知受信に同意しました</t>
  </si>
  <si>
    <t>通知受信を拒否しました</t>
  </si>
  <si>
    <t>夜間のマーケティング情報受信を拒否しました</t>
  </si>
  <si>
    <t>存在しない情報です\r\n再度ご確認ください</t>
  </si>
  <si>
    <t>ゲームはランチャーで実行してください</t>
  </si>
  <si>
    <t>サービスメンテナンス中\r\nより安全で快適なゲームサービスをご提供できるようメンテナンスを実施中です</t>
  </si>
  <si>
    <t>パッチエラーが発生したため、ゲームを終了します\r\nディスク容量が充分であることをご確認ください</t>
  </si>
  <si>
    <t>他のクライアントがパッチアップデート中です\r\nアップデート完了後にリトライしてください</t>
  </si>
  <si>
    <t>サーバーに接続できないためパッチを適用できません\r\nネットワーク状態を確認してください</t>
  </si>
  <si>
    <t>新しいアップデート情報があります\r\nゲームを再起動してください</t>
  </si>
  <si>
    <t>コードを入力してください</t>
  </si>
  <si>
    <t>パスワードを入力してください</t>
  </si>
  <si>
    <t>画面をタッチしてください</t>
  </si>
  <si>
    <t>ゲームプレイに必要なファイルをダウンロードしています</t>
  </si>
  <si>
    <t>サーバーとの接続が切れました</t>
  </si>
  <si>
    <t>敗北しました\r\n画面をタッチしてください</t>
  </si>
  <si>
    <t>画面をタッチすると、ミニゲームを再開します</t>
  </si>
  <si>
    <t>클라 특정 에러 코드 추가 2021/09/09</t>
    <phoneticPr fontId="2" type="noConversion"/>
  </si>
  <si>
    <t>백그라운드 다운로드 안내 메시지</t>
    <phoneticPr fontId="2" type="noConversion"/>
  </si>
  <si>
    <t>홈화면에서도 다운로드가 계속 진행됩니다.</t>
    <phoneticPr fontId="2" type="noConversion"/>
  </si>
  <si>
    <t>2021.11.25</t>
    <phoneticPr fontId="2" type="noConversion"/>
  </si>
  <si>
    <t>2021.11.30</t>
    <phoneticPr fontId="2" type="noConversion"/>
  </si>
  <si>
    <t>새로운 버전이 있습니다.\r\n게임 종료를 선택하여 재 시작하세요.</t>
    <phoneticPr fontId="2" type="noConversion"/>
  </si>
  <si>
    <t>레드마인: 48399_윈도우상태_팝업내용_211104_김선묵</t>
    <phoneticPr fontId="2" type="noConversion"/>
  </si>
  <si>
    <t>存在最新版本。\r\n請點擊「遊戲結束」後重啟。</t>
  </si>
  <si>
    <t>存在最新版本。\r\n请点击"游戏结束"后重启。</t>
  </si>
  <si>
    <t>新しいバージョンがあります\r\n「ゲーム終了」を選択して再起動してください。</t>
  </si>
  <si>
    <t>There is new update information.\r\nSelect 'Exit game' to restart.</t>
  </si>
  <si>
    <t>เวอร์ชั่นใหม่มาแล้ว\r\nปิดเกมเพื่อรีสตาร์ท</t>
  </si>
  <si>
    <t>Hay una versión más reciente disponible.\r\nExit game para reiniciar.</t>
  </si>
  <si>
    <t>Está disponível uma nova versão.\r\nSaia do game para reiniciar.</t>
  </si>
  <si>
    <t>글로벌_리전선택_윤다솔 / 서버들이 위치한 지역을 의미. ASIA, EU등</t>
    <phoneticPr fontId="2" type="noConversion"/>
  </si>
  <si>
    <t>Area</t>
  </si>
  <si>
    <t>地區</t>
  </si>
  <si>
    <t>地区</t>
  </si>
  <si>
    <t>พื้นที่</t>
  </si>
  <si>
    <t>Zona</t>
  </si>
  <si>
    <t>Área</t>
  </si>
  <si>
    <t>Exit game</t>
    <phoneticPr fontId="2" type="noConversion"/>
  </si>
  <si>
    <t>結束遊戲</t>
    <phoneticPr fontId="2" type="noConversion"/>
  </si>
  <si>
    <t>游戏结束</t>
    <phoneticPr fontId="2" type="noConversion"/>
  </si>
  <si>
    <t>ゲーム終了</t>
    <phoneticPr fontId="2" type="noConversion"/>
  </si>
  <si>
    <t>ออกจากเกม</t>
    <phoneticPr fontId="2" type="noConversion"/>
  </si>
  <si>
    <t>Salir del juego</t>
    <phoneticPr fontId="2" type="noConversion"/>
  </si>
  <si>
    <t>Sair do jogo</t>
    <phoneticPr fontId="2" type="noConversion"/>
  </si>
  <si>
    <t>로그인 계정을 선택해 주세요.</t>
    <phoneticPr fontId="2" type="noConversion"/>
  </si>
  <si>
    <t>Choose an account to sign in.</t>
    <phoneticPr fontId="2" type="noConversion"/>
  </si>
  <si>
    <t>請選擇登入帳號。</t>
    <phoneticPr fontId="2" type="noConversion"/>
  </si>
  <si>
    <t>请选择登录账号。</t>
    <phoneticPr fontId="2" type="noConversion"/>
  </si>
  <si>
    <t>ログインアカウントを選択してください</t>
    <phoneticPr fontId="2" type="noConversion"/>
  </si>
  <si>
    <t>เลือกบัญชีที่จะเข้าสู่ระบบ</t>
    <phoneticPr fontId="2" type="noConversion"/>
  </si>
  <si>
    <t>Elige una cuenta para iniciar sesión.</t>
    <phoneticPr fontId="2" type="noConversion"/>
  </si>
  <si>
    <t>Escolha uma conta para iniciar sessão.</t>
    <phoneticPr fontId="2" type="noConversion"/>
  </si>
  <si>
    <t>계정이 없을 경우 &lt;span color="#c03838"&gt;GUEST&lt;/&gt;를 선택하시면 됩니다.</t>
    <phoneticPr fontId="2" type="noConversion"/>
  </si>
  <si>
    <t>If you don't have an account, you can choose &lt;span color="#c03838"&gt;GUEST&lt;/&gt;.</t>
    <phoneticPr fontId="2" type="noConversion"/>
  </si>
  <si>
    <t>若尚無帳號，請選擇&lt;span color="#c03838"&gt;遊客帳號登入&lt;/&gt;。</t>
    <phoneticPr fontId="2" type="noConversion"/>
  </si>
  <si>
    <t>若尚无账号，请选择&lt;span color="#c03838"&gt;游客账号登录&lt;/&gt;。</t>
    <phoneticPr fontId="2" type="noConversion"/>
  </si>
  <si>
    <t>アカウントがない場合は&lt;span color="#c03838"&gt;GUEST&lt;/&gt;を選択してください</t>
    <phoneticPr fontId="2" type="noConversion"/>
  </si>
  <si>
    <t>หากคุณไม่มีบัญชี คุณสามารถเลือก &lt;span color="#c03838"&gt;ผู้เยี่ยมชม&lt;/&gt;</t>
    <phoneticPr fontId="2" type="noConversion"/>
  </si>
  <si>
    <t>Si no tienes una cuenta, puedes elegir &lt;span color="#c03838"&gt;INVITADO&lt;/&gt;.</t>
    <phoneticPr fontId="2" type="noConversion"/>
  </si>
  <si>
    <t>Caso não disponha de uma conta, pode escolher &lt;span color="#c03838"&gt;CONVIDADO&lt;/&gt;.</t>
    <phoneticPr fontId="2" type="noConversion"/>
  </si>
  <si>
    <t>Guest 로그인 주의 사항</t>
    <phoneticPr fontId="2" type="noConversion"/>
  </si>
  <si>
    <t>遊客帳號登入注意事項</t>
    <phoneticPr fontId="2" type="noConversion"/>
  </si>
  <si>
    <t>游客账号登录注意事项</t>
    <phoneticPr fontId="2" type="noConversion"/>
  </si>
  <si>
    <t>Alerta de inicio de sesión como invitado</t>
    <phoneticPr fontId="2" type="noConversion"/>
  </si>
  <si>
    <t>Aviso de início de sessão como convidado</t>
    <phoneticPr fontId="2" type="noConversion"/>
  </si>
  <si>
    <t>게스트 계정은 &lt;span color="#c03838"&gt;앱 삭제 및 재설치, 기기 변경&lt;/&gt;시 게임 &lt;span color="#c03838"&gt;플레이\r\n 정보 및 결제 내역 보호가 어려워,&lt;/&gt; 사라진 게스트 계정 데이터\r\n에 대해 &lt;span color="#c03838"&gt;복구 진행이 어려울&lt;/&gt; 수 있습니다.\r\n&lt;span color="#3e94dd"&gt;안전한&lt;/&gt; 데이터 보관을 위해서 &lt;span color="#3e94dd"&gt;계정 연동&lt;/&gt; (구글/페이스북)을\r\n권장합니다.</t>
    <phoneticPr fontId="2" type="noConversion"/>
  </si>
  <si>
    <t>If you &lt;span color="#c03838"&gt;delete or reinstall the app, or change your device&lt;/&gt; while playing with a guest account, &lt;span color="#c03838"&gt;your gameplay data and purchase history will not be protected,&lt;/&gt; and your lost guest account data &lt;span color="#c03838"&gt;may not be recovered&lt;/&gt;.\r\n&lt;span color="#3e94dd"&gt;To secure&lt;/&gt; your data, &lt;span color="#3e94dd"&gt;linking your account&lt;/&gt; to Google or Facebook is recommended.</t>
    <phoneticPr fontId="2" type="noConversion"/>
  </si>
  <si>
    <t>若以遊客帳號登入，當&lt;span color="#c03838"&gt;卸載、重新安裝應用程式及變更裝置&lt;/&gt;時，&lt;span color="#c03838"&gt;遊戲\r\n資訊及購買記錄將無法受到保護，&lt;/&gt;遊客帳號的資料\r\n一經消失&lt;span color="#c03838"&gt;將無法還原&lt;/&gt;。\r\n為保障資料&lt;span color="#3e94dd"&gt;安全&lt;/&gt;，\r\n建議您&lt;span color="#3e94dd"&gt;綁定帳號&lt;/&gt;（Google／Facebook）。</t>
    <phoneticPr fontId="2" type="noConversion"/>
  </si>
  <si>
    <t>ゲストアカウントは&lt;span color="#c03838"&gt;アプリ削除や再インストール、機種変更&lt;/&gt;の際にゲームの&lt;span color="#c03838"&gt;プレイ情報や決済内訳の保護が難しいため、&lt;/&gt;ゲストアカウントのデータが消失した場合は&lt;span color="#c03838"&gt;復旧できなくなる&lt;/&gt;可能性があります\r\n&lt;span color="#3e94dd"&gt;安全に&lt;/&gt;データを保存するには、&lt;span color="#3e94dd"&gt;アカウント連携&lt;/&gt;(Google/Facebook)を推奨します</t>
    <phoneticPr fontId="2" type="noConversion"/>
  </si>
  <si>
    <t>หากคุณ&lt;span color="#c03838"&gt;ลบหรือติดตั้งแอปใหม่ หรือเปลี่ยนอุปกรณ์ของคุณ&lt;/&gt; ขณะเล่นด้วยบัญชีผู้เยี่ยมชม ข้อมูล&lt;span color="#c03838"&gt;การเล่นเกม\r\nและประวัติการซื้อของคุณจะไม่ได้รับการป้องกัน&lt;/&gt; และข้อมูลบัญชีผู้เยี่ยมชมที่สูญหายจะ\r\n&lt;span color="#c03838"&gt;ไม่สามารถกู้คืนได้&lt;/&gt;\r\n&lt;span color="#3e94dd"&gt;หากต้องการปกป้อง&lt;/&gt;ข้อมูลของคุณ ขอแนะนำให้&lt;span color="#3e94dd"&gt;เชื่อมโยงบัญชีของคุณ&lt;/&gt;กับ Google หรือ Facebook\r\n</t>
    <phoneticPr fontId="2" type="noConversion"/>
  </si>
  <si>
    <t>Si &lt;span color="#c03838"&gt;eliminas o reinstalas la aplicación, o cambias de dispositivo&lt;/&gt; jugando como invitado, &lt;span color="#c03838"&gt;tus datos\r\nde juego e historial de compra no estarán protegidos&lt;/&gt; y no podrás recuperar los datos perdidos\r\n&lt;span color="#c03838"&gt;de tu cuenta de invitado&lt;/&gt;.\r\n&lt;span color="#3e94dd"&gt;Para proteger&lt;/&gt; los datos, te recomendamos &lt;span color="#3e94dd"&gt;vincular la cuenta&lt;/&gt;\r\na Google o Facebook.</t>
    <phoneticPr fontId="2" type="noConversion"/>
  </si>
  <si>
    <t>Caso &lt;span color="#c03838"&gt;elimine ou reinstale esta aplicação, ou no caso de trocar de dispositivo&lt;/&gt; enquanto joga com uma conta de convidado, &lt;span color="#c03838"&gt;os seus dados\r\nde jogo e histórico de compras não estarão protegidos&lt;/&gt; e os dados da sua conta de convidado\r\n&lt;span color="#c03838"&gt;poderão não ser recuperáveis&lt;/&gt;.\r\n&lt;span color="#3e94dd"&gt;Para proteger&lt;/&gt; os seus dados, &lt;span color="#3e94dd"&gt;recomendamos que associe a sua conta&lt;/&gt; com o Google ou o Facebook\r\n.</t>
    <phoneticPr fontId="2" type="noConversion"/>
  </si>
  <si>
    <t>게스트 계정으로 로그인 하시겠습니까?</t>
    <phoneticPr fontId="2" type="noConversion"/>
  </si>
  <si>
    <t>Do you want to sign in with a guest account?</t>
    <phoneticPr fontId="2" type="noConversion"/>
  </si>
  <si>
    <t>是否以遊客帳號登入遊戲？</t>
    <phoneticPr fontId="2" type="noConversion"/>
  </si>
  <si>
    <t>是否以游客账号登录游戏？</t>
    <phoneticPr fontId="2" type="noConversion"/>
  </si>
  <si>
    <t>ゲストアカウントでログインしますか？</t>
    <phoneticPr fontId="2" type="noConversion"/>
  </si>
  <si>
    <t>คุณต้องการเข้าสู่ระบบด้วยบัญชีผู้เยี่ยมชมหรือไม่</t>
    <phoneticPr fontId="2" type="noConversion"/>
  </si>
  <si>
    <t>¿Quieres iniciar sesión con cuenta de invitado?</t>
    <phoneticPr fontId="2" type="noConversion"/>
  </si>
  <si>
    <t>Deseja iniciar sessão com uma conta de convidado?</t>
    <phoneticPr fontId="2" type="noConversion"/>
  </si>
  <si>
    <t>계정 선택</t>
    <phoneticPr fontId="2" type="noConversion"/>
  </si>
  <si>
    <t>Choose an account</t>
    <phoneticPr fontId="2" type="noConversion"/>
  </si>
  <si>
    <t>選擇帳號</t>
    <phoneticPr fontId="2" type="noConversion"/>
  </si>
  <si>
    <t>选择账号</t>
    <phoneticPr fontId="2" type="noConversion"/>
  </si>
  <si>
    <t>アカウント選択</t>
    <phoneticPr fontId="2" type="noConversion"/>
  </si>
  <si>
    <t>เลือกบัญชี</t>
    <phoneticPr fontId="2" type="noConversion"/>
  </si>
  <si>
    <t>Elige una cuenta</t>
    <phoneticPr fontId="2" type="noConversion"/>
  </si>
  <si>
    <t>Escolha uma conta</t>
    <phoneticPr fontId="2" type="noConversion"/>
  </si>
  <si>
    <t>Guest로 시작</t>
    <phoneticPr fontId="2" type="noConversion"/>
  </si>
  <si>
    <t>Start as a guest</t>
    <phoneticPr fontId="2" type="noConversion"/>
  </si>
  <si>
    <t>遊客帳號登入</t>
    <phoneticPr fontId="2" type="noConversion"/>
  </si>
  <si>
    <t>游客账号登录</t>
    <phoneticPr fontId="2" type="noConversion"/>
  </si>
  <si>
    <t>Guestでスタート</t>
    <phoneticPr fontId="2" type="noConversion"/>
  </si>
  <si>
    <t>เริ่มต้นในฐานะผู้เยี่ยมชม</t>
    <phoneticPr fontId="2" type="noConversion"/>
  </si>
  <si>
    <t>Empezar como invitado</t>
    <phoneticPr fontId="2" type="noConversion"/>
  </si>
  <si>
    <t>Comece como convidado</t>
    <phoneticPr fontId="2" type="noConversion"/>
  </si>
  <si>
    <t>Enter your code and password issued from Sign in with Guest.</t>
    <phoneticPr fontId="2" type="noConversion"/>
  </si>
  <si>
    <t>請輸入遊客帳號登入時發放的代碼與所設定的密碼。</t>
    <phoneticPr fontId="2" type="noConversion"/>
  </si>
  <si>
    <t>请输入游客账号登录时发放的代码与所设置的密码。</t>
    <phoneticPr fontId="2" type="noConversion"/>
  </si>
  <si>
    <t>Sign in with Guestで発行されたコードと設定したパスワードを入力してください</t>
    <phoneticPr fontId="2" type="noConversion"/>
  </si>
  <si>
    <t>ป้อนรหัสของคุณและรหัสผ่านที่สร้างจากการลงชื่อเข้าใช้แบบแขกรับเชิญ</t>
    <phoneticPr fontId="2" type="noConversion"/>
  </si>
  <si>
    <t>Introduce tu código y contraseña emitidos para iniciar sesión como invitado.</t>
    <phoneticPr fontId="2" type="noConversion"/>
  </si>
  <si>
    <t>Introduza o seu código e palavra-passe emitida a partir do Início de sessão como convidado.</t>
    <phoneticPr fontId="2" type="noConversion"/>
  </si>
  <si>
    <t>계정 정보 확인</t>
    <phoneticPr fontId="2" type="noConversion"/>
  </si>
  <si>
    <t>Check account info</t>
    <phoneticPr fontId="2" type="noConversion"/>
  </si>
  <si>
    <t>確認帳號資訊</t>
    <phoneticPr fontId="2" type="noConversion"/>
  </si>
  <si>
    <t>确认账号信息</t>
    <phoneticPr fontId="2" type="noConversion"/>
  </si>
  <si>
    <t>アカウント情報確認</t>
    <phoneticPr fontId="2" type="noConversion"/>
  </si>
  <si>
    <t>ตรวจสอบข้อมูลบัญชี</t>
    <phoneticPr fontId="2" type="noConversion"/>
  </si>
  <si>
    <t>Comprobar datos de cuenta</t>
    <phoneticPr fontId="2" type="noConversion"/>
  </si>
  <si>
    <t>Verificar a informação da conta</t>
    <phoneticPr fontId="2" type="noConversion"/>
  </si>
  <si>
    <t>불러 오는 계정의 정보를 확인하세요.</t>
    <phoneticPr fontId="2" type="noConversion"/>
  </si>
  <si>
    <t>Check the account info.</t>
    <phoneticPr fontId="2" type="noConversion"/>
  </si>
  <si>
    <t>請確認載入的帳號資訊。</t>
    <phoneticPr fontId="2" type="noConversion"/>
  </si>
  <si>
    <t>请确认加载的账号信息。</t>
    <phoneticPr fontId="2" type="noConversion"/>
  </si>
  <si>
    <t>読み込みを行うアカウントの情報をご確認ください</t>
    <phoneticPr fontId="2" type="noConversion"/>
  </si>
  <si>
    <t>Comprueba los datos de cuenta.</t>
    <phoneticPr fontId="2" type="noConversion"/>
  </si>
  <si>
    <t>Verificar a informação da conta.</t>
    <phoneticPr fontId="2" type="noConversion"/>
  </si>
  <si>
    <t>주의: 계정을 불러올 경우 현재 단말기의 데이터는 삭제됩니다.</t>
    <phoneticPr fontId="2" type="noConversion"/>
  </si>
  <si>
    <t>Warning: If loaded, current data on your device will be lost.</t>
    <phoneticPr fontId="2" type="noConversion"/>
  </si>
  <si>
    <t>注意：載入帳號後，當前裝置的資料將自動刪除。</t>
    <phoneticPr fontId="2" type="noConversion"/>
  </si>
  <si>
    <t>注意：加载账号后，当前设备的数据将自动删除。</t>
    <phoneticPr fontId="2" type="noConversion"/>
  </si>
  <si>
    <t>注意：アカウントを読み込むと、現在の端末のデータは削除されます</t>
    <phoneticPr fontId="2" type="noConversion"/>
  </si>
  <si>
    <t>คำเตือน: หากคุณโหลดบัญชี ข้อมูลปัจจุบันบนอุปกรณ์จะสูญหาย</t>
    <phoneticPr fontId="2" type="noConversion"/>
  </si>
  <si>
    <t>Alerta: Si cargas la cuenta, perderás los datos actuales del dispositivo.</t>
    <phoneticPr fontId="2" type="noConversion"/>
  </si>
  <si>
    <t>Aviso: se carregar a conta, os dados atuais presentes no seu dispositivo serão perdidos.</t>
    <phoneticPr fontId="2" type="noConversion"/>
  </si>
  <si>
    <t>Guest</t>
    <phoneticPr fontId="2" type="noConversion"/>
  </si>
  <si>
    <t>遊客帳號</t>
    <phoneticPr fontId="2" type="noConversion"/>
  </si>
  <si>
    <t>游客账号</t>
    <phoneticPr fontId="2" type="noConversion"/>
  </si>
  <si>
    <t>ผู้เยี่ยมชม</t>
    <phoneticPr fontId="2" type="noConversion"/>
  </si>
  <si>
    <t>Invitado</t>
    <phoneticPr fontId="2" type="noConversion"/>
  </si>
  <si>
    <t>Convidado</t>
    <phoneticPr fontId="2" type="noConversion"/>
  </si>
  <si>
    <t>이미 연동된 계정입니다.</t>
    <phoneticPr fontId="2" type="noConversion"/>
  </si>
  <si>
    <t>The account is already linked.</t>
    <phoneticPr fontId="2" type="noConversion"/>
  </si>
  <si>
    <t>該帳號為已綁定帳號。</t>
    <phoneticPr fontId="2" type="noConversion"/>
  </si>
  <si>
    <t>该账号为已绑定账号。</t>
    <phoneticPr fontId="2" type="noConversion"/>
  </si>
  <si>
    <t>すでに連携されたアカウントです</t>
    <phoneticPr fontId="2" type="noConversion"/>
  </si>
  <si>
    <t>บัญชีเชื่อมโยงอยู่แล้ว</t>
    <phoneticPr fontId="2" type="noConversion"/>
  </si>
  <si>
    <t>La cuenta ya está vinculada.</t>
    <phoneticPr fontId="2" type="noConversion"/>
  </si>
  <si>
    <t>A conta já foi associada.</t>
    <phoneticPr fontId="2" type="noConversion"/>
  </si>
  <si>
    <t>The game has an additional patch of {1} to download. Do you want to proceed?\r\n(Additional data charges may incur on an LTE network.)\r\nWe recommend you download the patch on a Wi-Fi network.</t>
    <phoneticPr fontId="2" type="noConversion"/>
  </si>
  <si>
    <t>即将下载{1}扩展补丁。是否继续？\r\n（在LTE环境下下载将消耗移动数据流量，可能会产生额外费用。）\r\n建议在Wifi环境下载。</t>
    <phoneticPr fontId="2" type="noConversion"/>
  </si>
  <si>
    <t>{1}の追加パッチをダウンロードします\r\n続行しますか？\r\n※LTE環境では追加データ料金が発生することがあります。Wi-Fi環境でのご利用を推奨します</t>
    <phoneticPr fontId="2" type="noConversion"/>
  </si>
  <si>
    <t>เกมมีแพทช์เพิ่มเติมขนาด {1} ให้ดาวน์โหลด ต้องการดำเนินการหรือไม่\r\n(อาจมีการเรียกเก็บค่าบริการข้อมูลเพิ่มเติมบนเครือข่าย LTE)\r\nเราขอแนะนำให้คุณดาวน์โหลดแพทช์ผ่านทางเครือข่าย Wi-Fi</t>
    <phoneticPr fontId="2" type="noConversion"/>
  </si>
  <si>
    <t>Puedes descargarte un parche nuevo de {1} para el juego. ¿Quieres descargarlo?\r\n(En una red LTE se pueden aplicar cargos de datos adicionales).\r\nRecomendamos descargar el parche en una red wifi.</t>
    <phoneticPr fontId="2" type="noConversion"/>
  </si>
  <si>
    <t>O jogo dispõe de um patch adicional de {1} para transferência. Deseja prosseguir?\r\n(Poderão ser cobradas taxas adicionais de dados numa rede LTE.)\r\nRecomendamos que transfira o patch através de uma rede Wi-Fi.</t>
    <phoneticPr fontId="2" type="noConversion"/>
  </si>
  <si>
    <t>Trying again due to a patch error.\r\nPlease check your network connection. ({1})</t>
    <phoneticPr fontId="2" type="noConversion"/>
  </si>
  <si>
    <t>Volviendo a intentarlo por error de parche.\r\nComprueba tu conexión de red. ({1})</t>
    <phoneticPr fontId="2" type="noConversion"/>
  </si>
  <si>
    <t>Ocorreu um erro no patch, volte a tentar.\r\nVerifique a sua ligação à rede. ({1})</t>
    <phoneticPr fontId="2" type="noConversion"/>
  </si>
  <si>
    <t>Closing the game due to repeated patch errors.</t>
    <phoneticPr fontId="2" type="noConversion"/>
  </si>
  <si>
    <t>更新檔連續錯誤，遊戲結束。</t>
    <phoneticPr fontId="2" type="noConversion"/>
  </si>
  <si>
    <t>补丁不断出错，游戏结束。</t>
    <phoneticPr fontId="2" type="noConversion"/>
  </si>
  <si>
    <t>パッチエラーが繰り返されたため、ゲームを終了します</t>
    <phoneticPr fontId="2" type="noConversion"/>
  </si>
  <si>
    <t>กำลังปิดเกมเนื่องจากข้อผิดพลาดแพทช์ที่เกิดซ้ำ</t>
    <phoneticPr fontId="2" type="noConversion"/>
  </si>
  <si>
    <t>Cerrando el juego por sucesión de errores de parche.</t>
    <phoneticPr fontId="2" type="noConversion"/>
  </si>
  <si>
    <t>A fechar o jogo devido à repetição de erros de patch.</t>
    <phoneticPr fontId="2" type="noConversion"/>
  </si>
  <si>
    <t>Newer version detected.\r\nPress OK to start updating the game.\r\nRestart the game after the update.</t>
    <phoneticPr fontId="2" type="noConversion"/>
  </si>
  <si>
    <t>偵測到新版本。\r\n點擊確認開始更新。\r\n更新後請重新啟動遊戲。</t>
    <phoneticPr fontId="2" type="noConversion"/>
  </si>
  <si>
    <t>存在最新版本。\r\n点击确认开始更新。\r\n更新后请重启游戏。</t>
    <phoneticPr fontId="2" type="noConversion"/>
  </si>
  <si>
    <t>新しいバージョンがあります\r\n確認をタッチすると、アップデートが始まります\r\nアップデート後、ゲームを再起動してください</t>
    <phoneticPr fontId="2" type="noConversion"/>
  </si>
  <si>
    <t>ตรวจพบเวอร์ชันใหม่\r\nกด ตกลง เพื่อเริ่มต้นอัปเดตเกม\r\nรีสตาร์ทเกมหลังจากการอัปเดต</t>
    <phoneticPr fontId="2" type="noConversion"/>
  </si>
  <si>
    <t>Nueva versión detectada.\r\nPulsa Aceptar para actualizar el juego.\r\nReinicia el juego tras la actualización.</t>
    <phoneticPr fontId="2" type="noConversion"/>
  </si>
  <si>
    <t>Versão mais recente detetada.\r\nPressione OK para iniciar a atualização do jogo.\r\nReinicie o jogo após a atualização.</t>
    <phoneticPr fontId="2" type="noConversion"/>
  </si>
  <si>
    <t>The game is rated &lt;span color="#FF0000"&gt;Adults Only 18+&lt;/&gt;\r\nand may contain content unsuitable for children under the age of 18.</t>
    <phoneticPr fontId="2" type="noConversion"/>
  </si>
  <si>
    <t>本遊戲屬於&lt;span color="#FF0000"&gt;青少年不宜遊戲&lt;/&gt;，\r\n未滿18歲的青少年用戶無法使用。</t>
    <phoneticPr fontId="2" type="noConversion"/>
  </si>
  <si>
    <t>本游戏属于&lt;span color="#FF0000"&gt;青少年不宜游戏&lt;/&gt;，\r\n未满18岁的青少年用户无法使用。</t>
    <phoneticPr fontId="2" type="noConversion"/>
  </si>
  <si>
    <t>このゲームは&lt;span color="#FF0000"&gt;未成年者利用不可ゲームコンテンツ&lt;/&gt;のため、\r\n18歳未満の未成年者の方はご利用いただけません</t>
    <phoneticPr fontId="2" type="noConversion"/>
  </si>
  <si>
    <t>เกมจัดอยู่ในประเภท &lt;span color="#FF0000"&gt;ผู้ใหญ่อายุ 18+ เท่านั้น&lt;/&gt;\r\nและอาจมีเนื้อหาที่ไม่เหมาะสมสำหรับเยาวชนที่มีอายุต่ำกว่า 18 ปี</t>
    <phoneticPr fontId="2" type="noConversion"/>
  </si>
  <si>
    <t>El juego tiene la clasificación &lt;span color="#FF0000"&gt;Solo para +18 años&lt;/&gt;\r\ny puede incluir contenido no apto para menores de 18 años.</t>
    <phoneticPr fontId="2" type="noConversion"/>
  </si>
  <si>
    <t>O jogo está classificado como &lt;span color="#FF0000"&gt;Apenas para adultos 18+&lt;/&gt;\r\ne pode conter conteúdo desadequado para crianças com menos de 18 anos.</t>
    <phoneticPr fontId="2" type="noConversion"/>
  </si>
  <si>
    <t>계정 제재</t>
    <phoneticPr fontId="2" type="noConversion"/>
  </si>
  <si>
    <t>Account Suspension</t>
    <phoneticPr fontId="2" type="noConversion"/>
  </si>
  <si>
    <t>帳號被禁用中</t>
    <phoneticPr fontId="2" type="noConversion"/>
  </si>
  <si>
    <t>账号处罚</t>
    <phoneticPr fontId="2" type="noConversion"/>
  </si>
  <si>
    <t>アカウント制限</t>
    <phoneticPr fontId="2" type="noConversion"/>
  </si>
  <si>
    <t>การระงับบัญชี</t>
    <phoneticPr fontId="2" type="noConversion"/>
  </si>
  <si>
    <t>Suspensión de la cuenta</t>
    <phoneticPr fontId="2" type="noConversion"/>
  </si>
  <si>
    <t>Suspensão da conta</t>
    <phoneticPr fontId="2" type="noConversion"/>
  </si>
  <si>
    <t>이용 중인 계정에서는 운영정책위반 내역이 확인되어 계정이 정지 되었습니다.</t>
    <phoneticPr fontId="2" type="noConversion"/>
  </si>
  <si>
    <t>This account has been restricted due to a violation of our operational policy.</t>
    <phoneticPr fontId="2" type="noConversion"/>
  </si>
  <si>
    <t>當前使用的帳號被偵測到違反營運政策的行為，現已被停用。</t>
    <phoneticPr fontId="2" type="noConversion"/>
  </si>
  <si>
    <t>当前使用的账号被发现存在违反运营政策的行为，现已被停用。</t>
    <phoneticPr fontId="2" type="noConversion"/>
  </si>
  <si>
    <t>ご利用中のアカウントで運営ポリシーに違反する内容が確認されたため、アカウントが停止されました</t>
    <phoneticPr fontId="2" type="noConversion"/>
  </si>
  <si>
    <t>บัญชีนี้ถูกจำกัดเนื่องจากการละเมิดนโยบายการปฏิบัติงานของเรา</t>
    <phoneticPr fontId="2" type="noConversion"/>
  </si>
  <si>
    <t>Esta cuenta se ha restringido por infringir nuestra política operativa.</t>
    <phoneticPr fontId="2" type="noConversion"/>
  </si>
  <si>
    <t>Esta conta foi restringida devido a uma violação da nossa política operacional.</t>
    <phoneticPr fontId="2" type="noConversion"/>
  </si>
  <si>
    <t>정의된 계정에서 게임 이용은 불가하며, 관련 문의나 이의 제기는 고객센터로 문의바랍니다.</t>
    <phoneticPr fontId="2" type="noConversion"/>
  </si>
  <si>
    <t>You cannot play the game with a suspended account. Please visit Customer Service for information or to file an appeal.</t>
    <phoneticPr fontId="2" type="noConversion"/>
  </si>
  <si>
    <t>停用的帳號無法繼續使用遊戲，若有疑問或異議請諮詢客服中心。</t>
    <phoneticPr fontId="2" type="noConversion"/>
  </si>
  <si>
    <t>账号一旦被停用，将无法继续使用游戏，若有疑问或异议请咨询客服中心。</t>
    <phoneticPr fontId="2" type="noConversion"/>
  </si>
  <si>
    <t>定義されたアカウントでのゲームのご利用は不可能になります。この件に関するお問い合わせや異議の申し立ては、カスタマーサービスまでお問い合わせください</t>
    <phoneticPr fontId="2" type="noConversion"/>
  </si>
  <si>
    <t>คุณไม่สามารถเล่นเกมด้วยบัญชีที่ถูกระงับได้ โปรดไปที่ฝ่ายบริการลูกค้าของเราสำหรับข้อมูลเรื่องนี้หรือยื่นคำร้อง</t>
    <phoneticPr fontId="2" type="noConversion"/>
  </si>
  <si>
    <t>No puedes jugar con una cuenta suspendida. Visita nuestro Servicio al cliente para obtener más información o recurrir.</t>
    <phoneticPr fontId="2" type="noConversion"/>
  </si>
  <si>
    <t>Não poderá jogar o jogo com uma conta suspensa. Visite o nosso Serviço de Apoio ao Cliente para obter informações acerca deste assunto ou para apresentar um recurso.</t>
    <phoneticPr fontId="2" type="noConversion"/>
  </si>
  <si>
    <t>해당 계정에서는 더 이상 이용이 불가합니다.</t>
    <phoneticPr fontId="2" type="noConversion"/>
  </si>
  <si>
    <t>You can no longer continue with this account.</t>
    <phoneticPr fontId="2" type="noConversion"/>
  </si>
  <si>
    <t>該帳號已無法繼續使用。</t>
    <phoneticPr fontId="2" type="noConversion"/>
  </si>
  <si>
    <t>该账号已无法继续使用。</t>
    <phoneticPr fontId="2" type="noConversion"/>
  </si>
  <si>
    <t>このアカウントではこれ以上ご利用いただけません</t>
    <phoneticPr fontId="2" type="noConversion"/>
  </si>
  <si>
    <t>คุณไม่สามารถใช้บัญชีนี้ได้อีกต่อไป</t>
    <phoneticPr fontId="2" type="noConversion"/>
  </si>
  <si>
    <t>No puedes seguir usando esta cuenta.</t>
    <phoneticPr fontId="2" type="noConversion"/>
  </si>
  <si>
    <t>Não pode continuar com esta conta.</t>
    <phoneticPr fontId="2" type="noConversion"/>
  </si>
  <si>
    <t>현재 이용중인 계정에서 운영정책위반(회사 및 오픈마켓 스토어 프로세스 악용)이 확인되어, 게임 서비스 약관 및 운영정책에 따라 계정 이용이 영구적으로 제한됩니다.</t>
    <phoneticPr fontId="2" type="noConversion"/>
  </si>
  <si>
    <t>We have detected a violation of our Operational Policy (Abuse of Company and Open Market Store Process). Your account access will be permanently limited in accordance with our Terms of Use and Operational Policy.</t>
    <phoneticPr fontId="2" type="noConversion"/>
  </si>
  <si>
    <t>當前使用的帳號被發現存在違反營運政策的行為（惡意利用公司或自由市場商城的程序），根據遊戲服務條款及營運政策，帳號將被永久停用。</t>
    <phoneticPr fontId="2" type="noConversion"/>
  </si>
  <si>
    <t>当前使用的账号被发现存在违反运营政策的行为（恶意利用公司或自由市场商城的程序），根据游戏服务条款及运营政策，账号将被永久停用。</t>
    <phoneticPr fontId="2" type="noConversion"/>
  </si>
  <si>
    <t>現在ご利用中のアカウントの運営ポリシー違反(会社およびオープンマーケットストアのプロセス不正利用)が確認されたため、ゲームサービス利用規約および運営ポリシーに基づき、アカウント利用が永久的に制限されます</t>
    <phoneticPr fontId="2" type="noConversion"/>
  </si>
  <si>
    <t>เราได้ตรวจพบการละเมิดนโยบายการปฏิบัติการของเรา (ละเมิดกระบวนการของบริษัทและร้านค้าในตลาดแบบเปิด) การเข้าถึงบัญชีของคุณจะถูกระงับอย่างถาวรตามข้อตกลงการใช้งานและนโยบายการปฏิบัติการของเรา</t>
    <phoneticPr fontId="2" type="noConversion"/>
  </si>
  <si>
    <t>Se ha incumplido nuestra política operativa (Abuso de proceso de tienda de mercado abierto y empresa). El acceso a tu cuenta queda permanentemente limitado de acuerdo con los Términos de uso y la Política operativa.</t>
    <phoneticPr fontId="2" type="noConversion"/>
  </si>
  <si>
    <t>Please note that repeating the transaction is required for items where an invalid refund has been made in order to lift your account suspension and enable normal game use.</t>
    <phoneticPr fontId="2" type="noConversion"/>
  </si>
  <si>
    <t>注意：帳號解除封鎖後，恢復正常遊戲使用權時，須針對被非正常退款的商品進行重新付款。</t>
    <phoneticPr fontId="2" type="noConversion"/>
  </si>
  <si>
    <t>注意：在解禁账号，恢复正常游戏使用权时，须针对被非正常退款的商品进行重新付款。</t>
    <phoneticPr fontId="2" type="noConversion"/>
  </si>
  <si>
    <t>アカウント制限を解除して正常にゲームを利用するには、異常な返金が行われた商品に対する再決済が必要になります。ご了承ください</t>
    <phoneticPr fontId="2" type="noConversion"/>
  </si>
  <si>
    <t>โปรดทราบว่าจำเป็นต้องมีการการทำธุรกรรมซ้ำๆ ต่อไอเท็มที่ไม่สามารถขอเงินคืนได้เพื่อยกเลิกการระงับบัญชีและทำให้สามารถเล่นเกมได้ตามปกติ</t>
    <phoneticPr fontId="2" type="noConversion"/>
  </si>
  <si>
    <t>Repetir la transacción es obligatorio para artículos a los que se ha aplicado un reembolso no válido para retirar la suspensión de la cuenta y poder hacer uso normal del juego.</t>
    <phoneticPr fontId="2" type="noConversion"/>
  </si>
  <si>
    <t>Note que a repetição da transação é necessária para itens em que tenha sido efetuado um reembolso inválido, a fim de levantar a suspensão da sua conta e permitir a utilização normal do jogo.</t>
    <phoneticPr fontId="2" type="noConversion"/>
  </si>
  <si>
    <t>계정 정지 해제</t>
    <phoneticPr fontId="2" type="noConversion"/>
  </si>
  <si>
    <t>Account restriction removed</t>
    <phoneticPr fontId="2" type="noConversion"/>
  </si>
  <si>
    <t>帳號解除封鎖</t>
    <phoneticPr fontId="2" type="noConversion"/>
  </si>
  <si>
    <t>账号解封</t>
    <phoneticPr fontId="2" type="noConversion"/>
  </si>
  <si>
    <t>アカウント停止解除</t>
    <phoneticPr fontId="2" type="noConversion"/>
  </si>
  <si>
    <t>ยกเลิกการระงับบัญชีเรียบร้อยแล้ว</t>
    <phoneticPr fontId="2" type="noConversion"/>
  </si>
  <si>
    <t>Restricción de cuenta retirada</t>
    <phoneticPr fontId="2" type="noConversion"/>
  </si>
  <si>
    <t>Restrição de conta removida</t>
    <phoneticPr fontId="2" type="noConversion"/>
  </si>
  <si>
    <t>이용 중인 계정의 제재가 해제되었습니다.\r\n아래 재시작 버튼을 툴러 게임을 재실행해주세요.</t>
    <phoneticPr fontId="2" type="noConversion"/>
  </si>
  <si>
    <t>The suspension on your account has been lifted.\r\nPress the Restart button below to launch the game again.</t>
    <phoneticPr fontId="2" type="noConversion"/>
  </si>
  <si>
    <t>已解除對當前帳號的限制。\r\n請點擊下方的重啟按鍵重啟遊戲。</t>
    <phoneticPr fontId="2" type="noConversion"/>
  </si>
  <si>
    <t>已解除对当前账号的限制。\r\n请点击下方的重启按键重启游戏。</t>
    <phoneticPr fontId="2" type="noConversion"/>
  </si>
  <si>
    <t>ご利用中のアカウントの制限が解除されました\r\n下のリスタートボタンをタッチして、ゲームを再起動してください</t>
    <phoneticPr fontId="2" type="noConversion"/>
  </si>
  <si>
    <t>การระงับบัญชีของคุณถูกยกเลิกแล้ว\r\nกดปุ่ม รีสตาร์ท เพื่อเปิดเกมอีกครั้ง</t>
    <phoneticPr fontId="2" type="noConversion"/>
  </si>
  <si>
    <t>Se ha retirado la suspensión de tu cuenta.\r\nPulsa el botón Reiniciar para volver a iniciar el juego.</t>
    <phoneticPr fontId="2" type="noConversion"/>
  </si>
  <si>
    <t>A suspensão da sua conta foi cancelada.\r\nPressione o botão Reiniciar para voltar a executar o jogo.</t>
    <phoneticPr fontId="2" type="noConversion"/>
  </si>
  <si>
    <t>인증번호 오류</t>
    <phoneticPr fontId="2" type="noConversion"/>
  </si>
  <si>
    <t>Invalid verification code</t>
    <phoneticPr fontId="2" type="noConversion"/>
  </si>
  <si>
    <t>認證碼錯誤</t>
    <phoneticPr fontId="2" type="noConversion"/>
  </si>
  <si>
    <t>验证码错误</t>
    <phoneticPr fontId="2" type="noConversion"/>
  </si>
  <si>
    <t>認証番号エラー</t>
    <phoneticPr fontId="2" type="noConversion"/>
  </si>
  <si>
    <t>รหัสยืนยันไม่ถูกต้อง</t>
    <phoneticPr fontId="2" type="noConversion"/>
  </si>
  <si>
    <t>Código de verificación no válido</t>
    <phoneticPr fontId="2" type="noConversion"/>
  </si>
  <si>
    <t>Código de verificação inválido</t>
    <phoneticPr fontId="2" type="noConversion"/>
  </si>
  <si>
    <t>게임 탈퇴 완료 시 게임 내 모든 정보가 삭제됩니다.\r\n72시간 이내 재접속 시 복구가 가능하지만,\r\n72시간이 지난 후에는 모든 데이터가 삭제되어\r\n복구가 불가능합니다.\r\n게임 탈퇴를 진행하시겠습니까?</t>
    <phoneticPr fontId="2" type="noConversion"/>
  </si>
  <si>
    <t>If you delete your game account, all your in-game data will be lost.\r\nYou can recover the data by signing in again within 72 hours,\r\nbut after 72 hours, all your data will be deleted\r\nand cannot be recovered.\r\nAre you sure you want to delete your game account?</t>
    <phoneticPr fontId="2" type="noConversion"/>
  </si>
  <si>
    <t>成功刪除遊戲帳號後，遊戲內的所有資訊將自動刪除。\r\n72小時內登入時可以還原，\r\n超過72小時後，所有資料將被刪除\r\n且無法還原。\r\n是否刪除遊戲帳號？</t>
    <phoneticPr fontId="2" type="noConversion"/>
  </si>
  <si>
    <t>成功注销账号后，游戏内的所有信息将自动删除。\r\n72小时内登录时可以恢复，\r\n超过72小时后，所有数据将被删除\r\n且无法恢复。\r\n是否注销账号？</t>
    <phoneticPr fontId="2" type="noConversion"/>
  </si>
  <si>
    <t>ゲーム退会が完了すると、ゲーム内のすべての情報が削除されます\r\n72時間以内に再接続すると復旧できますが、\r\n72時間以降はすべてのデータが削除され、\r\n復旧できなくなります\r\nゲームから退会しますか？</t>
    <phoneticPr fontId="2" type="noConversion"/>
  </si>
  <si>
    <t>หากคุณลบบัญชีเกมของคุณ ข้อมูลภายในเกมทั้งหมดของคุณจะสูญหาย\r\nคุณสามารถกู้คืนข้อมูลได้ด้วยการลงชื่อเข้าใช้อีกครั้งภายใน 72 ชั่วโมง\r\nแต่หลังจาก 72 ชั่วโมงแล้ว ข้อมูลทั้งหมดของคุณจะถูกลบ\r\nและไม่สามารถกู้คืนได้อีก\r\nคุณแน่ใจหรือไม่ว่าต้องการลบบัญชีเกมของคุณ</t>
    <phoneticPr fontId="2" type="noConversion"/>
  </si>
  <si>
    <t>Si eliminas tu cuenta, perderás todos los datos del juego.\r\nPuedes recuperar los datos si vuelves a iniciar sesión antes de 72 horas;\r\ndespués, se borrarán todos tus datos\r\ny no podrás recuperarlos.\r\n¿Seguro que quieres eliminar tu cuenta de juego?</t>
    <phoneticPr fontId="2" type="noConversion"/>
  </si>
  <si>
    <t>Se eliminar a sua conta do jogo, perderá todos os seus dados de jogo.\r\nPoderá recuperar os dados voltando a iniciar sessão no prazo de 72 horas.\r\nNo entanto, após as 72 horas, todos os seus dados serão eliminados\r\ne não poderão ser recuperados.\r\nTem a certeza de que deseja eliminar a sua conta do jogo?</t>
    <phoneticPr fontId="2" type="noConversion"/>
  </si>
  <si>
    <t>게임 탈퇴를 진행하시려면\r\n반드시 계정 연동이 되어야 합니다.\r\n먼저 계정 연동을 진행하여 주세요.</t>
    <phoneticPr fontId="2" type="noConversion"/>
  </si>
  <si>
    <t>Your account must be linked\r\nin order to delete your game account.\r\nPlease link your account first.</t>
    <phoneticPr fontId="2" type="noConversion"/>
  </si>
  <si>
    <t>刪除遊戲帳號前必須\r\n先綁定帳號。\r\n請先綁定帳號。</t>
    <phoneticPr fontId="2" type="noConversion"/>
  </si>
  <si>
    <t>注销账号前必须\r\n先绑定账号。\r\n请先绑定账号。</t>
    <phoneticPr fontId="2" type="noConversion"/>
  </si>
  <si>
    <t>ゲーム退会をするには、\r\nアカウント連携が必要です\r\n先にアカウント連携を行ってください</t>
    <phoneticPr fontId="2" type="noConversion"/>
  </si>
  <si>
    <t>คุณต้องเชื่อมโยงบัญชี\r\nเพื่อลบบัญชีเกมของคุณ\r\nโปรดเชื่อมโยงบัญชีของคุณก่อน</t>
    <phoneticPr fontId="2" type="noConversion"/>
  </si>
  <si>
    <t>Tu cuenta debe estar vinculada\r\npara poder eliminarla.\r\nVincula primero tu cuenta.</t>
    <phoneticPr fontId="2" type="noConversion"/>
  </si>
  <si>
    <t>A sua conta deve estar associada\r\npara poder eliminar a sua conta do jogo.\r\nAssocie a conta primeiro.</t>
    <phoneticPr fontId="2" type="noConversion"/>
  </si>
  <si>
    <t>문파에 가입된 캐릭터가 있으면 게임 탈퇴를 할 수 없습니다.</t>
    <phoneticPr fontId="2" type="noConversion"/>
  </si>
  <si>
    <t>You cannot delete your game account if any of your characters has joined a clan.</t>
    <phoneticPr fontId="2" type="noConversion"/>
  </si>
  <si>
    <t>目前若存在加入門派的角色，將無法刪除遊戲帳號。</t>
    <phoneticPr fontId="2" type="noConversion"/>
  </si>
  <si>
    <t>門派に登録されたキャラクターがある場合は、ゲーム退会できません</t>
    <phoneticPr fontId="2" type="noConversion"/>
  </si>
  <si>
    <t>คุณไม่สามารถลบบัญชีเกมของคุณได้หากตัวละครของคุณเข้าร่วมแคลนอยู่</t>
    <phoneticPr fontId="2" type="noConversion"/>
  </si>
  <si>
    <t>Si uno de tus personajes se une a un clan, no podrás eliminar la cuenta de juego.</t>
    <phoneticPr fontId="2" type="noConversion"/>
  </si>
  <si>
    <t>Não poderá eliminar a sua conta do jogo se algum dos seus personagens pertencer a um clã.</t>
    <phoneticPr fontId="2" type="noConversion"/>
  </si>
  <si>
    <t>게임 탈퇴가 진행 중입니다.\r\n남은 시간: {1}\r\n게임 탈퇴를 철회하시겠습니까?</t>
    <phoneticPr fontId="2" type="noConversion"/>
  </si>
  <si>
    <t>Your game account deletion is in progress.\r\nTime remaining: {1}\r\nDo you want to cancel your request?</t>
    <phoneticPr fontId="2" type="noConversion"/>
  </si>
  <si>
    <t>正在刪除遊戲帳號。\r\n剩餘時間：{1}\r\n是否取消刪除遊戲帳號？</t>
    <phoneticPr fontId="2" type="noConversion"/>
  </si>
  <si>
    <t>正在注销账号。\r\n剩余时间：{1}\r\n是否撤销注销账号？</t>
    <phoneticPr fontId="2" type="noConversion"/>
  </si>
  <si>
    <t>ゲーム退会が進行中です\r\n残り時間：{1}\r\nゲーム退会を撤回しますか？</t>
    <phoneticPr fontId="2" type="noConversion"/>
  </si>
  <si>
    <t>กำลังดำเนินการลบบัญชีเกมของคุณ\r\nเวลาที่เหลือ: {1}\r\nคุณต้องการยกเลิกคำขอหรือไม่</t>
    <phoneticPr fontId="2" type="noConversion"/>
  </si>
  <si>
    <t>A eliminação da sua conta do jogo está em curso.\r\nTempo restante: {1}\r\nDeseja cancelar o pedido?</t>
    <phoneticPr fontId="2" type="noConversion"/>
  </si>
  <si>
    <t>계정 연동 안내</t>
    <phoneticPr fontId="2" type="noConversion"/>
  </si>
  <si>
    <t>Account Link Notice</t>
    <phoneticPr fontId="2" type="noConversion"/>
  </si>
  <si>
    <t>綁定帳號說明</t>
    <phoneticPr fontId="2" type="noConversion"/>
  </si>
  <si>
    <t>绑定账号说明</t>
    <phoneticPr fontId="2" type="noConversion"/>
  </si>
  <si>
    <t>アカウント連携について</t>
    <phoneticPr fontId="2" type="noConversion"/>
  </si>
  <si>
    <t>ประกาศเรื่องการเชื่อมโยงบัญชี</t>
    <phoneticPr fontId="2" type="noConversion"/>
  </si>
  <si>
    <t>Aviso de vinculación de cuenta</t>
    <phoneticPr fontId="2" type="noConversion"/>
  </si>
  <si>
    <t>Aviso de associação de conta</t>
    <phoneticPr fontId="2" type="noConversion"/>
  </si>
  <si>
    <t>게임 탈퇴 철회가 성공적으로 이루어졌습니다.</t>
    <phoneticPr fontId="2" type="noConversion"/>
  </si>
  <si>
    <t>Your request to cancel account deletion was successfully processed.</t>
    <phoneticPr fontId="2" type="noConversion"/>
  </si>
  <si>
    <t>成功取消刪除遊戲帳號。</t>
    <phoneticPr fontId="2" type="noConversion"/>
  </si>
  <si>
    <t>成功撤销注销账号。</t>
    <phoneticPr fontId="2" type="noConversion"/>
  </si>
  <si>
    <t>ゲーム退会撤回に成功しました</t>
    <phoneticPr fontId="2" type="noConversion"/>
  </si>
  <si>
    <t>การถอนการลบบัญชีเกมของคุณสำเร็จแล้ว</t>
    <phoneticPr fontId="2" type="noConversion"/>
  </si>
  <si>
    <t>Se ha cancelado la terminación de la cuenta.</t>
    <phoneticPr fontId="2" type="noConversion"/>
  </si>
  <si>
    <t>A eliminação da conta foi cancelada com sucesso.</t>
    <phoneticPr fontId="2" type="noConversion"/>
  </si>
  <si>
    <t>게임 탈퇴 철회가 이루어지지 못했습니다.</t>
    <phoneticPr fontId="2" type="noConversion"/>
  </si>
  <si>
    <t>Your request to cancel account deletion could not be processed.</t>
    <phoneticPr fontId="2" type="noConversion"/>
  </si>
  <si>
    <t>刪除遊戲帳號取消失敗。</t>
    <phoneticPr fontId="2" type="noConversion"/>
  </si>
  <si>
    <t>未能成功撤销注销账号。</t>
    <phoneticPr fontId="2" type="noConversion"/>
  </si>
  <si>
    <t>ゲーム退会撤回に失敗しました</t>
    <phoneticPr fontId="2" type="noConversion"/>
  </si>
  <si>
    <t>การถอนการลบบัญชีเกมของคุณไม่สำเร็จ</t>
    <phoneticPr fontId="2" type="noConversion"/>
  </si>
  <si>
    <t>No se ha podido cancelar la terminación de la cuenta.</t>
    <phoneticPr fontId="2" type="noConversion"/>
  </si>
  <si>
    <t>Não foi possível cancelar a eliminação da conta.</t>
    <phoneticPr fontId="2" type="noConversion"/>
  </si>
  <si>
    <t>Sign in as guest</t>
    <phoneticPr fontId="2" type="noConversion"/>
  </si>
  <si>
    <t>Guestでログイン</t>
    <phoneticPr fontId="2" type="noConversion"/>
  </si>
  <si>
    <t>เข้าสู่ระบบในฐานะผู้เยี่ยมชม</t>
    <phoneticPr fontId="2" type="noConversion"/>
  </si>
  <si>
    <t>Iniciar sesión como invitado</t>
    <phoneticPr fontId="2" type="noConversion"/>
  </si>
  <si>
    <t>Iniciar sessão como convidado</t>
    <phoneticPr fontId="2" type="noConversion"/>
  </si>
  <si>
    <t>등록되지 않은 기기에서 접속하였습니다.\r\n게임 플레이를 계속하기 위해서는\r\n본인 확인 후, 기기 등록이 필요합니다.\r\n(기존 등록 전화번호로 SMS 인증 필요)\r\n\r\n등록을 진행하시겠습니까?</t>
    <phoneticPr fontId="2" type="noConversion"/>
  </si>
  <si>
    <t>You've signed in from an unregistered device.\r\nBefore you can continue,\r\nit is necessary to verify your identity and register your device.\r\n(You must be able to receive an SMS verification to the phone number you have registered.)\r\n\r\nProceed with registration?</t>
    <phoneticPr fontId="2" type="noConversion"/>
  </si>
  <si>
    <t>当前登录设备为未添加设备。\r\n须进行本人验证后添加设备，\r\n才能继续游戏。\r\n（须通过当前使用的电话号码机进行SMS验证）\r\n\r\n是否添加？</t>
    <phoneticPr fontId="2" type="noConversion"/>
  </si>
  <si>
    <t>登録されていない端末で接続しました\r\nゲームプレイを続行するには\r\n本人確認をしてから端末登録する必要があります\r\n(既存登録された電話番号でのSMS認証必要)\r\n\r\n登録しますか？</t>
    <phoneticPr fontId="2" type="noConversion"/>
  </si>
  <si>
    <t>คุณได้ลงชื่อเข้าใช้จากอุปกรณ์ที่ยังไม่ได้ลงทะเบียน\r\nก่อนที่คุณจะดำเนินการต่อได้\r\nคุณจำเป็นต้องยืนยันตัวตนและลงทะเบียนอุปกรณ์ของคุณ\r\n(คุณต้องสามารถรับ SMS ยืนยันตัวตนทางหมายเลขโทรศัพท์ที่คุณลงทะเบียนไว้ได้)\r\n\r\nดำเนินการลงทะเบียนต่อหรือไม่</t>
    <phoneticPr fontId="2" type="noConversion"/>
  </si>
  <si>
    <t>Has iniciado sesión desde un dispositivo sin registrar.\r\nAntes de poder continuar,\r\ndebes verificar tu identidad y registrar el dispositivo.\r\n(Debes poder recibir un SMS de verificación en el número de teléfono que has facilitado).\r\n\r\n¿Seguir con el registro?</t>
    <phoneticPr fontId="2" type="noConversion"/>
  </si>
  <si>
    <t>인증 확인 번호가 발송 되었습니다.\r\n+{1} {2}-{3}-{4}</t>
    <phoneticPr fontId="2" type="noConversion"/>
  </si>
  <si>
    <t>A verification code has been sent.\r\n+{1} {2}-{3}-{4}</t>
    <phoneticPr fontId="2" type="noConversion"/>
  </si>
  <si>
    <t>驗證碼已傳送。\r\n+{1}{2}-{3}-{4}</t>
    <phoneticPr fontId="2" type="noConversion"/>
  </si>
  <si>
    <t>验证码已发送。\r\n+{1}{2}-{3}-{4}</t>
    <phoneticPr fontId="2" type="noConversion"/>
  </si>
  <si>
    <t>認証確認番号が送信されました\r\n+{1}{2}-{3}-{4}</t>
    <phoneticPr fontId="2" type="noConversion"/>
  </si>
  <si>
    <t>ส่งรหัสยืนยันแล้ว\r\n+{1} {2}-{3}-{4}</t>
    <phoneticPr fontId="2" type="noConversion"/>
  </si>
  <si>
    <t>Código de verificación enviado.\r\n+{1} {2} {3} {4}</t>
    <phoneticPr fontId="2" type="noConversion"/>
  </si>
  <si>
    <t>Foi enviado um código de verificação.\r\n+{1} {2}-{3}-{4}</t>
    <phoneticPr fontId="2" type="noConversion"/>
  </si>
  <si>
    <t>인증 확인 번호 입력 (‘-’ 제외)</t>
    <phoneticPr fontId="2" type="noConversion"/>
  </si>
  <si>
    <t>Enter the verification code (without dashes)</t>
    <phoneticPr fontId="2" type="noConversion"/>
  </si>
  <si>
    <t>輸入驗證碼（不包含『-』）</t>
    <phoneticPr fontId="2" type="noConversion"/>
  </si>
  <si>
    <t>输入验证码（不包含‘－’）</t>
    <phoneticPr fontId="2" type="noConversion"/>
  </si>
  <si>
    <t>認証確認番号入力(「-」を除く)</t>
    <phoneticPr fontId="2" type="noConversion"/>
  </si>
  <si>
    <t>ใส่รหัสยืนยัน (โดยไม่ต้องใส่ขีด)</t>
    <phoneticPr fontId="2" type="noConversion"/>
  </si>
  <si>
    <t>Introduce el código de verificación (sin guiones)</t>
    <phoneticPr fontId="2" type="noConversion"/>
  </si>
  <si>
    <t>Introduza o código de verificação (sem travessões)</t>
    <phoneticPr fontId="2" type="noConversion"/>
  </si>
  <si>
    <t>현재 사용 중인 기기는 등록이 필요합니다.</t>
    <phoneticPr fontId="2" type="noConversion"/>
  </si>
  <si>
    <t>Your current device must be registered.</t>
    <phoneticPr fontId="2" type="noConversion"/>
  </si>
  <si>
    <t>需添加当前使用的设备。</t>
    <phoneticPr fontId="2" type="noConversion"/>
  </si>
  <si>
    <t>現在ご利用中の端末は登録が必要です</t>
    <phoneticPr fontId="2" type="noConversion"/>
  </si>
  <si>
    <t>คุณต้องลงทะเบียนอุปกรณ์ปัจจุบันของคุณ</t>
    <phoneticPr fontId="2" type="noConversion"/>
  </si>
  <si>
    <t>Debes registrar el dispositivo actual.</t>
    <phoneticPr fontId="2" type="noConversion"/>
  </si>
  <si>
    <t>기기 등록 정보</t>
    <phoneticPr fontId="2" type="noConversion"/>
  </si>
  <si>
    <t>Device registration info</t>
    <phoneticPr fontId="2" type="noConversion"/>
  </si>
  <si>
    <t>设备添加信息</t>
    <phoneticPr fontId="2" type="noConversion"/>
  </si>
  <si>
    <t>端末登録情報</t>
    <phoneticPr fontId="2" type="noConversion"/>
  </si>
  <si>
    <t>ข้อมูลการลงทะเบียนอุปกรณ์</t>
    <phoneticPr fontId="2" type="noConversion"/>
  </si>
  <si>
    <t>Datos de registro del dispositivo</t>
    <phoneticPr fontId="2" type="noConversion"/>
  </si>
  <si>
    <t>&lt;span color="#FF0000"&gt;계정당 {1}대까지 등록이 가능합니다.\r\n{1}대를 모두 등록한 경우, 기존에 등록한 기기 중 하나를 삭제해야 추가 등록이 가능합니다.&lt;/&gt;</t>
    <phoneticPr fontId="2" type="noConversion"/>
  </si>
  <si>
    <t>&lt;span color="#FF0000"&gt;You can register up to {1} devices per account.\r\nIf you have already registered {1} devices, you must remove one of the registered devices to register a new one.&lt;/&gt;</t>
    <phoneticPr fontId="2" type="noConversion"/>
  </si>
  <si>
    <t>&lt;span color="#FF0000"&gt;每个账号最多可以添加{1}台。\r\n当添加量达到{1}台时，须从已添加的设备中移除一台后，才能继续添加。&lt;/&gt;</t>
    <phoneticPr fontId="2" type="noConversion"/>
  </si>
  <si>
    <t>&lt;span color="#FF0000"&gt;1つのアカウントにつき{1}台まで登録できます\r\n{1}台をすべて登録した場合、すでに登録している端末から1台削除すれば追加登録できます&lt;/&gt;</t>
    <phoneticPr fontId="2" type="noConversion"/>
  </si>
  <si>
    <t>&lt;span color="#FF0000"&gt;คุณสามารถลงทะเบียนอุปกรณ์ได้สูงสุด {1} เครื่องต่อบัญชี\r\nหากคุณลงทะเบียนอุปกรณ์ครบ {1} เครื่องแล้ว คุณต้องลบหนึ่งในอุปกรณ์ที่ลงทะเบียนแล้วออกก่อนเพื่อลงทะเบียนอุปกรณ์ใหม่&lt;/&gt;</t>
    <phoneticPr fontId="2" type="noConversion"/>
  </si>
  <si>
    <t>&lt;span color="#FF0000"&gt;Puedes registrar hasta {1} dispositivos por cuenta.\r\nSi ya has registrado {1} dispositivos, debes eliminar uno para poder registrar un dispositivo nuevo.&lt;/&gt;</t>
    <phoneticPr fontId="2" type="noConversion"/>
  </si>
  <si>
    <t>인증 변경</t>
    <phoneticPr fontId="2" type="noConversion"/>
  </si>
  <si>
    <t>Change verification</t>
    <phoneticPr fontId="2" type="noConversion"/>
  </si>
  <si>
    <t>變更認證</t>
    <phoneticPr fontId="2" type="noConversion"/>
  </si>
  <si>
    <t>更改验证</t>
    <phoneticPr fontId="2" type="noConversion"/>
  </si>
  <si>
    <t>認証変更</t>
    <phoneticPr fontId="2" type="noConversion"/>
  </si>
  <si>
    <t>เปลี่ยนการตรวจสอบยืนยัน</t>
    <phoneticPr fontId="2" type="noConversion"/>
  </si>
  <si>
    <t>Cambiar verificación</t>
    <phoneticPr fontId="2" type="noConversion"/>
  </si>
  <si>
    <t>Alterar verificação</t>
    <phoneticPr fontId="2" type="noConversion"/>
  </si>
  <si>
    <t>현재 로그인 되어 있는 계정입니다.</t>
    <phoneticPr fontId="2" type="noConversion"/>
  </si>
  <si>
    <t>The account is currently signed in.</t>
    <phoneticPr fontId="2" type="noConversion"/>
  </si>
  <si>
    <t>目前登入的帳號。</t>
    <phoneticPr fontId="2" type="noConversion"/>
  </si>
  <si>
    <t>当前登录的账号。</t>
    <phoneticPr fontId="2" type="noConversion"/>
  </si>
  <si>
    <t>現在ログインしているアカウントです</t>
    <phoneticPr fontId="2" type="noConversion"/>
  </si>
  <si>
    <t>บัญชีนี้เข้าสู่ระบบอยู่แล้ว</t>
    <phoneticPr fontId="2" type="noConversion"/>
  </si>
  <si>
    <t>Sesión de cuenta ya iniciada.</t>
    <phoneticPr fontId="2" type="noConversion"/>
  </si>
  <si>
    <t>A conta já tem sessão iniciada.</t>
    <phoneticPr fontId="2" type="noConversion"/>
  </si>
  <si>
    <t>서버 대기가 취소되었습니다.</t>
    <phoneticPr fontId="2" type="noConversion"/>
  </si>
  <si>
    <t>You have been removed from the server's wait list.</t>
    <phoneticPr fontId="2" type="noConversion"/>
  </si>
  <si>
    <t>已取消伺服器登入排隊。</t>
    <phoneticPr fontId="2" type="noConversion"/>
  </si>
  <si>
    <t>已取消服务器排队。</t>
    <phoneticPr fontId="2" type="noConversion"/>
  </si>
  <si>
    <t>サーバー待機を取り消しました</t>
    <phoneticPr fontId="2" type="noConversion"/>
  </si>
  <si>
    <t>คุณถูกลบออกจากรายการรอของเซิร์ฟเวอร์แล้ว</t>
    <phoneticPr fontId="2" type="noConversion"/>
  </si>
  <si>
    <t>Te han eliminado de la lista de espera del servidor.</t>
    <phoneticPr fontId="2" type="noConversion"/>
  </si>
  <si>
    <t>Foi removido da lista de espera do servidor.</t>
    <phoneticPr fontId="2" type="noConversion"/>
  </si>
  <si>
    <t>GUEST 계정으로 로그인하면\r\n게임 삭제 및 재설치 시 데이터가 삭제되어 복구가 불가능합니다.\r\nGUEST 계정으로 계속 이용하시겠습니까?\r\n안전한 로그인을 위해 다른 로그인 수단으로 계정을 연동하세요.</t>
    <phoneticPr fontId="2" type="noConversion"/>
  </si>
  <si>
    <t>If you sign in with a guest account,\r\nyou won't be able to recover your data if you delete or reinstall the game.\r\nAre you sure you want to continue with a guest account?\r\nPlease link your account with another sign-in method to secure your data.</t>
    <phoneticPr fontId="2" type="noConversion"/>
  </si>
  <si>
    <t>若以遊客帳號登入，\r\n當卸載、重新安裝遊戲時，所有資料將被刪除且無法還原。\r\n確定要繼續使用遊客帳號嗎？\r\n請使用其他登入方式綁定帳號，確保安全登入。</t>
    <phoneticPr fontId="2" type="noConversion"/>
  </si>
  <si>
    <t>若以游客账号登录，\r\n当卸载、重新安装游戏时，所有数据将被删除且无法恢复。\r\n确定要继续使用游客账号吗？\r\n请使用其他登录方式绑定账号，确保安全登录。</t>
    <phoneticPr fontId="2" type="noConversion"/>
  </si>
  <si>
    <t>GUESTアカウントでログインすると、\r\nゲーム削除や再インストールの際にデータが削除され、復旧できなくなります\r\n引き続きGUESTアカウントでご利用になりますか？\r\n安全なログインのため、別のログイン手段でアカウント連携をしてください</t>
    <phoneticPr fontId="2" type="noConversion"/>
  </si>
  <si>
    <t>หากคุณเข้าสู่ระบบด้วยบัญชีผู้เยี่ยมชม\r\nคุณจะไม่สามารถกู้คืนบัญชีได้ หากคุณลบหรือติดตั้งเกมใหม่\r\nคุณแน่ใจหรือไม่ว่าต้องการดำเนินการต่อด้วยบัญชีผู้เยี่ยมชม\r\nกรุณาเชื่อมโยงบัญชีกับวิธีการเข้าสู่ระบบอื่นเพื่อปกป้องข้อมูลของคุณ</t>
    <phoneticPr fontId="2" type="noConversion"/>
  </si>
  <si>
    <t>Si inicias sesión con cuenta de invitado,\r\nno podrás recuperar los datos si eliminas o reinstalas el juego.\r\n¿Seguro que quieres continuar con una cuenta de invitado?\r\nVincula tu cuenta con otro método de inicio de sesión para proteger tus datos.</t>
    <phoneticPr fontId="2" type="noConversion"/>
  </si>
  <si>
    <t>&lt;CommonPopUpKeyWord&gt;{1}%&lt;/&gt;({2}MB/{3}GB) {3}MB</t>
    <phoneticPr fontId="2" type="noConversion"/>
  </si>
  <si>
    <t>&lt;CommonPopUpKeyWord&gt;{1}%&lt;/&gt; ({2} MB/{3} GB) {3} MB</t>
    <phoneticPr fontId="2" type="noConversion"/>
  </si>
  <si>
    <t>&lt;CommonPopUpKeyWord&gt;{1}%&lt;/&gt;（{2}MB／{3}GB）{3}MB</t>
    <phoneticPr fontId="2" type="noConversion"/>
  </si>
  <si>
    <t>Downloading tables...</t>
    <phoneticPr fontId="2" type="noConversion"/>
  </si>
  <si>
    <t>正在下載數據庫表…</t>
    <phoneticPr fontId="2" type="noConversion"/>
  </si>
  <si>
    <t>下载数据库表中……</t>
    <phoneticPr fontId="2" type="noConversion"/>
  </si>
  <si>
    <t>テーブルダウンロード…</t>
    <phoneticPr fontId="2" type="noConversion"/>
  </si>
  <si>
    <t>กำลังดาวน์โหลดตาราง...</t>
    <phoneticPr fontId="2" type="noConversion"/>
  </si>
  <si>
    <t>Descargando tablas…</t>
    <phoneticPr fontId="2" type="noConversion"/>
  </si>
  <si>
    <t>A transferir tabelas…</t>
    <phoneticPr fontId="2" type="noConversion"/>
  </si>
  <si>
    <t>Loading tables...</t>
    <phoneticPr fontId="2" type="noConversion"/>
  </si>
  <si>
    <t>正在加載數據庫表…</t>
    <phoneticPr fontId="2" type="noConversion"/>
  </si>
  <si>
    <t>加载数据库表中……</t>
    <phoneticPr fontId="2" type="noConversion"/>
  </si>
  <si>
    <t>テーブルロード…</t>
    <phoneticPr fontId="2" type="noConversion"/>
  </si>
  <si>
    <t>กำลังโหลดตาราง...</t>
    <phoneticPr fontId="2" type="noConversion"/>
  </si>
  <si>
    <t>Cargando tablas…</t>
    <phoneticPr fontId="2" type="noConversion"/>
  </si>
  <si>
    <t>A carregar tabelas…</t>
    <phoneticPr fontId="2" type="noConversion"/>
  </si>
  <si>
    <t>Tables loaded</t>
    <phoneticPr fontId="2" type="noConversion"/>
  </si>
  <si>
    <t>數據庫表加載完畢</t>
    <phoneticPr fontId="2" type="noConversion"/>
  </si>
  <si>
    <t>数据库表加载完毕</t>
    <phoneticPr fontId="2" type="noConversion"/>
  </si>
  <si>
    <t>テーブルロード完了</t>
    <phoneticPr fontId="2" type="noConversion"/>
  </si>
  <si>
    <t>โหลดตารางแล้ว</t>
    <phoneticPr fontId="2" type="noConversion"/>
  </si>
  <si>
    <t>Tablas cargadas</t>
    <phoneticPr fontId="2" type="noConversion"/>
  </si>
  <si>
    <t>Tabelas carregadas</t>
    <phoneticPr fontId="2" type="noConversion"/>
  </si>
  <si>
    <t>Loading patch files...</t>
    <phoneticPr fontId="2" type="noConversion"/>
  </si>
  <si>
    <t>正在載入更新檔…</t>
    <phoneticPr fontId="2" type="noConversion"/>
  </si>
  <si>
    <t>加载补丁中……</t>
    <phoneticPr fontId="2" type="noConversion"/>
  </si>
  <si>
    <t>パッチファイルロード…</t>
    <phoneticPr fontId="2" type="noConversion"/>
  </si>
  <si>
    <t>กำลังโหลดไฟล์แพทช์...</t>
    <phoneticPr fontId="2" type="noConversion"/>
  </si>
  <si>
    <t>Cargando archivos de revisión…</t>
    <phoneticPr fontId="2" type="noConversion"/>
  </si>
  <si>
    <t>A carregar ficheiros do patch…</t>
    <phoneticPr fontId="2" type="noConversion"/>
  </si>
  <si>
    <t>Compiling shaders...</t>
    <phoneticPr fontId="2" type="noConversion"/>
  </si>
  <si>
    <t>著色器編譯…</t>
    <phoneticPr fontId="2" type="noConversion"/>
  </si>
  <si>
    <t>着色器编译……</t>
    <phoneticPr fontId="2" type="noConversion"/>
  </si>
  <si>
    <t>シェーダーコンパイル…</t>
    <phoneticPr fontId="2" type="noConversion"/>
  </si>
  <si>
    <t>กำลังเรียบเรียงแสงเงา...</t>
    <phoneticPr fontId="2" type="noConversion"/>
  </si>
  <si>
    <t>Compilando sombreadores…</t>
    <phoneticPr fontId="2" type="noConversion"/>
  </si>
  <si>
    <t>A compilar shaders…</t>
    <phoneticPr fontId="2" type="noConversion"/>
  </si>
  <si>
    <t>더 많은 컨텐츠를 위해 추가적인 다운로드가 필요합니다.\r\n{1} 의 추가 리소스 파일이 필요하며, 셀룰러 데이터로 다운 시 추가 요금이 발생할 수 있습니다.(Wi-Fi 연결을 권장합니다)\r\n백그라운드 다운로드가 가능하며, 홈 화면에서도 다운로드를 지속할 수 있습니다.\r\n\r\n다운로드하시겠습니까?</t>
    <phoneticPr fontId="2" type="noConversion"/>
  </si>
  <si>
    <t>To experience more action &amp; contents, additonal downloads are needed.\r\nAdditional resource files {1} have to be downloaded. If downloaded in cellular network, additional costs may occur.(Wi-Fi network is recommended)\r\nBackground download is available. You can go to your home screen and keep downloading.\r\n\r\nWould you like to download?</t>
    <phoneticPr fontId="2" type="noConversion"/>
  </si>
  <si>
    <t>より多くのコンテンツを楽しむための追加ダウンロードが必要です。\r\n{1}の追加リソースファイルが必要で、LTEでのダウンロード時には追加料金が発生する可能性があります(Wi-Fi推奨)。\r\nバックグラウンドダウンロードが可能で、ホーム画面でもダウンロードが継続できます。\r\n\r\nダウンロードしますか?</t>
    <phoneticPr fontId="2" type="noConversion"/>
  </si>
  <si>
    <t>หากต้องการสัมผัสประสบการณ์แอ็คชั่นและเนื้อหาเพิ่มเติม จำเป็นจะต้องดาวน์โหลดเพิ่มเติม\r\nต้องดาวน์โหลดไฟล์ทรัพยากรเพิ่มเติม {1} หากดาวน์โหลดในเครือข่ายเซลลูลาร์ อาจมีค่าใช้จ่ายเพิ่มเติม (ขอแนะนำให้เชื่อมต่อ Wi-Fi)\r\nสามารถดาวน์โหลดในพื้นหลังได้ คุณสามารถไปที่หน้าจอหลักและดาวน์โหลดไฟล์ทรัพยากรเพิ่มเติมต่อได้\r\n\r\nคุณต้องการดาวน์โหลดหรือไม่?</t>
    <phoneticPr fontId="2" type="noConversion"/>
  </si>
  <si>
    <t>Para experimentar mais ação e conteúdos, downloads adicionais são necessários. \r\nÉ preciso baixar arquivos de recursos adicionais de {1}. Se baixado numa rede celular, custos adicionais podem ocorrer. (Uma conexão Wi-Fi é recomendada)\r\nDownload em segundo plano está disponível. Você pode ir para o ecrã inicial e continuar o download.\r\n\r\nVocê gostaria de baixar?</t>
    <phoneticPr fontId="2" type="noConversion"/>
  </si>
  <si>
    <t>[필수] 서비스 이용약관 동의</t>
    <phoneticPr fontId="2" type="noConversion"/>
  </si>
  <si>
    <t>[Required] I agree to the Terms of Use</t>
    <phoneticPr fontId="2" type="noConversion"/>
  </si>
  <si>
    <t>［必須］同意服務使用條款</t>
    <phoneticPr fontId="2" type="noConversion"/>
  </si>
  <si>
    <t>【必须】同意服务使用条款</t>
    <phoneticPr fontId="2" type="noConversion"/>
  </si>
  <si>
    <t>[必須] サービス利用規約への同意</t>
    <phoneticPr fontId="2" type="noConversion"/>
  </si>
  <si>
    <t>[จำเป็น] ฉันยอมรับข้อตกลงการใช้งาน</t>
    <phoneticPr fontId="2" type="noConversion"/>
  </si>
  <si>
    <t>[Obligatorio] Acepto los Términos de uso</t>
    <phoneticPr fontId="2" type="noConversion"/>
  </si>
  <si>
    <t>[Necessário] Concordo com os Termos de utilização</t>
    <phoneticPr fontId="2" type="noConversion"/>
  </si>
  <si>
    <t>[필수] 개인 정보 수집 및 이용 동의</t>
    <phoneticPr fontId="2" type="noConversion"/>
  </si>
  <si>
    <t>[Required] I agree to the Collection and Use of Personal Information</t>
    <phoneticPr fontId="2" type="noConversion"/>
  </si>
  <si>
    <t>［必須］同意收集及使用個人資訊</t>
    <phoneticPr fontId="2" type="noConversion"/>
  </si>
  <si>
    <t>【必须】同意收集及使用个人信息</t>
    <phoneticPr fontId="2" type="noConversion"/>
  </si>
  <si>
    <t>[必須] 個人情報収集および利用への同意</t>
    <phoneticPr fontId="2" type="noConversion"/>
  </si>
  <si>
    <t>[จำเป็น] ฉันยินยอมให้เก็บรวบรวมและใช้งานข้อมูลส่วนบุคคล</t>
    <phoneticPr fontId="2" type="noConversion"/>
  </si>
  <si>
    <t>[Obligatorio] Acepto la Recopilación y uso de información personal</t>
    <phoneticPr fontId="2" type="noConversion"/>
  </si>
  <si>
    <t>[Necessário] Concordo com a Recolha e utilização de dados pessoais</t>
    <phoneticPr fontId="2" type="noConversion"/>
  </si>
  <si>
    <t>[선택] 광고성 정보 수신 동의</t>
    <phoneticPr fontId="2" type="noConversion"/>
  </si>
  <si>
    <t>[Optional] I agree to receive Advertisements</t>
    <phoneticPr fontId="2" type="noConversion"/>
  </si>
  <si>
    <t>［選擇］同意接收廣告資訊</t>
    <phoneticPr fontId="2" type="noConversion"/>
  </si>
  <si>
    <t>【选择】同意接收广告信息</t>
    <phoneticPr fontId="2" type="noConversion"/>
  </si>
  <si>
    <t>[選択] マーケティング情報受信への同意</t>
    <phoneticPr fontId="2" type="noConversion"/>
  </si>
  <si>
    <t>[ไม่บังคับ] ฉันยินยอมให้มีโฆษณา</t>
    <phoneticPr fontId="2" type="noConversion"/>
  </si>
  <si>
    <t>[Opcional] Acepto recibir publicidad</t>
    <phoneticPr fontId="2" type="noConversion"/>
  </si>
  <si>
    <t>[Opcional] Aceito receber publicidade</t>
    <phoneticPr fontId="2" type="noConversion"/>
  </si>
  <si>
    <t>[선택] 야간 (오후 9시~오전 8시) 알림 수신 동의</t>
    <phoneticPr fontId="2" type="noConversion"/>
  </si>
  <si>
    <t>[Optional] I agree to receive Nighttime Notifications (9 pm - 8 am)</t>
    <phoneticPr fontId="2" type="noConversion"/>
  </si>
  <si>
    <t>［選擇］同意接收夜間（晚上9點～上午8點）通知</t>
    <phoneticPr fontId="2" type="noConversion"/>
  </si>
  <si>
    <t>【选择】同意接收夜间（晚上9点～上午8点）通知</t>
    <phoneticPr fontId="2" type="noConversion"/>
  </si>
  <si>
    <t>[選択] 夜間(午後9時～午前8時)通知受信への同意</t>
    <phoneticPr fontId="2" type="noConversion"/>
  </si>
  <si>
    <t>[ไม่บังคับ] ฉันยินยอมที่จะรับการแจ้งเตือนช่วงเวลากลางคืน (21:00 น. - 08:00 น.)</t>
    <phoneticPr fontId="2" type="noConversion"/>
  </si>
  <si>
    <t>[Opcional] Acepto recibir notificaciones nocturnas (de 21:00 h a 8:00 h)</t>
    <phoneticPr fontId="2" type="noConversion"/>
  </si>
  <si>
    <t>[Opcional] Aceito receber notificações em horário noturno (21:00 - 08:00)</t>
    <phoneticPr fontId="2" type="noConversion"/>
  </si>
  <si>
    <t>동의합니다.</t>
    <phoneticPr fontId="2" type="noConversion"/>
  </si>
  <si>
    <t>I agree.</t>
    <phoneticPr fontId="2" type="noConversion"/>
  </si>
  <si>
    <t>同意。</t>
    <phoneticPr fontId="2" type="noConversion"/>
  </si>
  <si>
    <t>同意</t>
    <phoneticPr fontId="2" type="noConversion"/>
  </si>
  <si>
    <t>ฉันยอมรับ</t>
    <phoneticPr fontId="2" type="noConversion"/>
  </si>
  <si>
    <t>Acepto.</t>
    <phoneticPr fontId="2" type="noConversion"/>
  </si>
  <si>
    <t>Concordo.</t>
    <phoneticPr fontId="2" type="noConversion"/>
  </si>
  <si>
    <t>※ 비밀번호는 6~14자, 숫자 및 영문 조합으로 등록 가능합니다.\r\n※ 비밀 번호의 변경은 설정 완료된 비밀 번호를 다시 입력하여 설정합니다.</t>
    <phoneticPr fontId="2" type="noConversion"/>
  </si>
  <si>
    <t>※ Your password must be between 6 and 14 alphanumeric characters.\r\n※ You can change your password by entering your existing password again.</t>
    <phoneticPr fontId="2" type="noConversion"/>
  </si>
  <si>
    <t>※密碼須使用6～14字元的數字與英文字母組合。\r\n※變更密碼時須先輸入當前設定的密碼。</t>
    <phoneticPr fontId="2" type="noConversion"/>
  </si>
  <si>
    <t>※密码须使用6~14字的数字与英文字母组合。\r\n※更改密码时须先输入当前设置的密码。</t>
    <phoneticPr fontId="2" type="noConversion"/>
  </si>
  <si>
    <t>※ パスワードは6～14文字、英数字の組み合わせで登録できます\r\n※ パスワードの変更は、設定完了したパスワードを再入力すると設定できます</t>
    <phoneticPr fontId="2" type="noConversion"/>
  </si>
  <si>
    <t>※ รหัสผ่านของคุณต้องเป็นตัวอักษรและตัวเลขความยาวระหว่าง 6 ถึง 14 ตัวอักษร\r\n※ คุณสามารถเปลี่ยนรหัสผ่านได้โดยการป้อนรหัสผ่านปัจจุบันของคุณอีกครั้ง</t>
    <phoneticPr fontId="2" type="noConversion"/>
  </si>
  <si>
    <t>※ La contraseña debe tener entre 6 y 14 caracteres alfanuméricos.\r\n※ Puedes cambiar la contraseña volviendo a introducir la actual.</t>
    <phoneticPr fontId="2" type="noConversion"/>
  </si>
  <si>
    <t>※ A sua palavra-passe deve conter entre 6 e 14 caracteres alfanuméricos.\r\n※ Poderá alterar a sua palavra-passe ao voltar a introduzir a palavra-passe existente.</t>
    <phoneticPr fontId="2" type="noConversion"/>
  </si>
  <si>
    <t>버전을 체크할 수 없습니다. 잠시 후 다시 시도해 주세요.</t>
    <phoneticPr fontId="2" type="noConversion"/>
  </si>
  <si>
    <t>Cannot check the version. Please try again later.</t>
    <phoneticPr fontId="2" type="noConversion"/>
  </si>
  <si>
    <t>無法確認版本，請稍後再重新嘗試。</t>
    <phoneticPr fontId="2" type="noConversion"/>
  </si>
  <si>
    <t>无法确认版本，请稍后再试。</t>
    <phoneticPr fontId="2" type="noConversion"/>
  </si>
  <si>
    <t>バージョンチェックができません。しばらくしてから再度お試しください</t>
    <phoneticPr fontId="2" type="noConversion"/>
  </si>
  <si>
    <t>ไม่สามารถตรวจสอบเวอร์ชั่นได้ โปรดลองอีกครั้งภายหลัง</t>
    <phoneticPr fontId="2" type="noConversion"/>
  </si>
  <si>
    <t>Imposible comprobar la versión. Inténtalo más tarde.</t>
    <phoneticPr fontId="2" type="noConversion"/>
  </si>
  <si>
    <t>Não foi possível verificar a versão. Tente novamente mais tarde.</t>
    <phoneticPr fontId="2" type="noConversion"/>
  </si>
  <si>
    <t>구글 인증의 초기화를 실패하였습니다. 잠시 후 다시 시도해 주세요.</t>
    <phoneticPr fontId="2" type="noConversion"/>
  </si>
  <si>
    <t>Failed to initialize the Google verification. Please try again later.</t>
    <phoneticPr fontId="2" type="noConversion"/>
  </si>
  <si>
    <t>Google認證初始化失敗，請稍後再重新嘗試。</t>
    <phoneticPr fontId="2" type="noConversion"/>
  </si>
  <si>
    <t>重置Google验证失败，请稍后再试。</t>
    <phoneticPr fontId="2" type="noConversion"/>
  </si>
  <si>
    <t>Google認証の初期化に失敗しました。しばらくしてから再度お試しください</t>
    <phoneticPr fontId="2" type="noConversion"/>
  </si>
  <si>
    <t>ไม่สามารถเริ่มต้นการยืนยันตัวตนของ Google ได้ กรุณาลองอีกครั้งในภายหลัง</t>
    <phoneticPr fontId="2" type="noConversion"/>
  </si>
  <si>
    <t>Error al iniciar la verificación de Google. Inténtalo más tarde.</t>
    <phoneticPr fontId="2" type="noConversion"/>
  </si>
  <si>
    <t>Falha ao inicializar a verificação Google. Tente novamente mais tarde.</t>
    <phoneticPr fontId="2" type="noConversion"/>
  </si>
  <si>
    <t>구글 인증의 로그인을 실패하였습니다. 잠시 후 다시 시도해 주세요. \r\n에러코드: {1}</t>
    <phoneticPr fontId="2" type="noConversion"/>
  </si>
  <si>
    <t>Failed to sign in with the Google verification. Please try again later.\r\nError Code: {1}</t>
    <phoneticPr fontId="2" type="noConversion"/>
  </si>
  <si>
    <t>Google認證登入失敗，請稍後再重新嘗試。\r\n錯誤代碼：{1}</t>
    <phoneticPr fontId="2" type="noConversion"/>
  </si>
  <si>
    <t>Google验证登录失败，请稍后再试。\r\n错误代码：{1}</t>
    <phoneticPr fontId="2" type="noConversion"/>
  </si>
  <si>
    <t>Google認証のログインに失敗しました。しばらくしてから再度お試しください\r\nエラーコード：{1}</t>
    <phoneticPr fontId="2" type="noConversion"/>
  </si>
  <si>
    <t>ไม่สามารถเข้าสู่ระบบการยืนยันตัวตนของ Google ได้ กรุณาลองอีกครั้งในภายหลัง\r\nรหัสข้อผิดพลาด: {1}</t>
    <phoneticPr fontId="2" type="noConversion"/>
  </si>
  <si>
    <t>Error al iniciar sesión con la verificación de Google. Inténtalo más tarde.\r\nCódigo de error: {1}</t>
    <phoneticPr fontId="2" type="noConversion"/>
  </si>
  <si>
    <t>Falha ao iniciar sessão com a verificação Google. Tente novamente mais tarde.\r\nCódigo de erro: {1}</t>
    <phoneticPr fontId="2" type="noConversion"/>
  </si>
  <si>
    <t>로그인 요청이 실패하였습니다. 잠시 후 다시 시도해 주세요.</t>
    <phoneticPr fontId="2" type="noConversion"/>
  </si>
  <si>
    <t>登入請求失敗，請稍後再重新嘗試。</t>
    <phoneticPr fontId="2" type="noConversion"/>
  </si>
  <si>
    <t>登录请求失败，请稍后再试。</t>
    <phoneticPr fontId="2" type="noConversion"/>
  </si>
  <si>
    <t>Error al iniciar sesión. Inténtalo más tarde.</t>
    <phoneticPr fontId="2" type="noConversion"/>
  </si>
  <si>
    <t>O pedido de início de sessão falhou. Tente novamente mais tarde.</t>
    <phoneticPr fontId="2" type="noConversion"/>
  </si>
  <si>
    <t>재로그인 요청이 실패하였습니다. 잠시 후 다시 시도해 주세요.</t>
    <phoneticPr fontId="2" type="noConversion"/>
  </si>
  <si>
    <t>Re-sign in request failed. Please try again later.</t>
    <phoneticPr fontId="2" type="noConversion"/>
  </si>
  <si>
    <t>重新登入請求失敗，請稍後再重新嘗試。</t>
    <phoneticPr fontId="2" type="noConversion"/>
  </si>
  <si>
    <t>重新登录请求失败，请稍后再试。</t>
    <phoneticPr fontId="2" type="noConversion"/>
  </si>
  <si>
    <t>再ログインリクエストに失敗しました。しばらくしてから再度お試しください</t>
    <phoneticPr fontId="2" type="noConversion"/>
  </si>
  <si>
    <t>คำขอลงชื่อเข้าใช้ใหม่ไม่สำเร็จ โปรดลองอีกครั้งภายหลัง</t>
    <phoneticPr fontId="2" type="noConversion"/>
  </si>
  <si>
    <t>Error al volver a iniciar sesión. Inténtalo más tarde.</t>
    <phoneticPr fontId="2" type="noConversion"/>
  </si>
  <si>
    <t>O pedido de novo início de sessão falhou. Tente novamente mais tarde.</t>
    <phoneticPr fontId="2" type="noConversion"/>
  </si>
  <si>
    <t>오류 알림</t>
    <phoneticPr fontId="2" type="noConversion"/>
  </si>
  <si>
    <t>Error notification</t>
    <phoneticPr fontId="2" type="noConversion"/>
  </si>
  <si>
    <t>錯誤通知</t>
    <phoneticPr fontId="2" type="noConversion"/>
  </si>
  <si>
    <t>错误提示</t>
    <phoneticPr fontId="2" type="noConversion"/>
  </si>
  <si>
    <t>エラー通知</t>
    <phoneticPr fontId="2" type="noConversion"/>
  </si>
  <si>
    <t>การแจ้งเตือนข้อผิดพลาด</t>
    <phoneticPr fontId="2" type="noConversion"/>
  </si>
  <si>
    <t>Notificación de error</t>
    <phoneticPr fontId="2" type="noConversion"/>
  </si>
  <si>
    <t>Notificação de erro</t>
    <phoneticPr fontId="2" type="noConversion"/>
  </si>
  <si>
    <t>오류가 발생했습니다. 잠시 후 다시 시도해주세요. \r\n(오류 코드: {1})</t>
    <phoneticPr fontId="2" type="noConversion"/>
  </si>
  <si>
    <t>An error occurred. Please try again later.\r\n(Error code: {1})</t>
    <phoneticPr fontId="2" type="noConversion"/>
  </si>
  <si>
    <t>發生錯誤，請稍後再重新嘗試。\r\n（錯誤代碼：{1}）</t>
    <phoneticPr fontId="2" type="noConversion"/>
  </si>
  <si>
    <t>发生错误，请稍后再试。\r\n（错误代码：{1}）</t>
    <phoneticPr fontId="2" type="noConversion"/>
  </si>
  <si>
    <t>エラーが発生しました。しばらくしてから再度お試しください\r\n(エラーコード：{1})</t>
    <phoneticPr fontId="2" type="noConversion"/>
  </si>
  <si>
    <t>เกิดข้อผิดพลาดขึ้น โปรดลองอีกครั้งภายหลัง \r\n(รหัสข้อผิดพลาด: {1})</t>
    <phoneticPr fontId="2" type="noConversion"/>
  </si>
  <si>
    <t>Ha ocurrido un error. Inténtalo más tarde.\r\n(Código de error: {1})</t>
    <phoneticPr fontId="2" type="noConversion"/>
  </si>
  <si>
    <t>Ocorreu um erro. Tente novamente mais tarde.\r\n(Código de erro: {1})</t>
    <phoneticPr fontId="2" type="noConversion"/>
  </si>
  <si>
    <t>비밀 번호는 6~14자리, 숫자와 영문의 조합으로만 가능합니다.</t>
    <phoneticPr fontId="2" type="noConversion"/>
  </si>
  <si>
    <t>Your password must be between 6 and 14 alphanumeric characters.</t>
    <phoneticPr fontId="2" type="noConversion"/>
  </si>
  <si>
    <t>密碼必須為6～14字元的數字及英文字母組合。</t>
    <phoneticPr fontId="2" type="noConversion"/>
  </si>
  <si>
    <t>密码必须为6~14字的数字及英文字母组合。</t>
    <phoneticPr fontId="2" type="noConversion"/>
  </si>
  <si>
    <t>パスワードは6～14文字、英数字の組み合わせで設定してください</t>
    <phoneticPr fontId="2" type="noConversion"/>
  </si>
  <si>
    <t>รหัสผ่านของคุณต้องเป็นตัวอักษรหรือตัวเลขระหว่าง 6 ถึง 14 ตัว</t>
    <phoneticPr fontId="2" type="noConversion"/>
  </si>
  <si>
    <t>La contraseña debe tener entre 6 y 14 caracteres alfanuméricos.</t>
    <phoneticPr fontId="2" type="noConversion"/>
  </si>
  <si>
    <t>A sua palavra-passe deve conter entre 6 e 14 caracteres alfanuméricos.</t>
    <phoneticPr fontId="2" type="noConversion"/>
  </si>
  <si>
    <t>이어하기 코드가 복사되었습니다.</t>
    <phoneticPr fontId="2" type="noConversion"/>
  </si>
  <si>
    <t>Transfer code copied.</t>
    <phoneticPr fontId="2" type="noConversion"/>
  </si>
  <si>
    <t>已複製同步碼。</t>
    <phoneticPr fontId="2" type="noConversion"/>
  </si>
  <si>
    <t>同步码复制完毕。</t>
    <phoneticPr fontId="2" type="noConversion"/>
  </si>
  <si>
    <t>引き継ぎコードがコピーされました</t>
    <phoneticPr fontId="2" type="noConversion"/>
  </si>
  <si>
    <t>คัดลอกรหัสโอนข้อมูลแล้ว</t>
    <phoneticPr fontId="2" type="noConversion"/>
  </si>
  <si>
    <t>Código de transferencia copiado.</t>
    <phoneticPr fontId="2" type="noConversion"/>
  </si>
  <si>
    <t>Código de transferência copiado.</t>
    <phoneticPr fontId="2" type="noConversion"/>
  </si>
  <si>
    <t>Notification</t>
    <phoneticPr fontId="2" type="noConversion"/>
  </si>
  <si>
    <t>通知</t>
    <phoneticPr fontId="2" type="noConversion"/>
  </si>
  <si>
    <t>提示</t>
    <phoneticPr fontId="2" type="noConversion"/>
  </si>
  <si>
    <t>การแจ้งเตือน</t>
    <phoneticPr fontId="2" type="noConversion"/>
  </si>
  <si>
    <t>Notificación</t>
    <phoneticPr fontId="2" type="noConversion"/>
  </si>
  <si>
    <t>Notificação</t>
    <phoneticPr fontId="2" type="noConversion"/>
  </si>
  <si>
    <t>即將下載{1}更新檔。要繼續進行嗎？\r\n（藉由行動網路下載將使用傳輸量，可能會產生額外費用。）\r\n建議在Wifi環境下載。</t>
    <phoneticPr fontId="2" type="noConversion"/>
  </si>
  <si>
    <t>버전 체크 중</t>
    <phoneticPr fontId="2" type="noConversion"/>
  </si>
  <si>
    <t>Checking the version</t>
    <phoneticPr fontId="2" type="noConversion"/>
  </si>
  <si>
    <t>正在確認版本</t>
    <phoneticPr fontId="2" type="noConversion"/>
  </si>
  <si>
    <t>确认版本中</t>
    <phoneticPr fontId="2" type="noConversion"/>
  </si>
  <si>
    <t>バージョンチェック中</t>
    <phoneticPr fontId="2" type="noConversion"/>
  </si>
  <si>
    <t>กำลังตรวจสอบเวอร์ชัน</t>
    <phoneticPr fontId="2" type="noConversion"/>
  </si>
  <si>
    <t>Comprobando versión</t>
    <phoneticPr fontId="2" type="noConversion"/>
  </si>
  <si>
    <t>A verificar a versão</t>
    <phoneticPr fontId="2" type="noConversion"/>
  </si>
  <si>
    <t>미르4의 사진, 마이크, 미디어 및 기타 파일 접근을 허용 하시겠습니까?</t>
    <phoneticPr fontId="2" type="noConversion"/>
  </si>
  <si>
    <t>MIR4の写真、マイク、メディア、その他のファイルへのアクセスを許可しますか？</t>
    <phoneticPr fontId="2" type="noConversion"/>
  </si>
  <si>
    <t>서비스 이용약관 및 개인정보 수집, 이용 안내에 동의해 주세요.</t>
    <phoneticPr fontId="2" type="noConversion"/>
  </si>
  <si>
    <t>Please agree to the Terms of Use and the Collection and Use of Personal Information.</t>
    <phoneticPr fontId="2" type="noConversion"/>
  </si>
  <si>
    <t>請同意服務使用條款，收集及使用個人資訊。</t>
    <phoneticPr fontId="2" type="noConversion"/>
  </si>
  <si>
    <t>请同意服务使用条款，收集及使用个人信息。</t>
    <phoneticPr fontId="2" type="noConversion"/>
  </si>
  <si>
    <t>サービス利用規約、個人情報収集、利用案内に同意してください</t>
    <phoneticPr fontId="2" type="noConversion"/>
  </si>
  <si>
    <t>โปรดยอมรับข้อกำหนดการใช้งานและยินยอมให้เก็บรวบรวมและใช้งานข้อมูลส่วนบุคคล</t>
    <phoneticPr fontId="2" type="noConversion"/>
  </si>
  <si>
    <t>Acepta los Términos de uso y la Recopilación y uso de información personal.</t>
    <phoneticPr fontId="2" type="noConversion"/>
  </si>
  <si>
    <t>[운영정책 바로가기]</t>
    <phoneticPr fontId="2" type="noConversion"/>
  </si>
  <si>
    <t>[Go to Operational Policy]</t>
    <phoneticPr fontId="2" type="noConversion"/>
  </si>
  <si>
    <t>［立即前往營運政策］</t>
    <phoneticPr fontId="2" type="noConversion"/>
  </si>
  <si>
    <t>【立即前往运营政策】</t>
    <phoneticPr fontId="2" type="noConversion"/>
  </si>
  <si>
    <t>[運営ポリシーへのショートカット]</t>
    <phoneticPr fontId="2" type="noConversion"/>
  </si>
  <si>
    <t>[ไปที่นโยบายการปฏิบัติงาน]</t>
    <phoneticPr fontId="2" type="noConversion"/>
  </si>
  <si>
    <t>[Ir a Política operativa]</t>
    <phoneticPr fontId="2" type="noConversion"/>
  </si>
  <si>
    <t>[Ir para Política operacional]</t>
    <phoneticPr fontId="2" type="noConversion"/>
  </si>
  <si>
    <t>存在加入门派的角色，将无法注销账号。</t>
    <phoneticPr fontId="2" type="noConversion"/>
  </si>
  <si>
    <t>Eliminación de la cuenta de juego en proceso.\r\nTiempo restante: {1}\r\n¿Quieres cancelar la solicitud?</t>
    <phoneticPr fontId="2" type="noConversion"/>
  </si>
  <si>
    <t>&lt;span color="#FF0000"&gt;현재 {1}명이 접속 대기 중입니다.&lt;/&gt;\r\n안정적인 플레이 환경을 제공하기 위해서 접속 인원을 제한하고 있으니, 잠시만 기다려 주시기 바랍니다. \r\n대기 취소를 선택하시면 대기 순위가 초기화됩니다.</t>
    <phoneticPr fontId="2" type="noConversion"/>
  </si>
  <si>
    <t>&lt;span color="#FF0000"&gt;{1} players are currently waiting to connect.&lt;/&gt;\r\nWe're limiting the number of concurrent connections for a stable gaming environment. Please stand by.\r\nIf you choose to stop waiting, your number will reset.</t>
    <phoneticPr fontId="2" type="noConversion"/>
  </si>
  <si>
    <t>&lt;span color="#FF0000"&gt;當前排隊人數為：{1}。&lt;/&gt;\r\n為保障遊戲環境穩定，當前已限制訪問人數，請稍等。\r\n若取消排隊，等待順序將自動初始化。</t>
    <phoneticPr fontId="2" type="noConversion"/>
  </si>
  <si>
    <t>&lt;span color="#FF0000"&gt;当前排队人数为：{1}。&lt;/&gt;\r\n为保障游戏环境稳定，当前已限制访问人数，请稍等。\r\n若取消排队，将自动重置等待顺序。</t>
    <phoneticPr fontId="2" type="noConversion"/>
  </si>
  <si>
    <t>&lt;span color="#FF0000"&gt;現在{1}人が接続待機中です&lt;/&gt;\r\n安定したプレイ環境を提供できるよう、接続人数を制限しています。しばらくお待ちください\r\n待機取消を選択すると、待機順位が初期化されます</t>
    <phoneticPr fontId="2" type="noConversion"/>
  </si>
  <si>
    <t>&lt;span color="#FF0000"&gt;{1} ผู้เล่นกำลังรอเชื่อมต่ออยู่&lt;/&gt;\r\nเราจำกัดจำนวนการเชื่อมต่อพร้อมกันเพื่อสภาพแวดล้อมการเล่นเกมที่มีเสถียรภาพ โปรดรอ\r\nหากคุณเลือกที่จะหยุดรอ หมายเลขของคุณจะถูกรีเซ็ต</t>
    <phoneticPr fontId="2" type="noConversion"/>
  </si>
  <si>
    <t>&lt;span color="#FF0000"&gt;{1} jugadores están esperando a conectarse.&lt;/&gt;\r\nEstamos limitando el número de conexiones simultáneas para ofrecer un entorno de juego estable. Espera.\r\nSi detienes la espera, el número se restablecerá.</t>
    <phoneticPr fontId="2" type="noConversion"/>
  </si>
  <si>
    <t>&lt;span color="#FF0000"&gt;{1} jogadores estão atualmente à espera para se ligar.&lt;/&gt;\r\nEstamos a limitar o número de ligações atuais para manter um ambiente de jogo estável. Aguarde.\r\nSe optar por parar de esperar, o número será reposto.</t>
    <phoneticPr fontId="2" type="noConversion"/>
  </si>
  <si>
    <t>아래 버튼 터치 시 추가 다운로드가 진행됩니다. (WI-FI 권장)\r\n다운로드 진행 중에 미니 게임을 즐길 수 있습니다.</t>
    <phoneticPr fontId="2" type="noConversion"/>
  </si>
  <si>
    <t>Tapping the button below will start the additional download. (Wi-Fi recommended)\r\nYou can play a minigame while downloading the files.</t>
    <phoneticPr fontId="2" type="noConversion"/>
  </si>
  <si>
    <t>點擊下方按鍵開始追加下載。（建議使用Wi-Fi）\r\n在等待下載的時間裡可以玩一玩有趣的小遊戲。</t>
    <phoneticPr fontId="2" type="noConversion"/>
  </si>
  <si>
    <t>点击下方按键开始追加下载。（建议使用Wi-Fi）\r\n在等待下载的时间里可以玩一玩有趣的小游戏。</t>
    <phoneticPr fontId="2" type="noConversion"/>
  </si>
  <si>
    <t>以下のボタンをタッチすると、追加ダウンロードが行われます(Wi-Fi環境推奨)\r\nダウンロード進行中にミニゲームをプレイできます</t>
    <phoneticPr fontId="2" type="noConversion"/>
  </si>
  <si>
    <t>การแตะปุ่มด้านล่างจะเริ่มต้นการดาวน์โหลดเพิ่มเติม (แนะนำให้ใช้ Wi-Fi)\r\nคุณสามารถเล่นมินิเกมขณะดาวน์โหลดไฟล์ได้</t>
    <phoneticPr fontId="2" type="noConversion"/>
  </si>
  <si>
    <t>Si pulsas el siguiente botón, se iniciará la descarga adicional (wifi recomendado).\r\nPuedes jugar a un minijuego durante la descarga.</t>
    <phoneticPr fontId="2" type="noConversion"/>
  </si>
  <si>
    <t>Ao tocar no botão abaixo iniciará a transferência adicional. (Recomendamos uma ligação Wi-Fi)\r\nPoderá jogar um minijogo enquanto transfere os ficheiros.</t>
    <phoneticPr fontId="2" type="noConversion"/>
  </si>
  <si>
    <t>A great adventure awaits you in the land of Mir.\r\nIn order to enjoy the adventures in Mir, you must download {1} of additional data. We recommend you do it on a Wi-Fi network.</t>
    <phoneticPr fontId="2" type="noConversion"/>
  </si>
  <si>
    <t>傳奇大陸正在等你來冒險。\r\n在正式開始傳奇大陸的冒險前，需追加下載{1}，建議在Wi-Fi環境下進行下載。</t>
    <phoneticPr fontId="2" type="noConversion"/>
  </si>
  <si>
    <t>传奇大陆正在等你来冒险。\r\n在正式开始传奇大陆的冒险前，需追加下载{1}，建议在Wi-Fi环境下进行下载。</t>
    <phoneticPr fontId="2" type="noConversion"/>
  </si>
  <si>
    <t>MIR大陸には、さらに壮大な冒険が待っています\r\nMIR大陸を冒険するには{1}の追加ダウンロードが必要です\r\n※Wi-Fi環境でのダウンロードを推奨します</t>
    <phoneticPr fontId="2" type="noConversion"/>
  </si>
  <si>
    <t>การผจญภัยครั้งใหญ่กำลังรอคุณอยู่ในดินแดนแห่ง Mir\r\nหากต้องการสนุกไปกับการผจญภัยใน Mir คุณต้องดาวน์โหลดข้อมูลเพิ่มเติม {1} เราขอแนะนำให้คุณดาวน์โหลดผ่านเครือข่าย Wi-Fi</t>
    <phoneticPr fontId="2" type="noConversion"/>
  </si>
  <si>
    <t>Una gran aventura te espera en la tierra de Mir.\r\nPara disfrutar de las aventuras de Mir, debes descargar {1} de datos adicionales. Recomendamos conectarse a una red wifi.</t>
    <phoneticPr fontId="2" type="noConversion"/>
  </si>
  <si>
    <t>다운로드가 완료되었습니다.\r\n{1}초 후 미르4 모험이 시작됩니다.</t>
    <phoneticPr fontId="2" type="noConversion"/>
  </si>
  <si>
    <t>ダウンロードが完了しました\r\n{1}秒後、MIR4への冒険が始まります</t>
    <phoneticPr fontId="2" type="noConversion"/>
  </si>
  <si>
    <t>{1} \r\n서비스 이용  약관, 개인 정보 수집 및 이용 동의에 동의하셨습니다.</t>
    <phoneticPr fontId="2" type="noConversion"/>
  </si>
  <si>
    <t>{1}\r\nYou have agreed to the Terms of Use and the Collection and Use of Personal Information.</t>
    <phoneticPr fontId="2" type="noConversion"/>
  </si>
  <si>
    <t>{1}\r\n同意服務使用條款、收集及使用個人資訊。</t>
    <phoneticPr fontId="2" type="noConversion"/>
  </si>
  <si>
    <t>{1}\r\n同意服务使用条款、收集及使用个人信息。</t>
    <phoneticPr fontId="2" type="noConversion"/>
  </si>
  <si>
    <t>{1}\r\nサービス利用規約、個人情報収集および利用に同意しました</t>
    <phoneticPr fontId="2" type="noConversion"/>
  </si>
  <si>
    <t>{1}\r\nคุณได้ยอมรับเงื่อนไขการใช้งาน และการรวบรวมและการใช้ข้อมูลส่วนบุคคล</t>
    <phoneticPr fontId="2" type="noConversion"/>
  </si>
  <si>
    <t>{1}\r\nHas aceptado los Términos de uso y la Recopilación y uso de información personal.</t>
    <phoneticPr fontId="2" type="noConversion"/>
  </si>
  <si>
    <t>{1} \r\n서비스 이용  약관, 개인 정보 수집 및 이용 동의, 광고성 정보 수신에 동의하셨습니다.</t>
    <phoneticPr fontId="2" type="noConversion"/>
  </si>
  <si>
    <t>{1}\r\nYou have agreed to the Terms of Use, Collection and Use of Personal Information, and to receive advertisements.</t>
    <phoneticPr fontId="2" type="noConversion"/>
  </si>
  <si>
    <t>{1}\r\n同意服務使用條款、收集及使用個人資訊、接收廣告資訊。</t>
    <phoneticPr fontId="2" type="noConversion"/>
  </si>
  <si>
    <t>{1}\r\n同意服务使用条款、收集及使用个人信息、接收广告信息。</t>
    <phoneticPr fontId="2" type="noConversion"/>
  </si>
  <si>
    <t>{1}\r\nサービス利用規約、個人情報収集および利用、マーケティング情報受信に同意しました</t>
    <phoneticPr fontId="2" type="noConversion"/>
  </si>
  <si>
    <t>{1}\r\nคุณได้ยอมรับเงื่อนไขการใช้งาน การรวบรวมและการใช้ข้อมูลส่วนบุคคล และการรับโฆษณา</t>
    <phoneticPr fontId="2" type="noConversion"/>
  </si>
  <si>
    <t>{1}\r\nHas aceptado los Términos de uso, la Recopilación y uso de información personal y recibir publicidad.</t>
    <phoneticPr fontId="2" type="noConversion"/>
  </si>
  <si>
    <t>{1} \r\n서비스 이용  약관, 개인 정보 수집 및 이용 동의,광고성 정보 수신 동의, 야간 알림 수신 에 동의하셨습니다.</t>
    <phoneticPr fontId="2" type="noConversion"/>
  </si>
  <si>
    <t>{1}\r\nYou have agreed to the Terms of Use, Collection and Use of Personal Information, and to receive advertisements and nighttime notifications.</t>
    <phoneticPr fontId="2" type="noConversion"/>
  </si>
  <si>
    <t>{1}\r\n同意服務使用條款、收集及使用個人資訊、接收廣告資訊、接收夜間通知。</t>
    <phoneticPr fontId="2" type="noConversion"/>
  </si>
  <si>
    <t>{1}\r\n同意服务使用条款、收集及使用个人信息、接收广告信息、接收夜间通知。</t>
    <phoneticPr fontId="2" type="noConversion"/>
  </si>
  <si>
    <t>{1}\r\nサービス利用規約、個人情報収集および利用、マーケティング情報受信、夜間通知受信に同意しました</t>
    <phoneticPr fontId="2" type="noConversion"/>
  </si>
  <si>
    <t>{1}\r\nคุณได้ยอมรับเงื่อนไขการใช้งาน การรวบรวมและการใช้ข้อมูลส่วนบุคคล และการรับโฆษณาและการแจ้งเตือนในเวลากลางคืน</t>
    <phoneticPr fontId="2" type="noConversion"/>
  </si>
  <si>
    <t>{1}\r\nHas aceptado los Términos de uso, la Recopilación y uso de información personal y recibir publicidad y notificaciones nocturnas.</t>
    <phoneticPr fontId="2" type="noConversion"/>
  </si>
  <si>
    <t>{1} \r\n서비스 이용  약관, 개인 정보 수집 및 이용 동의, 야간 알림 수신에 동의하셨습니다.</t>
    <phoneticPr fontId="2" type="noConversion"/>
  </si>
  <si>
    <t>{1}\r\nYou have agreed to the Terms of Use, Collection and Use of Personal Information, and to receive nighttime notifications.</t>
    <phoneticPr fontId="2" type="noConversion"/>
  </si>
  <si>
    <t>{1}\r\n同意服務使用條款、收集及使用個人資訊、接收夜間通知。</t>
    <phoneticPr fontId="2" type="noConversion"/>
  </si>
  <si>
    <t>{1}\r\n同意服务使用条款、收集及使用个人信息、接收夜间通知。</t>
    <phoneticPr fontId="2" type="noConversion"/>
  </si>
  <si>
    <t>{1}\r\nサービス利用規約、個人情報収集および利用、夜間通知受信に同意しました</t>
    <phoneticPr fontId="2" type="noConversion"/>
  </si>
  <si>
    <t>{1}\r\nคุณได้ยอมรับเงื่อนไขการใช้งาน การรวบรวมและการใช้ข้อมูลส่วนบุคคล และการรับการแจ้งเตือนในเวลากลางคืน</t>
    <phoneticPr fontId="2" type="noConversion"/>
  </si>
  <si>
    <t>{1}\r\nHas aceptado los Términos de uso, la Recopilación y uso de información personal y recibir notificaciones nocturnas.</t>
    <phoneticPr fontId="2" type="noConversion"/>
  </si>
  <si>
    <t>[Peaceful]</t>
    <phoneticPr fontId="2" type="noConversion"/>
  </si>
  <si>
    <t>［和平］</t>
    <phoneticPr fontId="2" type="noConversion"/>
  </si>
  <si>
    <t>【和平】</t>
    <phoneticPr fontId="2" type="noConversion"/>
  </si>
  <si>
    <t>[平和]</t>
    <phoneticPr fontId="2" type="noConversion"/>
  </si>
  <si>
    <t>[ปลอดภัย]</t>
    <phoneticPr fontId="2" type="noConversion"/>
  </si>
  <si>
    <t>[Pacífico]</t>
    <phoneticPr fontId="2" type="noConversion"/>
  </si>
  <si>
    <t>Prepare for the wave of monsters.</t>
    <phoneticPr fontId="2" type="noConversion"/>
  </si>
  <si>
    <t>怪物即將湧來，請做好準備。</t>
    <phoneticPr fontId="2" type="noConversion"/>
  </si>
  <si>
    <t>怪物即将涌来，请做好准备。</t>
    <phoneticPr fontId="2" type="noConversion"/>
  </si>
  <si>
    <t>押し寄せてくるモンスターに備えましょう</t>
    <phoneticPr fontId="2" type="noConversion"/>
  </si>
  <si>
    <t>เตรียมตัวรับมือฝูงมอนสเตอร์</t>
    <phoneticPr fontId="2" type="noConversion"/>
  </si>
  <si>
    <t>Prepárate para la oleada de monstruos.</t>
    <phoneticPr fontId="2" type="noConversion"/>
  </si>
  <si>
    <t>Preparar-se para uma vaga de monstros.</t>
    <phoneticPr fontId="2" type="noConversion"/>
  </si>
  <si>
    <t>為了體驗更完整的遊戲內容，需要進行額外下載。\r\n額外下載資源為{1}，使用流量下載時有可能產生額外費用。\r\n（建議使用Wi-Fi下載）下載可以在背景執行，在主畫面中也可以繼續下載。\r\n\r\n是否要下載？</t>
    <phoneticPr fontId="2" type="noConversion"/>
  </si>
  <si>
    <t>&lt;CommonPopUpKeyWord&gt;{1}%&lt;/&gt; ({2}MB/{3}GB) {3}MB</t>
    <phoneticPr fontId="2" type="noConversion"/>
  </si>
  <si>
    <t>Allow MIR4 access to your photos, microphone, media, and other files?</t>
    <phoneticPr fontId="2" type="noConversion"/>
  </si>
  <si>
    <t>是否同意MIR4存取您的照片，麥克風，媒體及其它檔案？</t>
    <phoneticPr fontId="2" type="noConversion"/>
  </si>
  <si>
    <t>是否同意MIR4访问您的照片，麦克风，媒体及其它文件？</t>
    <phoneticPr fontId="2" type="noConversion"/>
  </si>
  <si>
    <t>อนุญาตให้ MIR4 เข้าถึงรูปภาพ ไมโครโฟน สื่อ และไฟล์อื่นๆ ของคุณหรือไม่</t>
    <phoneticPr fontId="2" type="noConversion"/>
  </si>
  <si>
    <t>¿Das acceso a MIR4 a tus fotos, micrófono, contenido multimedia y otros archivos?</t>
    <phoneticPr fontId="2" type="noConversion"/>
  </si>
  <si>
    <t>Permitir que o MIR4 aceda a fotografias, microfone, multimédia e outros ficheiros?</t>
    <phoneticPr fontId="2" type="noConversion"/>
  </si>
  <si>
    <t>Download complete.\r\nThe adventures of MIR4 starts in {1} sec.</t>
    <phoneticPr fontId="2" type="noConversion"/>
  </si>
  <si>
    <t>下載完畢。\r\n{1}秒後將開啟MIR4的冒險之旅。</t>
    <phoneticPr fontId="2" type="noConversion"/>
  </si>
  <si>
    <t>下载完毕。\r\n{1}秒后将开启MIR4的冒险之旅。</t>
    <phoneticPr fontId="2" type="noConversion"/>
  </si>
  <si>
    <t>ดาวน์โหลดเสร็จสมบูรณ์\r\nการผจญภัยใน MIR4 จะเริ่มขึ้นใน {1} วินาที</t>
    <phoneticPr fontId="2" type="noConversion"/>
  </si>
  <si>
    <t>Descarga completada.\r\nLas aventuras de MIR4 comienzan en {1} s.</t>
    <phoneticPr fontId="2" type="noConversion"/>
  </si>
  <si>
    <t>[필수] 사진 및 미디어: 게임 내 컨텐츠(프로필 등)의 이용을 위한 촬영 및 업로드 권한\r\n[필수] 마이크: 파티 플레이에서의 음성채팅을 위한 권한\r\n[선택] PUSH 수신: 이벤트 등의 광고성 알림에 대한 PUSH 수신 권한\r\n\r\n&lt;span color="#FFCC00"&gt;※ '다시 보지 않기'를 선택하여 [필수 접근 권한]을 거부한 경우, 단말기 &gt; 어플리케이션 &gt; 미르4 &gt; 권한 메뉴에서 '권한 사용 여부'를 변경할 수 있습니다.&lt;/&gt;</t>
    <phoneticPr fontId="2" type="noConversion"/>
  </si>
  <si>
    <t>[Required] Photo and Media: Permission to take and upload photos to use the in-game contents (profile, etc.)\r\n[Required] Microphone: Permission to access the voice chat during party play\r\n[Optional] PUSH Notifications: Permission to send PUSH notifications that promote events, etc.\r\n\r\n&lt;span color="#FFCC00"&gt;※ If you have declined the [Required Access Permissions] by selecting 'Do not show this again', you can change the Permission Settings in the Device &gt; Application &gt; MIR4 &gt; Permission menu.&lt;/&gt;</t>
    <phoneticPr fontId="2" type="noConversion"/>
  </si>
  <si>
    <t>【必须】照片及视频：游戏玩法（头像等）所需的拍摄及上传权限\r\n【必须】麦克风：组队游戏语音聊天所需权限\r\n【选择】推送：活动等广告通知的推送接收权限\r\n\r\n&lt;span color="#FFCC00"&gt;※选择“不再提示”，并拒绝【必须访问权限】时，可从设备&gt;APP&gt;MIR4&gt;权限菜单中更改“权限使用状态”。&lt;/&gt;</t>
    <phoneticPr fontId="2" type="noConversion"/>
  </si>
  <si>
    <t>[必須]写真およびメディア：ゲーム内コンテンツ(プロフィールなど)の利用に必要な撮影およびアップロード権限\r\n[必須]マイク：パーティープレイでの音声チャットに必要な権限\r\n[選択]PUSH受信：イベントなどのマーケティング情報受信に関するPUSH受信権限\r\n\r\n&lt;span color="#FFCC00"&gt;※「再表示しない」を選択して[必須アクセス権限]を拒否した場合は、端末 &gt; アプリケーション &gt; MIR4 &gt; 権限メニューで「権限使用の有無」を変更できます。&lt;/&gt;</t>
    <phoneticPr fontId="2" type="noConversion"/>
  </si>
  <si>
    <t>[จำเป็น] รูปภาพและสื่อ: การอนุญาตสิทธิ์ที่จะจับภาพและอัปโหลดรูปภาพเพื่อใช้เนื้อหาภายในเกม (โปรไฟล์ และอื่นๆ)\r\n[จำเป็น] ไมโครโฟน: การอนุญาตสิทธิ์เพื่อเข้าถึงการแชทด้วยเสียงระหว่างการเล่นแบบปาร์ตี้\r\n[เลือก] แจ้งเตือน PUSH : การอนุญาตสิทธิ์เพื่อส่งแจ้งเตือน PUSH โฆษณา เช่น กิจกรรม\r\n\r\n&lt;span color="#FFCC00"&gt;※ หากคุณปฏิเสธ [การอนุญาตสิทธิ์การเข้าถึงที่จำเป็น] ด้วยการเลือก 'ไม่ต้องแสดงอีก', คุณสามารถเปลี่ยนการตั้งค่าการอนุญาตสิทธิ์ได้ใน อุปกรณ์ &gt; แอปพลิเคชั่น &gt; MIR4 &gt; เมนูการอนุญาตสิทธิ์&lt;/&gt;</t>
    <phoneticPr fontId="2" type="noConversion"/>
  </si>
  <si>
    <t>[Obligatorio] Fotos y multimedia: Permiso para sacar y subir fotos para usar contenidos del juego (perfil, etc.)\r\n[Obligatorio] Micrófono: Permiso para acceder al chat de voz en partida grupal\r\n[Opcional] Notificaciones push: Permiso para recibir notificaciones push de publicidad y eventos.\r\n\r\n&lt;span color="#FFCC00"&gt;※ Si has rechazado los [permisos de acceso obligatorios] al seleccionar «No volver a mostrar», puedes cambiar los ajustes de permisos en Dispositivo &gt; Aplicación &gt; MIR4 &gt; Menú de permisos.&lt;/&gt;</t>
    <phoneticPr fontId="2" type="noConversion"/>
  </si>
  <si>
    <t>[Obrigatório] Fotografias e multimídia: Permissão para tirar e carregar fotografias para utilizar os conteúdos de jogo (perfil, etc.)\r\n[Obrigatório] Microfone: Permissão requisitada para utilizar o chat de voz durante um jogo de equipe\r\n[Opcional] Notificações Automáticas: Permissão de envio de notificações automáticas sobre avisos de publicidade e eventos.\r\n\r\n&lt;span color="#FFCC00"&gt;※ Se tiver rejeitado as [Permissões de acesso necessárias] ao selecionar "Não mostrar novamente", pode alterar as Definições de permissões em Dispositivo &gt; Aplicativos &gt; MIR4 &gt; “Permitir Acesso” no menu Permissões.&lt;/&gt;</t>
    <phoneticPr fontId="2" type="noConversion"/>
  </si>
  <si>
    <t>환불 상품명</t>
    <phoneticPr fontId="2" type="noConversion"/>
  </si>
  <si>
    <t>Refund product name</t>
    <phoneticPr fontId="2" type="noConversion"/>
  </si>
  <si>
    <t>退款商品名</t>
    <phoneticPr fontId="2" type="noConversion"/>
  </si>
  <si>
    <t>返金商品名</t>
    <phoneticPr fontId="2" type="noConversion"/>
  </si>
  <si>
    <t>ชื่อสินค้าที่คืนเงิน</t>
    <phoneticPr fontId="2" type="noConversion"/>
  </si>
  <si>
    <t>Nombre de producto de reembolso</t>
    <phoneticPr fontId="2" type="noConversion"/>
  </si>
  <si>
    <t>Nome do produto do reembolso</t>
    <phoneticPr fontId="2" type="noConversion"/>
  </si>
  <si>
    <t>Guest Sign-in Warning</t>
    <phoneticPr fontId="2" type="noConversion"/>
  </si>
  <si>
    <t>GUESTログイン注意事項</t>
    <phoneticPr fontId="2" type="noConversion"/>
  </si>
  <si>
    <t>คำเตือนการเข้าสู่ระบบแบบ Guest</t>
    <phoneticPr fontId="2" type="noConversion"/>
  </si>
  <si>
    <t>Sign-in request failed. Please try again later.</t>
    <phoneticPr fontId="2" type="noConversion"/>
  </si>
  <si>
    <t>ログインリクエストに失敗しました。しばらくしてから再度お試しください。</t>
    <phoneticPr fontId="2" type="noConversion"/>
  </si>
  <si>
    <t>คำขอเข้าสู่ระบบไม่สำเร็จ โปรดลองอีกครั้งภายหลัง</t>
    <phoneticPr fontId="2" type="noConversion"/>
  </si>
  <si>
    <t>若以游客账号登录，当&lt;span color="#c03838"&gt;卸载、重新安装应用程序及更改设备&lt;/&gt;时，&lt;span color="#c03838"&gt;游戏\r\n信息及购买记录将无法受到保护，&lt;/&gt;游客账号的数据一经消失，\r\n&lt;span color="#c03838"&gt;将无法恢复&lt;/&gt;。\r\n为保障数据&lt;span color="#3e94dd"&gt;安全&lt;/&gt;，\r\n建议您&lt;span color="#3e94dd"&gt;绑定账号&lt;/&gt;（Google/Facebook）。</t>
    <phoneticPr fontId="2" type="noConversion"/>
  </si>
  <si>
    <t>更新檔錯誤，重新嘗試。\r\n請確認您的網路狀態。({1})</t>
    <phoneticPr fontId="2" type="noConversion"/>
  </si>
  <si>
    <t>补丁出错，重新尝试。\r\n请确认您的网络状态。（{1}）</t>
    <phoneticPr fontId="2" type="noConversion"/>
  </si>
  <si>
    <t>パッチエラー発生のため、再実行します\r\nネットワーク状態を確認してください({1})</t>
    <phoneticPr fontId="2" type="noConversion"/>
  </si>
  <si>
    <t>ลองอีกครั้ง เนื่องจากแพทช์เกิดข้อผิดพลาด\r\nกรุณาตรวจสอบการเชื่อมต่อเครือข่ายของคุณ ({1})</t>
    <phoneticPr fontId="2" type="noConversion"/>
  </si>
  <si>
    <t>Concorde com os Termos de utilização e com a Coleta e utilização de dados pessoais.</t>
    <phoneticPr fontId="2" type="noConversion"/>
  </si>
  <si>
    <t>Detectamos uma violação da nossa Política operacional (abuso dos processos da empresa e da loja de mercado livre). O acesso à sua conta será permanentemente limitado de acordo com os nossos Termos de utilização e Política operacional.</t>
    <phoneticPr fontId="2" type="noConversion"/>
  </si>
  <si>
    <t>&lt;span color="#FF0000"&gt; 미등록&lt;/&gt;</t>
    <phoneticPr fontId="2" type="noConversion"/>
  </si>
  <si>
    <t>&lt;span color="#FF0000"&gt; Unregistered&lt;/&gt;</t>
    <phoneticPr fontId="2" type="noConversion"/>
  </si>
  <si>
    <t>&lt;span color="#FF0000"&gt;未登錄&lt;/&gt;</t>
    <phoneticPr fontId="2" type="noConversion"/>
  </si>
  <si>
    <t>&lt;span color="#FF0000"&gt;未添加&lt;/&gt;</t>
    <phoneticPr fontId="2" type="noConversion"/>
  </si>
  <si>
    <t>&lt;span color="#FF0000"&gt;未登録&lt;/&gt;</t>
    <phoneticPr fontId="2" type="noConversion"/>
  </si>
  <si>
    <t>&lt;span color="#FF0000"&gt; ไม่ได้ลงทะเบียน&lt;/&gt;</t>
    <phoneticPr fontId="2" type="noConversion"/>
  </si>
  <si>
    <t>&lt;span color="#FF0000"&gt; Sin registrar&lt;/&gt;</t>
    <phoneticPr fontId="2" type="noConversion"/>
  </si>
  <si>
    <t>&lt;span color="#FF0000"&gt;Não registrado&lt;/&gt;</t>
    <phoneticPr fontId="2" type="noConversion"/>
  </si>
  <si>
    <t>등록중</t>
    <phoneticPr fontId="2" type="noConversion"/>
  </si>
  <si>
    <t>Registering</t>
    <phoneticPr fontId="2" type="noConversion"/>
  </si>
  <si>
    <t>已登錄</t>
    <phoneticPr fontId="2" type="noConversion"/>
  </si>
  <si>
    <t>已添加</t>
    <phoneticPr fontId="2" type="noConversion"/>
  </si>
  <si>
    <t>登録中</t>
    <phoneticPr fontId="2" type="noConversion"/>
  </si>
  <si>
    <t>การลงทะเบียน</t>
    <phoneticPr fontId="2" type="noConversion"/>
  </si>
  <si>
    <t>Registrando</t>
    <phoneticPr fontId="2" type="noConversion"/>
  </si>
  <si>
    <t>A registrar</t>
    <phoneticPr fontId="2" type="noConversion"/>
  </si>
  <si>
    <t>등록 안내</t>
    <phoneticPr fontId="2" type="noConversion"/>
  </si>
  <si>
    <t>Registration Notice</t>
    <phoneticPr fontId="2" type="noConversion"/>
  </si>
  <si>
    <t>登錄說明</t>
    <phoneticPr fontId="2" type="noConversion"/>
  </si>
  <si>
    <t>添加说明</t>
    <phoneticPr fontId="2" type="noConversion"/>
  </si>
  <si>
    <t>登録案内</t>
    <phoneticPr fontId="2" type="noConversion"/>
  </si>
  <si>
    <t>ประกาศเรื่องการลงทะเบียน</t>
    <phoneticPr fontId="2" type="noConversion"/>
  </si>
  <si>
    <t>Aviso de registro</t>
    <phoneticPr fontId="2" type="noConversion"/>
  </si>
  <si>
    <t>目前登入裝置為未登錄的裝置。\r\n須進行本人認證後登錄裝置，\r\n才能繼續遊戲。\r\n（須透過目前使用的電話號碼機進行SMS認證）\r\n\r\n是否進行登錄？</t>
    <phoneticPr fontId="2" type="noConversion"/>
  </si>
  <si>
    <t>Iniciou sessão a partir de um dispositivo não registrado.\r\nAntes de poder continuar,\r\né necessário verificar a sua identidade e registrar o seu dispositivo.\r\n(Deverá poder receber uma verificação por SMS no número registrado.)\r\n\r\nProsseguir com o registro?</t>
    <phoneticPr fontId="2" type="noConversion"/>
  </si>
  <si>
    <t>기기 등록</t>
    <phoneticPr fontId="2" type="noConversion"/>
  </si>
  <si>
    <t>Register a device</t>
    <phoneticPr fontId="2" type="noConversion"/>
  </si>
  <si>
    <t>登錄裝置</t>
    <phoneticPr fontId="2" type="noConversion"/>
  </si>
  <si>
    <t>添加设备</t>
    <phoneticPr fontId="2" type="noConversion"/>
  </si>
  <si>
    <t>端末登録</t>
    <phoneticPr fontId="2" type="noConversion"/>
  </si>
  <si>
    <t>ลงทะเบียนอุปกรณ์</t>
    <phoneticPr fontId="2" type="noConversion"/>
  </si>
  <si>
    <t>Registrar dispositivo</t>
    <phoneticPr fontId="2" type="noConversion"/>
  </si>
  <si>
    <t>Registrar um dispositivo</t>
    <phoneticPr fontId="2" type="noConversion"/>
  </si>
  <si>
    <t>需登錄目前使用的裝置。</t>
    <phoneticPr fontId="2" type="noConversion"/>
  </si>
  <si>
    <t>O seu dispositivo atual deve estar registrado.</t>
    <phoneticPr fontId="2" type="noConversion"/>
  </si>
  <si>
    <t>기기 등록이 완료되었습니다.\r\n등록일 : {1}</t>
    <phoneticPr fontId="2" type="noConversion"/>
  </si>
  <si>
    <t>Device registration complete.\r\nRegistration date: {1}</t>
    <phoneticPr fontId="2" type="noConversion"/>
  </si>
  <si>
    <t>裝置登錄完畢。\r\n登錄日：{1}</t>
    <phoneticPr fontId="2" type="noConversion"/>
  </si>
  <si>
    <t>设备添加完毕。\r\n添加日：{1}</t>
    <phoneticPr fontId="2" type="noConversion"/>
  </si>
  <si>
    <t>端末登録が完了しました\r\n登録日：{1}</t>
    <phoneticPr fontId="2" type="noConversion"/>
  </si>
  <si>
    <t>การลงทะเบียนอุปกรณ์เสร็จสมบูรณ์\r\nวันที่ลงทะเบียน: {1}</t>
    <phoneticPr fontId="2" type="noConversion"/>
  </si>
  <si>
    <t>Registro de dispositivo completado.\r\nFecha de registro: {1}</t>
    <phoneticPr fontId="2" type="noConversion"/>
  </si>
  <si>
    <t>Registro de dispositivo concluído.\r\nData do registro: {1}</t>
    <phoneticPr fontId="2" type="noConversion"/>
  </si>
  <si>
    <t>登錄裝置資訊</t>
    <phoneticPr fontId="2" type="noConversion"/>
  </si>
  <si>
    <t>Informação do registro de dispositivo</t>
    <phoneticPr fontId="2" type="noConversion"/>
  </si>
  <si>
    <t>등록된 기기가 {1}대 있습니다.</t>
    <phoneticPr fontId="2" type="noConversion"/>
  </si>
  <si>
    <t>You have {1} registered devices.</t>
    <phoneticPr fontId="2" type="noConversion"/>
  </si>
  <si>
    <t>已登錄{1}台裝置。</t>
    <phoneticPr fontId="2" type="noConversion"/>
  </si>
  <si>
    <t>已添加{1}台设备。</t>
    <phoneticPr fontId="2" type="noConversion"/>
  </si>
  <si>
    <t>登録された端末が{1}台あります</t>
    <phoneticPr fontId="2" type="noConversion"/>
  </si>
  <si>
    <t>คุณมีอุปกรณ์ที่ลงทะเบียนแล้ว {1} เครื่อง</t>
    <phoneticPr fontId="2" type="noConversion"/>
  </si>
  <si>
    <t>Dispositivos registrados: {1}.</t>
    <phoneticPr fontId="2" type="noConversion"/>
  </si>
  <si>
    <t>Tem {1} dispositivo(s) registrado(s).</t>
    <phoneticPr fontId="2" type="noConversion"/>
  </si>
  <si>
    <t>&lt;span color="#FF0000"&gt;每個帳號最多可以登錄{1}台。\r\n當已登錄{1}台裝置時，須從已登錄的裝置中移除一台後，才能繼續登錄。&lt;/&gt;</t>
    <phoneticPr fontId="2" type="noConversion"/>
  </si>
  <si>
    <t>&lt;span color="#FF0000"&gt;Pode registrar até {1} dispositivos por conta.\r\nCaso já tenha registrado {1} dispositivos, terá de remover um dos dispositivos registrados para registrar um novo dispositivo.&lt;/&gt;</t>
    <phoneticPr fontId="2" type="noConversion"/>
  </si>
  <si>
    <t>기기 등록 삭제</t>
    <phoneticPr fontId="2" type="noConversion"/>
  </si>
  <si>
    <t>Remove the registered device</t>
    <phoneticPr fontId="2" type="noConversion"/>
  </si>
  <si>
    <t>移除裝置</t>
    <phoneticPr fontId="2" type="noConversion"/>
  </si>
  <si>
    <t>移除设备</t>
    <phoneticPr fontId="2" type="noConversion"/>
  </si>
  <si>
    <t>端末登録削除</t>
    <phoneticPr fontId="2" type="noConversion"/>
  </si>
  <si>
    <t>ลบอุปกรณ์ที่ลงทะเบียนไว้ออก</t>
    <phoneticPr fontId="2" type="noConversion"/>
  </si>
  <si>
    <t>Borrar dispositivo registrado</t>
    <phoneticPr fontId="2" type="noConversion"/>
  </si>
  <si>
    <t>Remover o dispositivo registrado</t>
    <phoneticPr fontId="2" type="noConversion"/>
  </si>
  <si>
    <t>등록된 기기가 삭제되었습니다.</t>
    <phoneticPr fontId="2" type="noConversion"/>
  </si>
  <si>
    <t>The registered device has been removed.</t>
    <phoneticPr fontId="2" type="noConversion"/>
  </si>
  <si>
    <t>成功移除裝置。</t>
    <phoneticPr fontId="2" type="noConversion"/>
  </si>
  <si>
    <t>成功移除设备。</t>
    <phoneticPr fontId="2" type="noConversion"/>
  </si>
  <si>
    <t>登録された端末が削除されました</t>
    <phoneticPr fontId="2" type="noConversion"/>
  </si>
  <si>
    <t>ลบอุปกรณ์ที่ลงทะเบียนออกเรียบร้อยแล้ว</t>
    <phoneticPr fontId="2" type="noConversion"/>
  </si>
  <si>
    <t>El dispositivo registrado se ha borrado.</t>
    <phoneticPr fontId="2" type="noConversion"/>
  </si>
  <si>
    <t>O dispositivo registrado foi removido.</t>
    <phoneticPr fontId="2" type="noConversion"/>
  </si>
  <si>
    <t>Há uma grande aventura à sua espera na terra de Mir.\r\nPara poder desfrutar das aventuras em Mir, terá de transferir {1} de dados adicionais. Recomendamos que o faça através de uma rede Wi-Fi.</t>
    <phoneticPr fontId="2" type="noConversion"/>
  </si>
  <si>
    <t>Transferência concluída.\r\nAs aventuras de MIR4 começam dentro de {1}s.</t>
    <phoneticPr fontId="2" type="noConversion"/>
  </si>
  <si>
    <t>{1}\r\nConcordou com os Termos de utilização e com a Coleta e utilização de dados pessoais.</t>
    <phoneticPr fontId="2" type="noConversion"/>
  </si>
  <si>
    <t>Se iniciar sessão com uma conta de convidado,\r\nnão poderá recuperar os seus dados no caso de eliminar ou reinstalar o jogo.\r\nTem a certeza de que deseja continuar com uma conta de convidado?\r\nAssocie a sua conta a outro método de registro para proteger os seus dados.</t>
    <phoneticPr fontId="2" type="noConversion"/>
  </si>
  <si>
    <t>{1}\r\nConcordou com os Termos de utilização e com a Coleta e utilização de dados pessoais, e aceitou receber publicidade.</t>
    <phoneticPr fontId="2" type="noConversion"/>
  </si>
  <si>
    <t>{1}\r\nConcordou com os Termos de utilização e com a Coleta e utilização de dados pessoais, e aceitou receber publicidade e notificações em horário noturno.</t>
    <phoneticPr fontId="2" type="noConversion"/>
  </si>
  <si>
    <t>{1}\r\nConcordou com os Termos de utilização e com a Coleta e utilização de dados pessoais, e aceitou receber notificações em horário noturno.</t>
    <phoneticPr fontId="2" type="noConversion"/>
  </si>
  <si>
    <t>야간 광고성 정보 수신에 동의하셨습니다.</t>
    <phoneticPr fontId="2" type="noConversion"/>
  </si>
  <si>
    <t>You have agreed to receive nighttime advertisements.</t>
    <phoneticPr fontId="2" type="noConversion"/>
  </si>
  <si>
    <t>已同意接收夜間廣告資訊。</t>
    <phoneticPr fontId="2" type="noConversion"/>
  </si>
  <si>
    <t>已同意接收夜间广告信息。</t>
    <phoneticPr fontId="2" type="noConversion"/>
  </si>
  <si>
    <t>夜間のマーケティング情報受信に同意しました</t>
    <phoneticPr fontId="2" type="noConversion"/>
  </si>
  <si>
    <t>คุณยินยอมที่จะรับการแจ้งเตือนในเวลากลางคืน</t>
    <phoneticPr fontId="2" type="noConversion"/>
  </si>
  <si>
    <t>Has aceptado recibir publicidad durante la noche. ({3}/{2}/{1})</t>
    <phoneticPr fontId="2" type="noConversion"/>
  </si>
  <si>
    <t>Aceitou receber publicidade em horário noturno.</t>
    <phoneticPr fontId="2" type="noConversion"/>
  </si>
  <si>
    <t>［必要］照片及影片：遊戲內內容（大頭貼等）使用所需的拍攝及上傳權限\r\n［必要］麥克風：組隊遊戲語音聊天所需權限\r\n［選擇］推播接收：活動等廣告通知的推播接收權限\r\n\r\n&lt;span color="#FFCC00"&gt;※選擇「不再提示」，並拒絕［必要存取權限］的情況，可在裝置＞應用程式＞MIR4＞權限選單中變更「是否使用權限」。&lt;/&gt;</t>
    <phoneticPr fontId="2" type="noConversion"/>
  </si>
  <si>
    <t>Exit Game</t>
    <phoneticPr fontId="2" type="noConversion"/>
  </si>
  <si>
    <t>結束遊戲</t>
    <phoneticPr fontId="2" type="noConversion"/>
  </si>
  <si>
    <t>游戏结束</t>
    <phoneticPr fontId="2" type="noConversion"/>
  </si>
  <si>
    <t>ゲーム終了</t>
    <phoneticPr fontId="2" type="noConversion"/>
  </si>
  <si>
    <t>ออกจากเกม</t>
    <phoneticPr fontId="2" type="noConversion"/>
  </si>
  <si>
    <t>Salir del juego</t>
    <phoneticPr fontId="2" type="noConversion"/>
  </si>
  <si>
    <t>Sair do jogo</t>
    <phoneticPr fontId="2" type="noConversion"/>
  </si>
  <si>
    <t>리소스 데이터 정보를 확인 중입니다…</t>
    <phoneticPr fontId="2" type="noConversion"/>
  </si>
  <si>
    <t>Checking resource data...</t>
    <phoneticPr fontId="2" type="noConversion"/>
  </si>
  <si>
    <t>正在確認資源資料資訊……</t>
    <phoneticPr fontId="2" type="noConversion"/>
  </si>
  <si>
    <t>正在确认资源数据信息……</t>
    <phoneticPr fontId="2" type="noConversion"/>
  </si>
  <si>
    <t>リソースデータ情報を確認中です…</t>
    <phoneticPr fontId="2" type="noConversion"/>
  </si>
  <si>
    <t>กำลังตรวจสอบข้อมูลทรัพยากร...</t>
    <phoneticPr fontId="2" type="noConversion"/>
  </si>
  <si>
    <t>Revisando datos de recurso…</t>
    <phoneticPr fontId="2" type="noConversion"/>
  </si>
  <si>
    <t>Verificando dados de recursos…</t>
    <phoneticPr fontId="2" type="noConversion"/>
  </si>
  <si>
    <t>&lt;CommonPopUpKeyWord&gt;{1}%&lt;/&gt;（{2}MB/{3}GB）{3}MB</t>
    <phoneticPr fontId="2" type="noConversion"/>
  </si>
  <si>
    <t>데이터를 다운로드가 완료되었습니다.</t>
    <phoneticPr fontId="2" type="noConversion"/>
  </si>
  <si>
    <t>Data download complete</t>
    <phoneticPr fontId="2" type="noConversion"/>
  </si>
  <si>
    <t>資料下載完成。</t>
    <phoneticPr fontId="2" type="noConversion"/>
  </si>
  <si>
    <t>资料下载完成。</t>
    <phoneticPr fontId="2" type="noConversion"/>
  </si>
  <si>
    <t>データダウンロードが完了されました。</t>
    <phoneticPr fontId="2" type="noConversion"/>
  </si>
  <si>
    <t>ดาวน์โหลดข้อมูลสำเร็จ</t>
    <phoneticPr fontId="2" type="noConversion"/>
  </si>
  <si>
    <t>Descarga de datos completa.</t>
    <phoneticPr fontId="2" type="noConversion"/>
  </si>
  <si>
    <t>Download de dados completo</t>
    <phoneticPr fontId="2" type="noConversion"/>
  </si>
  <si>
    <t>백그라운드 다운로드 중입니다.</t>
    <phoneticPr fontId="2" type="noConversion"/>
  </si>
  <si>
    <t>Downloading files in the Background</t>
    <phoneticPr fontId="2" type="noConversion"/>
  </si>
  <si>
    <t>背景程式下載中。</t>
    <phoneticPr fontId="2" type="noConversion"/>
  </si>
  <si>
    <t>后台程式下载中。</t>
    <phoneticPr fontId="2" type="noConversion"/>
  </si>
  <si>
    <t>バックグラウンドダウンロード中です。</t>
    <phoneticPr fontId="2" type="noConversion"/>
  </si>
  <si>
    <t>กำลังดาวน์โหลดไฟล์ในแบคกราวด์</t>
    <phoneticPr fontId="2" type="noConversion"/>
  </si>
  <si>
    <t>Descarga de archivos en segundo plano.</t>
    <phoneticPr fontId="2" type="noConversion"/>
  </si>
  <si>
    <t>Download de arquivos em segundo plano</t>
    <phoneticPr fontId="2" type="noConversion"/>
  </si>
  <si>
    <t>홈화면에서도 자동으로 데이터를 다운로드합니다.</t>
    <phoneticPr fontId="2" type="noConversion"/>
  </si>
  <si>
    <t>Download will continue in Home Screen</t>
    <phoneticPr fontId="2" type="noConversion"/>
  </si>
  <si>
    <t>主頁畫面也會自動下載資料。</t>
    <phoneticPr fontId="2" type="noConversion"/>
  </si>
  <si>
    <t>主页画面也会自动下载资料。</t>
    <phoneticPr fontId="2" type="noConversion"/>
  </si>
  <si>
    <t>ホーム画面に戻っても自動的にデータをダウンロードします。</t>
    <phoneticPr fontId="2" type="noConversion"/>
  </si>
  <si>
    <t>การดาวน์โหลดจะดำเนินต่อในหน้าหลัก</t>
    <phoneticPr fontId="2" type="noConversion"/>
  </si>
  <si>
    <t>La descarga continuará en la Pantalla de Inicio.</t>
    <phoneticPr fontId="2" type="noConversion"/>
  </si>
  <si>
    <t>O download continuará no Ecrã de Início</t>
    <phoneticPr fontId="2" type="noConversion"/>
  </si>
  <si>
    <t>Current score</t>
    <phoneticPr fontId="2" type="noConversion"/>
  </si>
  <si>
    <t>目前分數</t>
    <phoneticPr fontId="2" type="noConversion"/>
  </si>
  <si>
    <t>当前分数</t>
    <phoneticPr fontId="2" type="noConversion"/>
  </si>
  <si>
    <t>現在スコア</t>
    <phoneticPr fontId="2" type="noConversion"/>
  </si>
  <si>
    <t>คะแนนปัจจุบัน</t>
    <phoneticPr fontId="2" type="noConversion"/>
  </si>
  <si>
    <t>Puntuación actual</t>
    <phoneticPr fontId="2" type="noConversion"/>
  </si>
  <si>
    <t>Pontuação atual</t>
    <phoneticPr fontId="2" type="noConversion"/>
  </si>
  <si>
    <t>You are moving forward to defeat the next enemy.</t>
    <phoneticPr fontId="2" type="noConversion"/>
  </si>
  <si>
    <t>為了擊敗下一個敵人，正在前進。</t>
    <phoneticPr fontId="2" type="noConversion"/>
  </si>
  <si>
    <t>为了击败下一个敌人，正在前进。</t>
    <phoneticPr fontId="2" type="noConversion"/>
  </si>
  <si>
    <t>次の敵を退治するため、前方に移動しています。</t>
    <phoneticPr fontId="2" type="noConversion"/>
  </si>
  <si>
    <t>คุณกำลังมุ่งหน้าเพื่อเอาชนะศัตรูถัดไป</t>
    <phoneticPr fontId="2" type="noConversion"/>
  </si>
  <si>
    <t>Avanzas para vencer al siguiente enemigo.</t>
    <phoneticPr fontId="2" type="noConversion"/>
  </si>
  <si>
    <t>Está a avançar para derrotar o próximo inimigo.</t>
    <phoneticPr fontId="2" type="noConversion"/>
  </si>
  <si>
    <t>为了体验更完整的游戏内容，需要进行额外下载。\r\n额外下载资源为{1}，使用流量下载时有可能产生额外费用。（建议使用Wi-Fi下载）\r\n下载可以在背景执行，在主画面中也可以继续下载。\r\n\r\n是否要下载？</t>
    <phoneticPr fontId="2" type="noConversion"/>
  </si>
  <si>
    <t>Para experimentar más acción y contenidos, se necesitan descargas adicionales. \r\nEs necesario descargar archivos de recursos adicionales de {1}. Si se descarga en una red celular, pueden ocurrir costos adicionales. (Se recomienda una conexión Wi-Fi)\r\nLa descarga en segundo plano está disponible. Puedes ir a la pantalla de inicio y seguir descargando.\r\n\r\n¿Deseas descargarlo?</t>
    <phoneticPr fontId="2" type="noConversion"/>
  </si>
  <si>
    <t>Download will continue in Home Screen.</t>
    <phoneticPr fontId="2" type="noConversion"/>
  </si>
  <si>
    <t>下載將在主畫面中持續進行。</t>
    <phoneticPr fontId="2" type="noConversion"/>
  </si>
  <si>
    <t>下载将在主画面中持续进行。</t>
    <phoneticPr fontId="2" type="noConversion"/>
  </si>
  <si>
    <t>ホーム画面でもダウンロードがずっと進行します</t>
    <phoneticPr fontId="2" type="noConversion"/>
  </si>
  <si>
    <t>การดาวน์โหลดจะดำเนินการต่อในหน้าโฮมสกรีน</t>
    <phoneticPr fontId="2" type="noConversion"/>
  </si>
  <si>
    <t>O download continuará no Ecrã de Inicial</t>
    <phoneticPr fontId="2" type="noConversion"/>
  </si>
  <si>
    <t>Treacherous Nefarioxen and Aberrant Creatures are swarming in.</t>
  </si>
  <si>
    <t>처음 설치시 필요한 텍스트를 정의한 테이블. 수정 시 앱빌드 필요</t>
    <phoneticPr fontId="2" type="noConversion"/>
  </si>
  <si>
    <t>The Triumphant Tiger Demon King summons the Spell Stone of Weakness.</t>
  </si>
  <si>
    <t>Use your physical attacks to bypass its strong spell defense.</t>
  </si>
  <si>
    <t>Yeticlops Boss absorbs the energy of the dead and recovers HP.</t>
  </si>
  <si>
    <t>Azure Flame Emperor becomes frenzied, and evil energy explodes.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</si>
</sst>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1"/>
      <color theme="1"/>
      <name val="맑은 고딕"/>
      <family val="2"/>
      <charset val="129"/>
      <scheme val="minor"/>
    </font>
    <font>
      <sz val="10"/>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1"/>
      <name val="맑은 고딕"/>
      <family val="3"/>
      <charset val="129"/>
      <scheme val="minor"/>
    </font>
    <font>
      <b/>
      <sz val="10"/>
      <color rgb="FFFF0000"/>
      <name val="맑은 고딕"/>
      <family val="3"/>
      <charset val="129"/>
      <scheme val="minor"/>
    </font>
    <font>
      <b/>
      <sz val="10"/>
      <color theme="1" tint="0.499984740745262"/>
      <name val="맑은 고딕"/>
      <family val="3"/>
      <charset val="129"/>
      <scheme val="minor"/>
    </font>
    <font>
      <b/>
      <sz val="11"/>
      <color rgb="FFFF0000"/>
      <name val="맑은 고딕"/>
      <family val="3"/>
      <charset val="129"/>
      <scheme val="minor"/>
    </font>
    <font>
      <b/>
      <i/>
      <sz val="10"/>
      <color rgb="FFC00000"/>
      <name val="맑은 고딕"/>
      <family val="3"/>
      <charset val="129"/>
      <scheme val="minor"/>
    </font>
    <font>
      <b/>
      <i/>
      <sz val="9"/>
      <color rgb="FFFF0000"/>
      <name val="맑은 고딕"/>
      <family val="3"/>
      <charset val="129"/>
      <scheme val="minor"/>
    </font>
    <font>
      <sz val="11"/>
      <name val="맑은 고딕"/>
      <family val="2"/>
      <charset val="129"/>
      <scheme val="minor"/>
    </font>
    <font>
      <b/>
      <sz val="10"/>
      <name val="맑은 고딕"/>
      <family val="3"/>
      <charset val="129"/>
      <scheme val="minor"/>
    </font>
    <font>
      <b/>
      <sz val="10"/>
      <color theme="1"/>
      <name val="맑은 고딕"/>
      <family val="2"/>
      <charset val="129"/>
      <scheme val="minor"/>
    </font>
    <font>
      <sz val="10"/>
      <color theme="1"/>
      <name val="맑은 고딕"/>
      <family val="3"/>
      <charset val="129"/>
      <scheme val="minor"/>
    </font>
    <font>
      <sz val="10"/>
      <color rgb="FFFF0000"/>
      <name val="맑은 고딕"/>
      <family val="3"/>
      <charset val="129"/>
      <scheme val="minor"/>
    </font>
    <font>
      <u/>
      <sz val="11"/>
      <color theme="10"/>
      <name val="맑은 고딕"/>
      <family val="2"/>
      <charset val="129"/>
      <scheme val="minor"/>
    </font>
    <font>
      <b/>
      <sz val="11"/>
      <name val="맑은 고딕"/>
      <family val="3"/>
      <charset val="129"/>
      <scheme val="minor"/>
    </font>
    <font>
      <sz val="11"/>
      <color rgb="FF9C0006"/>
      <name val="맑은 고딕"/>
      <family val="2"/>
      <charset val="129"/>
      <scheme val="minor"/>
    </font>
    <font>
      <b/>
      <sz val="9"/>
      <name val="맑은 고딕"/>
      <family val="3"/>
      <charset val="129"/>
      <scheme val="minor"/>
    </font>
    <font>
      <sz val="9"/>
      <color theme="1"/>
      <name val="맑은 고딕"/>
      <family val="2"/>
      <charset val="129"/>
      <scheme val="minor"/>
    </font>
    <font>
      <sz val="9"/>
      <color rgb="FF9C0006"/>
      <name val="맑은 고딕"/>
      <family val="2"/>
      <charset val="129"/>
      <scheme val="minor"/>
    </font>
    <font>
      <sz val="9"/>
      <color theme="1"/>
      <name val="맑은 고딕"/>
      <family val="3"/>
      <charset val="129"/>
      <scheme val="minor"/>
    </font>
    <font>
      <b/>
      <sz val="9"/>
      <color theme="1"/>
      <name val="맑은 고딕"/>
      <family val="3"/>
      <charset val="129"/>
      <scheme val="minor"/>
    </font>
    <font>
      <sz val="9"/>
      <color theme="1"/>
      <name val="맑은 고딕"/>
      <family val="2"/>
      <charset val="129"/>
    </font>
    <font>
      <sz val="11"/>
      <name val="맑은 고딕"/>
      <family val="3"/>
      <charset val="129"/>
      <scheme val="minor"/>
    </font>
    <font>
      <sz val="9"/>
      <color theme="1"/>
      <name val="새굴림"/>
      <family val="2"/>
      <charset val="134"/>
    </font>
    <font>
      <sz val="11"/>
      <color theme="1"/>
      <name val="Arial"/>
      <family val="2"/>
    </font>
    <font>
      <sz val="9"/>
      <color rgb="FF333333"/>
      <name val="Verdana"/>
      <family val="2"/>
    </font>
    <font>
      <sz val="9"/>
      <color theme="1"/>
      <name val="맑은 고딕"/>
      <family val="1"/>
      <charset val="129"/>
      <scheme val="minor"/>
    </font>
    <font>
      <sz val="9"/>
      <color theme="1"/>
      <name val="맑은 고딕"/>
      <family val="2"/>
      <charset val="222"/>
      <scheme val="minor"/>
    </font>
  </fonts>
  <fills count="21">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rgb="FFFFFFCC"/>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indexed="26"/>
        <bgColor indexed="64"/>
      </patternFill>
    </fill>
    <fill>
      <patternFill patternType="solid">
        <fgColor indexed="47"/>
        <bgColor indexed="64"/>
      </patternFill>
    </fill>
    <fill>
      <patternFill patternType="solid">
        <fgColor indexed="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4" tint="0.79998168889431442"/>
        <bgColor theme="4" tint="0.79998168889431442"/>
      </patternFill>
    </fill>
    <fill>
      <patternFill patternType="solid">
        <fgColor theme="0" tint="-0.34998626667073579"/>
        <bgColor theme="4" tint="0.79998168889431442"/>
      </patternFill>
    </fill>
    <fill>
      <patternFill patternType="solid">
        <fgColor theme="0" tint="-0.34998626667073579"/>
        <bgColor indexed="64"/>
      </patternFill>
    </fill>
    <fill>
      <patternFill patternType="solid">
        <fgColor rgb="FFFFC7CE"/>
      </patternFill>
    </fill>
  </fills>
  <borders count="29">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bottom/>
      <diagonal/>
    </border>
    <border>
      <left style="medium">
        <color indexed="64"/>
      </left>
      <right style="hair">
        <color auto="1"/>
      </right>
      <top style="medium">
        <color indexed="64"/>
      </top>
      <bottom style="medium">
        <color indexed="64"/>
      </bottom>
      <diagonal/>
    </border>
    <border>
      <left style="hair">
        <color auto="1"/>
      </left>
      <right style="hair">
        <color auto="1"/>
      </right>
      <top style="medium">
        <color indexed="64"/>
      </top>
      <bottom style="medium">
        <color indexed="64"/>
      </bottom>
      <diagonal/>
    </border>
    <border>
      <left style="hair">
        <color auto="1"/>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right style="hair">
        <color auto="1"/>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5">
    <xf numFmtId="0" fontId="0" fillId="0" borderId="0">
      <alignment vertical="center"/>
    </xf>
    <xf numFmtId="0" fontId="15" fillId="0" borderId="0" applyNumberFormat="0" applyFill="0" applyBorder="0" applyAlignment="0" applyProtection="0">
      <alignment vertical="center"/>
    </xf>
    <xf numFmtId="0" fontId="17" fillId="20" borderId="0" applyNumberFormat="0" applyBorder="0" applyAlignment="0" applyProtection="0">
      <alignment vertical="center"/>
    </xf>
    <xf numFmtId="0" fontId="21" fillId="3" borderId="0">
      <alignment vertical="center"/>
    </xf>
    <xf numFmtId="0" fontId="26" fillId="0" borderId="0"/>
  </cellStyleXfs>
  <cellXfs count="122">
    <xf numFmtId="0" fontId="0" fillId="0" borderId="0" xfId="0">
      <alignment vertical="center"/>
    </xf>
    <xf numFmtId="0" fontId="5" fillId="0" borderId="0" xfId="0" applyFont="1" applyAlignment="1">
      <alignment horizontal="center" vertical="center" wrapText="1"/>
    </xf>
    <xf numFmtId="0" fontId="0" fillId="0" borderId="1" xfId="0" applyBorder="1" applyAlignment="1">
      <alignment horizontal="center" vertical="center"/>
    </xf>
    <xf numFmtId="0" fontId="0" fillId="0" borderId="1" xfId="0" applyBorder="1">
      <alignment vertical="center"/>
    </xf>
    <xf numFmtId="0" fontId="6" fillId="0" borderId="6" xfId="0" applyFont="1" applyBorder="1" applyAlignment="1">
      <alignment horizontal="center" vertical="center"/>
    </xf>
    <xf numFmtId="0" fontId="6" fillId="0" borderId="7" xfId="0" applyFont="1" applyBorder="1" applyAlignment="1">
      <alignment horizontal="center" vertical="center"/>
    </xf>
    <xf numFmtId="0" fontId="3" fillId="12" borderId="1" xfId="0" applyFont="1" applyFill="1" applyBorder="1">
      <alignment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4" borderId="1" xfId="0" applyFill="1" applyBorder="1" applyAlignment="1">
      <alignment horizontal="center" vertical="center"/>
    </xf>
    <xf numFmtId="0" fontId="3" fillId="12" borderId="1" xfId="0" applyFont="1" applyFill="1" applyBorder="1" applyAlignment="1">
      <alignment horizontal="left" vertical="center"/>
    </xf>
    <xf numFmtId="0" fontId="3" fillId="12" borderId="8" xfId="0" applyFont="1" applyFill="1" applyBorder="1">
      <alignment vertical="center"/>
    </xf>
    <xf numFmtId="0" fontId="0" fillId="0" borderId="0" xfId="0" applyAlignment="1">
      <alignment horizontal="center" vertical="center"/>
    </xf>
    <xf numFmtId="0" fontId="8" fillId="0" borderId="0" xfId="0" applyFont="1">
      <alignment vertical="center"/>
    </xf>
    <xf numFmtId="0" fontId="0" fillId="0" borderId="0" xfId="0" applyAlignment="1">
      <alignment horizontal="left" vertical="center"/>
    </xf>
    <xf numFmtId="0" fontId="9" fillId="4" borderId="1" xfId="0" applyFont="1" applyFill="1" applyBorder="1">
      <alignment vertical="center"/>
    </xf>
    <xf numFmtId="0" fontId="0" fillId="15" borderId="0" xfId="0" applyFill="1">
      <alignment vertical="center"/>
    </xf>
    <xf numFmtId="0" fontId="0" fillId="13" borderId="0" xfId="0" applyFill="1">
      <alignment vertical="center"/>
    </xf>
    <xf numFmtId="0" fontId="4" fillId="3" borderId="1" xfId="0" applyFont="1" applyFill="1" applyBorder="1" applyAlignment="1">
      <alignment horizontal="center" vertical="center"/>
    </xf>
    <xf numFmtId="0" fontId="0" fillId="3" borderId="1" xfId="0" applyFill="1" applyBorder="1" applyAlignment="1">
      <alignment horizontal="center" vertical="center"/>
    </xf>
    <xf numFmtId="0" fontId="0" fillId="5" borderId="1" xfId="0" applyFill="1" applyBorder="1" applyAlignment="1">
      <alignment horizontal="center" vertical="center"/>
    </xf>
    <xf numFmtId="0" fontId="3" fillId="5" borderId="1" xfId="0" applyFont="1" applyFill="1" applyBorder="1">
      <alignment vertical="center"/>
    </xf>
    <xf numFmtId="0" fontId="0" fillId="16" borderId="1" xfId="0" applyFill="1" applyBorder="1" applyAlignment="1">
      <alignment horizontal="right" vertical="center"/>
    </xf>
    <xf numFmtId="0" fontId="0" fillId="0" borderId="6" xfId="0" applyBorder="1" applyAlignment="1">
      <alignment horizontal="right" vertical="center"/>
    </xf>
    <xf numFmtId="0" fontId="0" fillId="0" borderId="7" xfId="0" applyBorder="1" applyAlignment="1">
      <alignment horizontal="right" vertical="center"/>
    </xf>
    <xf numFmtId="0" fontId="3" fillId="16" borderId="1" xfId="0" applyFont="1" applyFill="1" applyBorder="1">
      <alignment vertical="center"/>
    </xf>
    <xf numFmtId="0" fontId="0" fillId="14" borderId="1" xfId="0" applyFill="1" applyBorder="1" applyAlignment="1">
      <alignment horizontal="center" vertical="center"/>
    </xf>
    <xf numFmtId="0" fontId="11" fillId="0" borderId="1" xfId="0" applyFont="1" applyBorder="1" applyAlignment="1">
      <alignment vertical="center" wrapText="1"/>
    </xf>
    <xf numFmtId="0" fontId="10" fillId="3" borderId="1" xfId="0" applyFont="1" applyFill="1" applyBorder="1" applyAlignment="1">
      <alignment horizontal="center" vertical="center"/>
    </xf>
    <xf numFmtId="0" fontId="1" fillId="0" borderId="0" xfId="0" applyFont="1" applyAlignment="1">
      <alignment vertical="center" wrapText="1"/>
    </xf>
    <xf numFmtId="0" fontId="12" fillId="2" borderId="1" xfId="0" applyFont="1" applyFill="1" applyBorder="1" applyAlignment="1">
      <alignment vertical="center" wrapText="1"/>
    </xf>
    <xf numFmtId="0" fontId="13" fillId="5" borderId="1" xfId="0" applyFont="1" applyFill="1" applyBorder="1" applyAlignment="1">
      <alignment vertical="center" wrapText="1"/>
    </xf>
    <xf numFmtId="0" fontId="13" fillId="0" borderId="1" xfId="0" applyFont="1" applyBorder="1" applyAlignment="1">
      <alignment vertical="center" wrapText="1"/>
    </xf>
    <xf numFmtId="0" fontId="13" fillId="4" borderId="1" xfId="0" applyFont="1" applyFill="1" applyBorder="1" applyAlignment="1">
      <alignment vertical="center" wrapText="1"/>
    </xf>
    <xf numFmtId="0" fontId="11" fillId="0" borderId="0" xfId="0" applyFont="1" applyAlignment="1">
      <alignment vertical="center" wrapText="1"/>
    </xf>
    <xf numFmtId="0" fontId="14" fillId="0" borderId="0" xfId="0" applyFont="1">
      <alignment vertical="center"/>
    </xf>
    <xf numFmtId="0" fontId="15" fillId="0" borderId="1" xfId="1" applyBorder="1" applyAlignment="1">
      <alignment vertical="center" wrapText="1"/>
    </xf>
    <xf numFmtId="0" fontId="16" fillId="12" borderId="1" xfId="0" applyFont="1" applyFill="1" applyBorder="1">
      <alignment vertical="center"/>
    </xf>
    <xf numFmtId="0" fontId="19" fillId="0" borderId="0" xfId="0" applyFont="1">
      <alignment vertical="center"/>
    </xf>
    <xf numFmtId="0" fontId="19" fillId="0" borderId="0" xfId="0" applyFont="1" applyAlignment="1">
      <alignment horizontal="center" vertical="center"/>
    </xf>
    <xf numFmtId="0" fontId="19" fillId="0" borderId="0" xfId="0" applyFont="1" applyAlignment="1">
      <alignment horizontal="left" vertical="center" wrapText="1"/>
    </xf>
    <xf numFmtId="0" fontId="20" fillId="20" borderId="0" xfId="2" applyFont="1" applyAlignment="1">
      <alignment horizontal="center" vertical="center"/>
    </xf>
    <xf numFmtId="0" fontId="21" fillId="0" borderId="0" xfId="0" applyFont="1" applyAlignment="1">
      <alignment vertical="center" wrapText="1"/>
    </xf>
    <xf numFmtId="0" fontId="19" fillId="9" borderId="1" xfId="0" applyFont="1" applyFill="1" applyBorder="1" applyAlignment="1">
      <alignment horizontal="center" vertical="center" shrinkToFit="1"/>
    </xf>
    <xf numFmtId="0" fontId="19" fillId="10" borderId="1" xfId="0" applyFont="1" applyFill="1" applyBorder="1" applyAlignment="1">
      <alignment horizontal="center" vertical="center" shrinkToFit="1"/>
    </xf>
    <xf numFmtId="0" fontId="19" fillId="11" borderId="1" xfId="0" applyFont="1" applyFill="1" applyBorder="1" applyAlignment="1">
      <alignment horizontal="center" vertical="center" shrinkToFit="1"/>
    </xf>
    <xf numFmtId="0" fontId="19" fillId="0" borderId="1" xfId="0" applyFont="1" applyBorder="1" applyAlignment="1">
      <alignment horizontal="center" vertical="center"/>
    </xf>
    <xf numFmtId="0" fontId="16" fillId="3" borderId="1" xfId="0" applyFont="1" applyFill="1" applyBorder="1">
      <alignment vertical="center"/>
    </xf>
    <xf numFmtId="0" fontId="19" fillId="17" borderId="1" xfId="0" applyFont="1" applyFill="1" applyBorder="1" applyAlignment="1">
      <alignment horizontal="center" vertical="center"/>
    </xf>
    <xf numFmtId="0" fontId="19" fillId="18" borderId="1" xfId="0" applyFont="1" applyFill="1" applyBorder="1" applyAlignment="1">
      <alignment horizontal="center" vertical="center"/>
    </xf>
    <xf numFmtId="0" fontId="19" fillId="19" borderId="1" xfId="0" applyFont="1" applyFill="1" applyBorder="1" applyAlignment="1">
      <alignment horizontal="center" vertical="center"/>
    </xf>
    <xf numFmtId="0" fontId="23" fillId="0" borderId="1" xfId="0" applyFont="1" applyBorder="1" applyAlignment="1">
      <alignment horizontal="center" vertical="center"/>
    </xf>
    <xf numFmtId="0" fontId="24" fillId="0" borderId="1" xfId="0" applyFont="1" applyBorder="1" applyAlignment="1">
      <alignment horizontal="center" vertical="center"/>
    </xf>
    <xf numFmtId="0" fontId="18" fillId="0" borderId="1" xfId="0" applyFont="1" applyBorder="1">
      <alignment vertical="center"/>
    </xf>
    <xf numFmtId="0" fontId="19" fillId="0" borderId="0" xfId="0" applyFont="1" applyAlignment="1">
      <alignment vertical="center" shrinkToFit="1"/>
    </xf>
    <xf numFmtId="3" fontId="19" fillId="0" borderId="0" xfId="0" applyNumberFormat="1" applyFont="1">
      <alignment vertical="center"/>
    </xf>
    <xf numFmtId="3" fontId="22" fillId="6" borderId="1" xfId="0" applyNumberFormat="1" applyFont="1" applyFill="1" applyBorder="1" applyAlignment="1">
      <alignment horizontal="right" vertical="center" shrinkToFit="1"/>
    </xf>
    <xf numFmtId="3" fontId="22" fillId="7" borderId="1" xfId="0" applyNumberFormat="1" applyFont="1" applyFill="1" applyBorder="1" applyAlignment="1">
      <alignment horizontal="right" vertical="center" shrinkToFit="1"/>
    </xf>
    <xf numFmtId="3" fontId="22" fillId="8" borderId="1" xfId="0" applyNumberFormat="1" applyFont="1" applyFill="1" applyBorder="1" applyAlignment="1">
      <alignment horizontal="right" vertical="center" shrinkToFit="1"/>
    </xf>
    <xf numFmtId="0" fontId="16" fillId="4" borderId="1" xfId="0" applyFont="1" applyFill="1" applyBorder="1">
      <alignment vertical="center"/>
    </xf>
    <xf numFmtId="0" fontId="13" fillId="0" borderId="1" xfId="0" applyFont="1" applyBorder="1">
      <alignment vertical="center"/>
    </xf>
    <xf numFmtId="0" fontId="1" fillId="0" borderId="1" xfId="0" applyFont="1" applyBorder="1" applyAlignment="1">
      <alignment vertical="center" wrapText="1"/>
    </xf>
    <xf numFmtId="0" fontId="19" fillId="0" borderId="9" xfId="0" applyFont="1" applyBorder="1" applyAlignment="1">
      <alignment horizontal="center" vertical="center"/>
    </xf>
    <xf numFmtId="0" fontId="19" fillId="0" borderId="10" xfId="0" applyFont="1" applyBorder="1" applyAlignment="1">
      <alignment horizontal="center" vertical="center"/>
    </xf>
    <xf numFmtId="0" fontId="19" fillId="0" borderId="12" xfId="0" applyFont="1" applyBorder="1" applyAlignment="1">
      <alignment horizontal="center" vertical="center"/>
    </xf>
    <xf numFmtId="0" fontId="19" fillId="0" borderId="13" xfId="0" applyFont="1" applyBorder="1" applyAlignment="1">
      <alignment horizontal="center" vertical="center"/>
    </xf>
    <xf numFmtId="0" fontId="19" fillId="0" borderId="15" xfId="0" applyFont="1" applyBorder="1" applyAlignment="1">
      <alignment horizontal="center" vertical="center"/>
    </xf>
    <xf numFmtId="0" fontId="19" fillId="0" borderId="16" xfId="0" applyFont="1" applyBorder="1" applyAlignment="1">
      <alignment horizontal="center" vertical="center"/>
    </xf>
    <xf numFmtId="0" fontId="19" fillId="0" borderId="17" xfId="0" applyFont="1" applyBorder="1" applyAlignment="1">
      <alignment horizontal="center" vertical="center"/>
    </xf>
    <xf numFmtId="0" fontId="19" fillId="17" borderId="17" xfId="0" applyFont="1" applyFill="1" applyBorder="1" applyAlignment="1">
      <alignment horizontal="center" vertical="center"/>
    </xf>
    <xf numFmtId="0" fontId="19" fillId="18" borderId="17" xfId="0" applyFont="1" applyFill="1" applyBorder="1" applyAlignment="1">
      <alignment horizontal="center" vertical="center"/>
    </xf>
    <xf numFmtId="0" fontId="19" fillId="19" borderId="17" xfId="0" applyFont="1" applyFill="1" applyBorder="1" applyAlignment="1">
      <alignment horizontal="center" vertical="center"/>
    </xf>
    <xf numFmtId="0" fontId="19" fillId="0" borderId="19" xfId="0" applyFont="1" applyBorder="1" applyAlignment="1">
      <alignment horizontal="center" vertical="center"/>
    </xf>
    <xf numFmtId="0" fontId="19" fillId="0" borderId="21" xfId="0" applyFont="1" applyBorder="1" applyAlignment="1">
      <alignment horizontal="center" vertical="center"/>
    </xf>
    <xf numFmtId="0" fontId="19" fillId="0" borderId="22" xfId="0" applyFont="1" applyBorder="1" applyAlignment="1">
      <alignment horizontal="center" vertical="center"/>
    </xf>
    <xf numFmtId="0" fontId="19" fillId="0" borderId="23" xfId="0" applyFont="1" applyBorder="1" applyAlignment="1">
      <alignment horizontal="center" vertical="center"/>
    </xf>
    <xf numFmtId="0" fontId="19" fillId="17" borderId="23" xfId="0" applyFont="1" applyFill="1" applyBorder="1" applyAlignment="1">
      <alignment horizontal="center" vertical="center"/>
    </xf>
    <xf numFmtId="0" fontId="19" fillId="18" borderId="23" xfId="0" applyFont="1" applyFill="1" applyBorder="1" applyAlignment="1">
      <alignment horizontal="center" vertical="center"/>
    </xf>
    <xf numFmtId="0" fontId="19" fillId="19" borderId="23" xfId="0" applyFont="1" applyFill="1" applyBorder="1" applyAlignment="1">
      <alignment horizontal="center" vertical="center"/>
    </xf>
    <xf numFmtId="0" fontId="19" fillId="4" borderId="0" xfId="0" applyFont="1" applyFill="1" applyAlignment="1">
      <alignment horizontal="center" vertical="center"/>
    </xf>
    <xf numFmtId="0" fontId="19" fillId="4" borderId="0" xfId="0" applyFont="1" applyFill="1" applyAlignment="1">
      <alignment horizontal="left" vertical="center"/>
    </xf>
    <xf numFmtId="0" fontId="19" fillId="0" borderId="1" xfId="0" quotePrefix="1" applyFont="1" applyBorder="1" applyAlignment="1">
      <alignment horizontal="center" vertical="center"/>
    </xf>
    <xf numFmtId="0" fontId="19" fillId="0" borderId="25" xfId="0" applyFont="1" applyBorder="1" applyAlignment="1">
      <alignment horizontal="center" vertical="center"/>
    </xf>
    <xf numFmtId="0" fontId="19" fillId="0" borderId="0" xfId="0" applyFont="1" applyAlignment="1">
      <alignment horizontal="left" vertical="center"/>
    </xf>
    <xf numFmtId="0" fontId="21" fillId="0" borderId="0" xfId="0" applyFont="1">
      <alignment vertical="center"/>
    </xf>
    <xf numFmtId="0" fontId="21" fillId="9" borderId="1" xfId="0" applyFont="1" applyFill="1" applyBorder="1" applyAlignment="1">
      <alignment horizontal="center" vertical="center" shrinkToFit="1"/>
    </xf>
    <xf numFmtId="0" fontId="21" fillId="10" borderId="1" xfId="0" applyFont="1" applyFill="1" applyBorder="1" applyAlignment="1">
      <alignment horizontal="center" vertical="center" shrinkToFit="1"/>
    </xf>
    <xf numFmtId="0" fontId="21" fillId="11" borderId="1" xfId="0" applyFont="1" applyFill="1" applyBorder="1" applyAlignment="1">
      <alignment horizontal="center" vertical="center" shrinkToFit="1"/>
    </xf>
    <xf numFmtId="0" fontId="19" fillId="0" borderId="1" xfId="0" applyFont="1" applyBorder="1" applyAlignment="1">
      <alignment horizontal="left" vertical="center"/>
    </xf>
    <xf numFmtId="0" fontId="21" fillId="0" borderId="1" xfId="0" applyFont="1" applyBorder="1" applyAlignment="1">
      <alignment horizontal="center" vertical="center"/>
    </xf>
    <xf numFmtId="0" fontId="19" fillId="0" borderId="10" xfId="0" applyFont="1" applyBorder="1">
      <alignment vertical="center"/>
    </xf>
    <xf numFmtId="0" fontId="19" fillId="0" borderId="11" xfId="0" applyFont="1" applyBorder="1">
      <alignment vertical="center"/>
    </xf>
    <xf numFmtId="0" fontId="19" fillId="0" borderId="13" xfId="0" applyFont="1" applyBorder="1">
      <alignment vertical="center"/>
    </xf>
    <xf numFmtId="0" fontId="19" fillId="0" borderId="14" xfId="0" applyFont="1" applyBorder="1">
      <alignment vertical="center"/>
    </xf>
    <xf numFmtId="0" fontId="19" fillId="0" borderId="16" xfId="0" applyFont="1" applyBorder="1">
      <alignment vertical="center"/>
    </xf>
    <xf numFmtId="0" fontId="19" fillId="0" borderId="18" xfId="0" applyFont="1" applyBorder="1">
      <alignment vertical="center"/>
    </xf>
    <xf numFmtId="0" fontId="19" fillId="0" borderId="20" xfId="0" applyFont="1" applyBorder="1">
      <alignment vertical="center"/>
    </xf>
    <xf numFmtId="0" fontId="19" fillId="0" borderId="22" xfId="0" applyFont="1" applyBorder="1">
      <alignment vertical="center"/>
    </xf>
    <xf numFmtId="0" fontId="19" fillId="0" borderId="24" xfId="0" applyFont="1" applyBorder="1">
      <alignment vertical="center"/>
    </xf>
    <xf numFmtId="0" fontId="23" fillId="0" borderId="1" xfId="0" applyFont="1" applyBorder="1" applyAlignment="1">
      <alignment horizontal="left" vertical="center"/>
    </xf>
    <xf numFmtId="0" fontId="19" fillId="0" borderId="4" xfId="0" applyFont="1" applyBorder="1" applyAlignment="1">
      <alignment horizontal="center" vertical="center"/>
    </xf>
    <xf numFmtId="0" fontId="19" fillId="0" borderId="5" xfId="0" applyFont="1" applyBorder="1" applyAlignment="1">
      <alignment horizontal="center" vertical="center"/>
    </xf>
    <xf numFmtId="0" fontId="19" fillId="0" borderId="5" xfId="0" applyFont="1" applyBorder="1" applyAlignment="1">
      <alignment horizontal="left" vertical="center"/>
    </xf>
    <xf numFmtId="0" fontId="19" fillId="17" borderId="5" xfId="0" applyFont="1" applyFill="1" applyBorder="1" applyAlignment="1">
      <alignment horizontal="center" vertical="center"/>
    </xf>
    <xf numFmtId="0" fontId="19" fillId="18" borderId="5" xfId="0" applyFont="1" applyFill="1" applyBorder="1" applyAlignment="1">
      <alignment horizontal="center" vertical="center"/>
    </xf>
    <xf numFmtId="0" fontId="19" fillId="19" borderId="5" xfId="0" applyFont="1" applyFill="1" applyBorder="1" applyAlignment="1">
      <alignment horizontal="center" vertical="center"/>
    </xf>
    <xf numFmtId="0" fontId="21" fillId="0" borderId="5" xfId="0" applyFont="1" applyBorder="1" applyAlignment="1">
      <alignment horizontal="center" vertical="center"/>
    </xf>
    <xf numFmtId="0" fontId="19" fillId="0" borderId="26" xfId="0" applyFont="1" applyBorder="1" applyAlignment="1">
      <alignment horizontal="center" vertical="center"/>
    </xf>
    <xf numFmtId="0" fontId="19" fillId="0" borderId="27" xfId="0" applyFont="1" applyBorder="1" applyAlignment="1">
      <alignment horizontal="center" vertical="center"/>
    </xf>
    <xf numFmtId="0" fontId="19" fillId="0" borderId="27" xfId="0" applyFont="1" applyBorder="1">
      <alignment vertical="center"/>
    </xf>
    <xf numFmtId="0" fontId="19" fillId="0" borderId="28" xfId="0" applyFont="1" applyBorder="1">
      <alignment vertical="center"/>
    </xf>
    <xf numFmtId="0" fontId="27" fillId="0" borderId="0" xfId="0" applyFont="1">
      <alignment vertical="center"/>
    </xf>
    <xf numFmtId="0" fontId="28" fillId="0" borderId="1" xfId="0" applyFont="1" applyBorder="1" applyAlignment="1">
      <alignment horizontal="center" vertical="center"/>
    </xf>
    <xf numFmtId="0" fontId="29" fillId="0" borderId="1" xfId="0" applyFont="1" applyBorder="1" applyAlignment="1">
      <alignment horizontal="center" vertical="center"/>
    </xf>
    <xf numFmtId="0" fontId="13" fillId="6" borderId="3" xfId="0" applyFont="1" applyFill="1" applyBorder="1" applyAlignment="1">
      <alignment horizontal="left" vertical="center" indent="1"/>
    </xf>
    <xf numFmtId="0" fontId="13" fillId="6" borderId="2" xfId="0" applyFont="1" applyFill="1" applyBorder="1" applyAlignment="1">
      <alignment horizontal="left" vertical="center" indent="1"/>
    </xf>
    <xf numFmtId="0" fontId="13" fillId="0" borderId="3" xfId="0" applyFont="1" applyBorder="1" applyAlignment="1">
      <alignment horizontal="left" vertical="top" wrapText="1" indent="1"/>
    </xf>
    <xf numFmtId="0" fontId="13" fillId="0" borderId="2" xfId="0" applyFont="1" applyBorder="1" applyAlignment="1">
      <alignment horizontal="left" vertical="top" wrapText="1" indent="1"/>
    </xf>
    <xf numFmtId="0" fontId="13" fillId="3" borderId="4" xfId="0" applyFont="1" applyFill="1" applyBorder="1" applyAlignment="1">
      <alignment horizontal="center" vertical="center"/>
    </xf>
    <xf numFmtId="0" fontId="13" fillId="3" borderId="5" xfId="0" applyFont="1" applyFill="1" applyBorder="1" applyAlignment="1">
      <alignment horizontal="center" vertical="center"/>
    </xf>
    <xf numFmtId="0" fontId="3" fillId="12" borderId="6" xfId="0" applyFont="1" applyFill="1" applyBorder="1" applyAlignment="1">
      <alignment horizontal="center" vertical="center"/>
    </xf>
    <xf numFmtId="0" fontId="3" fillId="12" borderId="7" xfId="0" applyFont="1" applyFill="1" applyBorder="1" applyAlignment="1">
      <alignment horizontal="center" vertical="center"/>
    </xf>
  </cellXfs>
  <cellStyles count="5">
    <cellStyle name="Normal 2" xfId="4" xr:uid="{4E7714BA-24BB-401C-BA3D-46EF22B07019}"/>
    <cellStyle name="나쁨" xfId="2" builtinId="27"/>
    <cellStyle name="일반" xfId="3" xr:uid="{26ED653B-6A80-4C1C-8D85-09AA96842E10}"/>
    <cellStyle name="표준" xfId="0" builtinId="0"/>
    <cellStyle name="하이퍼링크" xfId="1" builtinId="8"/>
  </cellStyles>
  <dxfs count="73">
    <dxf>
      <fill>
        <patternFill>
          <bgColor rgb="FFFFC7CE"/>
        </patternFill>
      </fill>
    </dxf>
    <dxf>
      <fill>
        <patternFill>
          <bgColor rgb="FFFFC7CE"/>
        </patternFill>
      </fill>
    </dxf>
    <dxf>
      <font>
        <color rgb="FF9C0006"/>
      </font>
      <fill>
        <patternFill>
          <bgColor rgb="FFFFC7CE"/>
        </patternFill>
      </fill>
    </dxf>
    <dxf>
      <fill>
        <patternFill>
          <bgColor rgb="FFFF0000"/>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s>
  <tableStyles count="0" defaultTableStyle="TableStyleMedium2" defaultPivotStyle="PivotStyleLight16"/>
  <colors>
    <mruColors>
      <color rgb="FFFFFFCC"/>
      <color rgb="FFC39BE1"/>
      <color rgb="FFE7E7FF"/>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1</xdr:row>
          <xdr:rowOff>38100</xdr:rowOff>
        </xdr:from>
        <xdr:to>
          <xdr:col>7</xdr:col>
          <xdr:colOff>1028700</xdr:colOff>
          <xdr:row>2</xdr:row>
          <xdr:rowOff>190500</xdr:rowOff>
        </xdr:to>
        <xdr:sp macro="" textlink="">
          <xdr:nvSpPr>
            <xdr:cNvPr id="1025" name="SheetNameChangeButto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2038350</xdr:colOff>
          <xdr:row>1</xdr:row>
          <xdr:rowOff>38100</xdr:rowOff>
        </xdr:from>
        <xdr:to>
          <xdr:col>7</xdr:col>
          <xdr:colOff>2800350</xdr:colOff>
          <xdr:row>2</xdr:row>
          <xdr:rowOff>190500</xdr:rowOff>
        </xdr:to>
        <xdr:sp macro="" textlink="">
          <xdr:nvSpPr>
            <xdr:cNvPr id="1026" name="JsonMakerCreate"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1152525</xdr:colOff>
          <xdr:row>1</xdr:row>
          <xdr:rowOff>38100</xdr:rowOff>
        </xdr:from>
        <xdr:to>
          <xdr:col>7</xdr:col>
          <xdr:colOff>1914525</xdr:colOff>
          <xdr:row>2</xdr:row>
          <xdr:rowOff>190500</xdr:rowOff>
        </xdr:to>
        <xdr:sp macro="" textlink="">
          <xdr:nvSpPr>
            <xdr:cNvPr id="1028" name="FieldNameLink"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0</xdr:rowOff>
        </xdr:from>
        <xdr:to>
          <xdr:col>4</xdr:col>
          <xdr:colOff>409575</xdr:colOff>
          <xdr:row>0</xdr:row>
          <xdr:rowOff>381000</xdr:rowOff>
        </xdr:to>
        <xdr:sp macro="" textlink="">
          <xdr:nvSpPr>
            <xdr:cNvPr id="2049" name="JsonFileCreate"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4</xdr:col>
      <xdr:colOff>0</xdr:colOff>
      <xdr:row>14</xdr:row>
      <xdr:rowOff>0</xdr:rowOff>
    </xdr:from>
    <xdr:to>
      <xdr:col>4</xdr:col>
      <xdr:colOff>3600000</xdr:colOff>
      <xdr:row>14</xdr:row>
      <xdr:rowOff>981818</xdr:rowOff>
    </xdr:to>
    <xdr:pic>
      <xdr:nvPicPr>
        <xdr:cNvPr id="3" name="그림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stretch>
          <a:fillRect/>
        </a:stretch>
      </xdr:blipFill>
      <xdr:spPr>
        <a:xfrm>
          <a:off x="9001125" y="4972050"/>
          <a:ext cx="3600000" cy="981818"/>
        </a:xfrm>
        <a:prstGeom prst="rect">
          <a:avLst/>
        </a:prstGeom>
      </xdr:spPr>
    </xdr:pic>
    <xdr:clientData/>
  </xdr:twoCellAnchor>
  <xdr:twoCellAnchor editAs="oneCell">
    <xdr:from>
      <xdr:col>4</xdr:col>
      <xdr:colOff>0</xdr:colOff>
      <xdr:row>13</xdr:row>
      <xdr:rowOff>0</xdr:rowOff>
    </xdr:from>
    <xdr:to>
      <xdr:col>4</xdr:col>
      <xdr:colOff>3600000</xdr:colOff>
      <xdr:row>13</xdr:row>
      <xdr:rowOff>2028637</xdr:rowOff>
    </xdr:to>
    <xdr:pic>
      <xdr:nvPicPr>
        <xdr:cNvPr id="4" name="그림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a:stretch>
          <a:fillRect/>
        </a:stretch>
      </xdr:blipFill>
      <xdr:spPr>
        <a:xfrm>
          <a:off x="9001125" y="2724150"/>
          <a:ext cx="3600000" cy="2028637"/>
        </a:xfrm>
        <a:prstGeom prst="rect">
          <a:avLst/>
        </a:prstGeom>
      </xdr:spPr>
    </xdr:pic>
    <xdr:clientData/>
  </xdr:twoCellAnchor>
  <xdr:twoCellAnchor editAs="oneCell">
    <xdr:from>
      <xdr:col>4</xdr:col>
      <xdr:colOff>0</xdr:colOff>
      <xdr:row>16</xdr:row>
      <xdr:rowOff>0</xdr:rowOff>
    </xdr:from>
    <xdr:to>
      <xdr:col>4</xdr:col>
      <xdr:colOff>3600000</xdr:colOff>
      <xdr:row>16</xdr:row>
      <xdr:rowOff>2033645</xdr:rowOff>
    </xdr:to>
    <xdr:pic>
      <xdr:nvPicPr>
        <xdr:cNvPr id="6" name="그림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3"/>
        <a:stretch>
          <a:fillRect/>
        </a:stretch>
      </xdr:blipFill>
      <xdr:spPr>
        <a:xfrm>
          <a:off x="9001125" y="8420100"/>
          <a:ext cx="3600000" cy="2033645"/>
        </a:xfrm>
        <a:prstGeom prst="rect">
          <a:avLst/>
        </a:prstGeom>
      </xdr:spPr>
    </xdr:pic>
    <xdr:clientData/>
  </xdr:twoCellAnchor>
  <xdr:twoCellAnchor editAs="oneCell">
    <xdr:from>
      <xdr:col>4</xdr:col>
      <xdr:colOff>0</xdr:colOff>
      <xdr:row>19</xdr:row>
      <xdr:rowOff>0</xdr:rowOff>
    </xdr:from>
    <xdr:to>
      <xdr:col>4</xdr:col>
      <xdr:colOff>3600000</xdr:colOff>
      <xdr:row>19</xdr:row>
      <xdr:rowOff>2013182</xdr:rowOff>
    </xdr:to>
    <xdr:pic>
      <xdr:nvPicPr>
        <xdr:cNvPr id="7" name="그림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4"/>
        <a:stretch>
          <a:fillRect/>
        </a:stretch>
      </xdr:blipFill>
      <xdr:spPr>
        <a:xfrm>
          <a:off x="10772775" y="8963025"/>
          <a:ext cx="3600000" cy="2013182"/>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_표_ChattingMessageType" displayName="_표_ChattingMessageType" ref="A1:C9" totalsRowShown="0">
  <autoFilter ref="A1:C9" xr:uid="{00000000-0009-0000-0100-000001000000}"/>
  <tableColumns count="3">
    <tableColumn id="1" xr3:uid="{00000000-0010-0000-0000-000001000000}" name="ChattingMessageType"/>
    <tableColumn id="2" xr3:uid="{00000000-0010-0000-0000-000002000000}" name="ChattingMessageType_Item"/>
    <tableColumn id="3" xr3:uid="{00000000-0010-0000-0000-000003000000}" name="ChattingMessageType_Enum" dataDxfId="72">
      <calculatedColumnFormula>_표_ChattingMessageType[[#This Row],[ChattingMessageType]]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_표_MessageType" displayName="_표_MessageType" ref="A12:E21" totalsRowShown="0">
  <autoFilter ref="A12:E21" xr:uid="{00000000-0009-0000-0100-000002000000}"/>
  <tableColumns count="5">
    <tableColumn id="1" xr3:uid="{00000000-0010-0000-0100-000001000000}" name="MessageType"/>
    <tableColumn id="2" xr3:uid="{00000000-0010-0000-0100-000002000000}" name="MessageType_Item"/>
    <tableColumn id="4" xr3:uid="{00000000-0010-0000-0100-000004000000}" name="참고 UMG"/>
    <tableColumn id="3" xr3:uid="{00000000-0010-0000-0100-000003000000}" name="MessageType_Enum" dataDxfId="71">
      <calculatedColumnFormula>_표_MessageType[[#This Row],[MessageType]]</calculatedColumnFormula>
    </tableColumn>
    <tableColumn id="5" xr3:uid="{00000000-0010-0000-0100-000005000000}" name="참고 이미지"/>
  </tableColumns>
  <tableStyleInfo name="TableStyleMedium3"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4.emf"/><Relationship Id="rId4" Type="http://schemas.openxmlformats.org/officeDocument/2006/relationships/control" Target="../activeX/activeX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pageSetUpPr fitToPage="1"/>
  </sheetPr>
  <dimension ref="B1:J26"/>
  <sheetViews>
    <sheetView workbookViewId="0">
      <selection activeCell="C18" sqref="C18"/>
    </sheetView>
  </sheetViews>
  <sheetFormatPr defaultColWidth="9" defaultRowHeight="13.5"/>
  <cols>
    <col min="1" max="1" width="1.125" style="29" customWidth="1"/>
    <col min="2" max="2" width="21.625" style="29" bestFit="1" customWidth="1"/>
    <col min="3" max="3" width="19.375" style="29" customWidth="1"/>
    <col min="4" max="5" width="9.375" style="29" customWidth="1"/>
    <col min="6" max="6" width="21.875" style="29" customWidth="1"/>
    <col min="7" max="7" width="62.5" style="29" customWidth="1"/>
    <col min="8" max="8" width="37.5" style="29" customWidth="1"/>
    <col min="9" max="9" width="1.25" style="29" customWidth="1"/>
    <col min="10" max="16384" width="9" style="29"/>
  </cols>
  <sheetData>
    <row r="1" spans="2:8" ht="6.75" customHeight="1"/>
    <row r="2" spans="2:8">
      <c r="B2" s="30" t="s">
        <v>8</v>
      </c>
      <c r="C2" s="114" t="s">
        <v>228</v>
      </c>
      <c r="D2" s="115"/>
      <c r="E2" s="115"/>
      <c r="F2" s="115"/>
      <c r="G2" s="115"/>
      <c r="H2" s="118"/>
    </row>
    <row r="3" spans="2:8" ht="16.5" customHeight="1">
      <c r="B3" s="30" t="s">
        <v>9</v>
      </c>
      <c r="C3" s="116" t="s">
        <v>1812</v>
      </c>
      <c r="D3" s="117"/>
      <c r="E3" s="117"/>
      <c r="F3" s="117"/>
      <c r="G3" s="117"/>
      <c r="H3" s="119"/>
    </row>
    <row r="4" spans="2:8">
      <c r="H4" s="1" t="s">
        <v>12</v>
      </c>
    </row>
    <row r="5" spans="2:8">
      <c r="B5" s="30" t="s">
        <v>0</v>
      </c>
      <c r="C5" s="30" t="s">
        <v>1</v>
      </c>
      <c r="D5" s="30" t="s">
        <v>4</v>
      </c>
      <c r="E5" s="30" t="s">
        <v>5</v>
      </c>
      <c r="F5" s="30" t="s">
        <v>2</v>
      </c>
      <c r="G5" s="30" t="s">
        <v>3</v>
      </c>
      <c r="H5" s="30" t="s">
        <v>10</v>
      </c>
    </row>
    <row r="6" spans="2:8">
      <c r="B6" s="31" t="s">
        <v>13</v>
      </c>
      <c r="C6" s="32" t="s">
        <v>14</v>
      </c>
      <c r="D6" s="32"/>
      <c r="E6" s="32"/>
      <c r="F6" s="32" t="s">
        <v>15</v>
      </c>
      <c r="G6" s="32" t="s">
        <v>16</v>
      </c>
      <c r="H6" s="32"/>
    </row>
    <row r="7" spans="2:8" ht="27">
      <c r="B7" s="31" t="s">
        <v>950</v>
      </c>
      <c r="C7" s="32" t="s">
        <v>14</v>
      </c>
      <c r="D7" s="32"/>
      <c r="E7" s="32"/>
      <c r="F7" s="32" t="s">
        <v>951</v>
      </c>
      <c r="G7" s="32" t="s">
        <v>952</v>
      </c>
      <c r="H7" s="32"/>
    </row>
    <row r="8" spans="2:8">
      <c r="B8" s="31" t="s">
        <v>953</v>
      </c>
      <c r="C8" s="32" t="s">
        <v>954</v>
      </c>
      <c r="D8" s="32"/>
      <c r="E8" s="32"/>
      <c r="F8" s="32" t="s">
        <v>955</v>
      </c>
      <c r="G8" s="32" t="s">
        <v>956</v>
      </c>
      <c r="H8" s="32"/>
    </row>
    <row r="9" spans="2:8">
      <c r="B9" s="31" t="s">
        <v>953</v>
      </c>
      <c r="C9" s="32" t="s">
        <v>954</v>
      </c>
      <c r="D9" s="32"/>
      <c r="E9" s="32"/>
      <c r="F9" s="32" t="s">
        <v>957</v>
      </c>
      <c r="G9" s="32" t="s">
        <v>958</v>
      </c>
      <c r="H9" s="32"/>
    </row>
    <row r="10" spans="2:8">
      <c r="B10" s="31" t="s">
        <v>953</v>
      </c>
      <c r="C10" s="32" t="s">
        <v>954</v>
      </c>
      <c r="D10" s="32"/>
      <c r="E10" s="32"/>
      <c r="F10" s="32" t="s">
        <v>959</v>
      </c>
      <c r="G10" s="32" t="s">
        <v>960</v>
      </c>
      <c r="H10" s="32"/>
    </row>
    <row r="11" spans="2:8">
      <c r="B11" s="31" t="s">
        <v>961</v>
      </c>
      <c r="C11" s="32" t="s">
        <v>14</v>
      </c>
      <c r="D11" s="32"/>
      <c r="E11" s="32"/>
      <c r="F11" s="32" t="s">
        <v>962</v>
      </c>
      <c r="G11" s="32" t="s">
        <v>963</v>
      </c>
      <c r="H11" s="32"/>
    </row>
    <row r="12" spans="2:8">
      <c r="B12" s="33" t="s">
        <v>120</v>
      </c>
      <c r="C12" s="32" t="s">
        <v>14</v>
      </c>
      <c r="D12" s="32"/>
      <c r="E12" s="32"/>
      <c r="F12" s="32" t="s">
        <v>17</v>
      </c>
      <c r="G12" s="32" t="s">
        <v>18</v>
      </c>
      <c r="H12" s="32"/>
    </row>
    <row r="13" spans="2:8">
      <c r="B13" s="32" t="s">
        <v>19</v>
      </c>
      <c r="C13" s="32" t="s">
        <v>20</v>
      </c>
      <c r="D13" s="32"/>
      <c r="E13" s="32"/>
      <c r="F13" s="32" t="s">
        <v>21</v>
      </c>
      <c r="G13" s="32"/>
      <c r="H13" s="32"/>
    </row>
    <row r="14" spans="2:8">
      <c r="B14" s="32" t="s">
        <v>345</v>
      </c>
      <c r="C14" s="32" t="s">
        <v>20</v>
      </c>
      <c r="D14" s="32"/>
      <c r="E14" s="32"/>
      <c r="F14" s="32" t="s">
        <v>346</v>
      </c>
      <c r="G14" s="32"/>
      <c r="H14" s="32"/>
    </row>
    <row r="15" spans="2:8">
      <c r="B15" s="32" t="s">
        <v>347</v>
      </c>
      <c r="C15" s="32" t="s">
        <v>20</v>
      </c>
      <c r="D15" s="32"/>
      <c r="E15" s="32"/>
      <c r="F15" s="32" t="s">
        <v>348</v>
      </c>
      <c r="G15" s="32"/>
      <c r="H15" s="32"/>
    </row>
    <row r="16" spans="2:8">
      <c r="B16" s="32" t="s">
        <v>349</v>
      </c>
      <c r="C16" s="32" t="s">
        <v>20</v>
      </c>
      <c r="D16" s="32"/>
      <c r="E16" s="32"/>
      <c r="F16" s="32" t="s">
        <v>350</v>
      </c>
      <c r="G16" s="32"/>
      <c r="H16" s="32"/>
    </row>
    <row r="17" spans="2:10">
      <c r="B17" s="32" t="s">
        <v>352</v>
      </c>
      <c r="C17" s="32" t="s">
        <v>20</v>
      </c>
      <c r="D17" s="32"/>
      <c r="E17" s="32"/>
      <c r="F17" s="32" t="s">
        <v>353</v>
      </c>
      <c r="G17" s="32"/>
      <c r="H17" s="32"/>
    </row>
    <row r="18" spans="2:10">
      <c r="B18" s="32" t="s">
        <v>672</v>
      </c>
      <c r="C18" s="32" t="s">
        <v>678</v>
      </c>
      <c r="D18" s="32"/>
      <c r="E18" s="32"/>
      <c r="F18" s="32" t="s">
        <v>675</v>
      </c>
      <c r="G18" s="32"/>
      <c r="H18" s="32"/>
    </row>
    <row r="19" spans="2:10">
      <c r="B19" s="32" t="s">
        <v>673</v>
      </c>
      <c r="C19" s="32" t="s">
        <v>678</v>
      </c>
      <c r="D19" s="32"/>
      <c r="E19" s="32"/>
      <c r="F19" s="32" t="s">
        <v>676</v>
      </c>
      <c r="G19" s="32"/>
      <c r="H19" s="32"/>
      <c r="I19" s="34"/>
    </row>
    <row r="20" spans="2:10">
      <c r="B20" s="32" t="s">
        <v>674</v>
      </c>
      <c r="C20" s="32" t="s">
        <v>678</v>
      </c>
      <c r="D20" s="32"/>
      <c r="E20" s="32"/>
      <c r="F20" s="32" t="s">
        <v>677</v>
      </c>
      <c r="G20" s="32"/>
      <c r="H20" s="32"/>
    </row>
    <row r="21" spans="2:10">
      <c r="B21" s="32" t="s">
        <v>52</v>
      </c>
      <c r="C21" s="32" t="s">
        <v>14</v>
      </c>
      <c r="D21" s="32"/>
      <c r="E21" s="32"/>
      <c r="F21" s="32" t="s">
        <v>51</v>
      </c>
      <c r="G21" s="32"/>
      <c r="H21" s="32"/>
    </row>
    <row r="22" spans="2:10">
      <c r="B22" s="32" t="s">
        <v>157</v>
      </c>
      <c r="C22" s="32" t="s">
        <v>159</v>
      </c>
      <c r="D22" s="32"/>
      <c r="E22" s="32"/>
      <c r="F22" s="32" t="s">
        <v>160</v>
      </c>
      <c r="G22" s="32"/>
      <c r="H22" s="32"/>
    </row>
    <row r="23" spans="2:10" ht="66">
      <c r="B23" s="32" t="s">
        <v>96</v>
      </c>
      <c r="C23" s="32" t="s">
        <v>14</v>
      </c>
      <c r="D23" s="32"/>
      <c r="E23" s="32"/>
      <c r="F23" s="32" t="s">
        <v>98</v>
      </c>
      <c r="G23" s="36" t="s">
        <v>151</v>
      </c>
      <c r="H23" s="32"/>
    </row>
    <row r="24" spans="2:10" ht="16.5">
      <c r="B24" s="32" t="s">
        <v>158</v>
      </c>
      <c r="C24" s="32" t="s">
        <v>159</v>
      </c>
      <c r="D24" s="32"/>
      <c r="E24" s="32"/>
      <c r="F24" s="32" t="s">
        <v>99</v>
      </c>
      <c r="G24" s="36"/>
      <c r="H24" s="32"/>
    </row>
    <row r="25" spans="2:10" ht="49.5">
      <c r="B25" s="32" t="s">
        <v>122</v>
      </c>
      <c r="C25" s="32" t="s">
        <v>14</v>
      </c>
      <c r="D25" s="32"/>
      <c r="E25" s="32"/>
      <c r="F25" s="32" t="s">
        <v>99</v>
      </c>
      <c r="G25" s="36" t="s">
        <v>152</v>
      </c>
      <c r="H25" s="27"/>
      <c r="J25" s="35" t="s">
        <v>128</v>
      </c>
    </row>
    <row r="26" spans="2:10">
      <c r="B26" s="60" t="s">
        <v>100</v>
      </c>
      <c r="C26" s="61" t="s">
        <v>101</v>
      </c>
      <c r="D26" s="61"/>
      <c r="E26" s="61"/>
      <c r="F26" s="61" t="s">
        <v>102</v>
      </c>
      <c r="G26" s="61"/>
      <c r="H26" s="61"/>
    </row>
  </sheetData>
  <mergeCells count="3">
    <mergeCell ref="C2:G2"/>
    <mergeCell ref="C3:G3"/>
    <mergeCell ref="H2:H3"/>
  </mergeCells>
  <phoneticPr fontId="2" type="noConversion"/>
  <hyperlinks>
    <hyperlink ref="G23" location="_리스트_ChattingMessageType_Item" display="_리스트_ChattingMessageType_Item" xr:uid="{00000000-0004-0000-0000-000000000000}"/>
    <hyperlink ref="G25" location="_리스트_MessageType_Item" display="_리스트_MessageType_Item" xr:uid="{00000000-0004-0000-0000-000001000000}"/>
  </hyperlinks>
  <pageMargins left="0.7" right="0.7" top="0.75" bottom="0.75" header="0.3" footer="0.3"/>
  <pageSetup paperSize="9" scale="39" fitToHeight="0" orientation="portrait" r:id="rId1"/>
  <drawing r:id="rId2"/>
  <legacyDrawing r:id="rId3"/>
  <controls>
    <mc:AlternateContent xmlns:mc="http://schemas.openxmlformats.org/markup-compatibility/2006">
      <mc:Choice Requires="x14">
        <control shapeId="1025" r:id="rId4" name="SheetNameChangeButton">
          <controlPr defaultSize="0" autoLine="0" autoPict="0" r:id="rId5">
            <anchor moveWithCells="1">
              <from>
                <xdr:col>7</xdr:col>
                <xdr:colOff>57150</xdr:colOff>
                <xdr:row>1</xdr:row>
                <xdr:rowOff>38100</xdr:rowOff>
              </from>
              <to>
                <xdr:col>7</xdr:col>
                <xdr:colOff>1028700</xdr:colOff>
                <xdr:row>2</xdr:row>
                <xdr:rowOff>190500</xdr:rowOff>
              </to>
            </anchor>
          </controlPr>
        </control>
      </mc:Choice>
      <mc:Fallback>
        <control shapeId="1025" r:id="rId4" name="SheetNameChangeButton"/>
      </mc:Fallback>
    </mc:AlternateContent>
    <mc:AlternateContent xmlns:mc="http://schemas.openxmlformats.org/markup-compatibility/2006">
      <mc:Choice Requires="x14">
        <control shapeId="1026" r:id="rId6" name="JsonMakerCreate">
          <controlPr defaultSize="0" autoLine="0" r:id="rId7">
            <anchor moveWithCells="1">
              <from>
                <xdr:col>7</xdr:col>
                <xdr:colOff>2038350</xdr:colOff>
                <xdr:row>1</xdr:row>
                <xdr:rowOff>38100</xdr:rowOff>
              </from>
              <to>
                <xdr:col>7</xdr:col>
                <xdr:colOff>2800350</xdr:colOff>
                <xdr:row>2</xdr:row>
                <xdr:rowOff>190500</xdr:rowOff>
              </to>
            </anchor>
          </controlPr>
        </control>
      </mc:Choice>
      <mc:Fallback>
        <control shapeId="1026" r:id="rId6" name="JsonMakerCreate"/>
      </mc:Fallback>
    </mc:AlternateContent>
    <mc:AlternateContent xmlns:mc="http://schemas.openxmlformats.org/markup-compatibility/2006">
      <mc:Choice Requires="x14">
        <control shapeId="1028" r:id="rId8" name="FieldNameLink">
          <controlPr autoLine="0" r:id="rId9">
            <anchor moveWithCells="1">
              <from>
                <xdr:col>7</xdr:col>
                <xdr:colOff>1152525</xdr:colOff>
                <xdr:row>1</xdr:row>
                <xdr:rowOff>38100</xdr:rowOff>
              </from>
              <to>
                <xdr:col>7</xdr:col>
                <xdr:colOff>1914525</xdr:colOff>
                <xdr:row>2</xdr:row>
                <xdr:rowOff>190500</xdr:rowOff>
              </to>
            </anchor>
          </controlPr>
        </control>
      </mc:Choice>
      <mc:Fallback>
        <control shapeId="1028" r:id="rId8" name="FieldNameLink"/>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3300"/>
  </sheetPr>
  <dimension ref="A1:V242"/>
  <sheetViews>
    <sheetView tabSelected="1" zoomScaleNormal="100" workbookViewId="0">
      <pane ySplit="4" topLeftCell="A222" activePane="bottomLeft" state="frozen"/>
      <selection pane="bottomLeft" activeCell="G263" sqref="G263"/>
    </sheetView>
  </sheetViews>
  <sheetFormatPr defaultColWidth="9" defaultRowHeight="12" outlineLevelCol="1"/>
  <cols>
    <col min="1" max="1" width="8" style="55" bestFit="1" customWidth="1"/>
    <col min="2" max="2" width="11.125" style="38" bestFit="1" customWidth="1"/>
    <col min="3" max="3" width="12.75" style="38" bestFit="1" customWidth="1"/>
    <col min="4" max="5" width="10.5" style="38" bestFit="1" customWidth="1"/>
    <col min="6" max="6" width="12.25" style="38" bestFit="1" customWidth="1"/>
    <col min="7" max="7" width="14.375" style="38" bestFit="1" customWidth="1"/>
    <col min="8" max="8" width="11.125" style="39" bestFit="1" customWidth="1"/>
    <col min="9" max="9" width="20.625" style="40" customWidth="1"/>
    <col min="10" max="14" width="10.625" style="39" customWidth="1"/>
    <col min="15" max="15" width="10.625" style="38" customWidth="1" outlineLevel="1"/>
    <col min="16" max="16" width="10.625" style="42" customWidth="1"/>
    <col min="17" max="17" width="10.625" style="38" customWidth="1"/>
    <col min="18" max="22" width="20.625" style="38" customWidth="1"/>
    <col min="23" max="16384" width="9" style="38"/>
  </cols>
  <sheetData>
    <row r="1" spans="1:22" ht="33.75" customHeight="1">
      <c r="I1" s="83"/>
      <c r="J1" s="80" t="s">
        <v>351</v>
      </c>
      <c r="K1" s="80"/>
      <c r="L1" s="79"/>
      <c r="M1" s="79"/>
      <c r="P1" s="84"/>
      <c r="S1" s="41" t="s">
        <v>171</v>
      </c>
      <c r="U1" s="41" t="s">
        <v>171</v>
      </c>
    </row>
    <row r="2" spans="1:22" s="54" customFormat="1">
      <c r="A2" s="56" t="s">
        <v>11</v>
      </c>
      <c r="B2" s="43" t="str">
        <f>'!명세서'!F6</f>
        <v>언리얼 필수값</v>
      </c>
      <c r="C2" s="43" t="str">
        <f>'!명세서'!F7</f>
        <v>데이터적용여부</v>
      </c>
      <c r="D2" s="43" t="str">
        <f>'!명세서'!F8</f>
        <v>국내업데이트</v>
      </c>
      <c r="E2" s="43" t="str">
        <f>'!명세서'!F9</f>
        <v>수정업데이트</v>
      </c>
      <c r="F2" s="43" t="str">
        <f>'!명세서'!F10</f>
        <v>글로벌업데이트</v>
      </c>
      <c r="G2" s="43" t="str">
        <f>'!명세서'!F11</f>
        <v>글로벌 OnOFF</v>
      </c>
      <c r="H2" s="43" t="str">
        <f>'!명세서'!F12</f>
        <v>스트링 아이디</v>
      </c>
      <c r="I2" s="43" t="str">
        <f>'!명세서'!F13</f>
        <v>한국어</v>
      </c>
      <c r="J2" s="43" t="str">
        <f>'!명세서'!F17</f>
        <v>영어</v>
      </c>
      <c r="K2" s="43" t="str">
        <f>'!명세서'!F14</f>
        <v>중국어(번체)</v>
      </c>
      <c r="L2" s="43" t="str">
        <f>'!명세서'!F15</f>
        <v>중국어(간체)</v>
      </c>
      <c r="M2" s="43" t="str">
        <f>'!명세서'!F16</f>
        <v>일본어</v>
      </c>
      <c r="N2" s="43" t="str">
        <f>'!명세서'!F18</f>
        <v>태국어</v>
      </c>
      <c r="O2" s="43" t="str">
        <f>'!명세서'!F19</f>
        <v>스페인어</v>
      </c>
      <c r="P2" s="85" t="str">
        <f>'!명세서'!F20</f>
        <v>포르투갈어</v>
      </c>
      <c r="Q2" s="43" t="str">
        <f>'!명세서'!F21</f>
        <v>글자 색상</v>
      </c>
      <c r="R2" s="43" t="str">
        <f>'!명세서'!F22</f>
        <v>채팅메시지 타입</v>
      </c>
      <c r="S2" s="43" t="str">
        <f>'!명세서'!F23</f>
        <v>채팅메시지 타입</v>
      </c>
      <c r="T2" s="43" t="str">
        <f>'!명세서'!F24</f>
        <v>메시지타입(채팅제외)</v>
      </c>
      <c r="U2" s="43" t="str">
        <f>'!명세서'!F25</f>
        <v>메시지타입(채팅제외)</v>
      </c>
      <c r="V2" s="43" t="str">
        <f>'!명세서'!F26</f>
        <v>기획메모</v>
      </c>
    </row>
    <row r="3" spans="1:22" s="54" customFormat="1">
      <c r="A3" s="57" t="s">
        <v>7</v>
      </c>
      <c r="B3" s="44" t="str">
        <f>'!명세서'!C6</f>
        <v>int</v>
      </c>
      <c r="C3" s="44" t="str">
        <f>'!명세서'!C7</f>
        <v>int</v>
      </c>
      <c r="D3" s="44" t="str">
        <f>'!명세서'!C8</f>
        <v>!</v>
      </c>
      <c r="E3" s="44" t="str">
        <f>'!명세서'!C9</f>
        <v>!</v>
      </c>
      <c r="F3" s="44" t="str">
        <f>'!명세서'!C10</f>
        <v>!</v>
      </c>
      <c r="G3" s="44" t="str">
        <f>'!명세서'!C11</f>
        <v>int</v>
      </c>
      <c r="H3" s="44" t="str">
        <f>'!명세서'!C12</f>
        <v>int</v>
      </c>
      <c r="I3" s="44" t="str">
        <f>'!명세서'!C13</f>
        <v>string</v>
      </c>
      <c r="J3" s="44" t="str">
        <f>'!명세서'!C17</f>
        <v>string</v>
      </c>
      <c r="K3" s="44" t="str">
        <f>'!명세서'!C14</f>
        <v>string</v>
      </c>
      <c r="L3" s="44" t="str">
        <f>'!명세서'!C15</f>
        <v>string</v>
      </c>
      <c r="M3" s="44" t="str">
        <f>'!명세서'!C16</f>
        <v>string</v>
      </c>
      <c r="N3" s="44" t="str">
        <f>'!명세서'!C18</f>
        <v>string</v>
      </c>
      <c r="O3" s="44" t="str">
        <f>'!명세서'!C19</f>
        <v>string</v>
      </c>
      <c r="P3" s="86" t="str">
        <f>'!명세서'!C20</f>
        <v>string</v>
      </c>
      <c r="Q3" s="44" t="str">
        <f>'!명세서'!C21</f>
        <v>int</v>
      </c>
      <c r="R3" s="44" t="str">
        <f>'!명세서'!C22</f>
        <v>기획 참고용</v>
      </c>
      <c r="S3" s="44" t="str">
        <f>'!명세서'!C23</f>
        <v>int</v>
      </c>
      <c r="T3" s="44" t="str">
        <f>'!명세서'!C24</f>
        <v>기획 참고용</v>
      </c>
      <c r="U3" s="44" t="str">
        <f>'!명세서'!C25</f>
        <v>int</v>
      </c>
      <c r="V3" s="44" t="str">
        <f>'!명세서'!C26</f>
        <v>기획용</v>
      </c>
    </row>
    <row r="4" spans="1:22" s="54" customFormat="1">
      <c r="A4" s="58" t="s">
        <v>6</v>
      </c>
      <c r="B4" s="45" t="str">
        <f>'!명세서'!B6</f>
        <v>Name</v>
      </c>
      <c r="C4" s="45" t="str">
        <f>'!명세서'!B7</f>
        <v>DataOnOff</v>
      </c>
      <c r="D4" s="45" t="str">
        <f>'!명세서'!B8</f>
        <v>!Refer</v>
      </c>
      <c r="E4" s="45" t="str">
        <f>'!명세서'!B9</f>
        <v>!Refer</v>
      </c>
      <c r="F4" s="45" t="str">
        <f>'!명세서'!B10</f>
        <v>!Refer</v>
      </c>
      <c r="G4" s="45" t="str">
        <f>'!명세서'!B11</f>
        <v>DataOnOff_G</v>
      </c>
      <c r="H4" s="45" t="str">
        <f>'!명세서'!B12</f>
        <v>StringId</v>
      </c>
      <c r="I4" s="45" t="str">
        <f>'!명세서'!B13</f>
        <v>TextKr</v>
      </c>
      <c r="J4" s="45" t="str">
        <f>'!명세서'!B17</f>
        <v>ENG</v>
      </c>
      <c r="K4" s="45" t="str">
        <f>'!명세서'!B14</f>
        <v>CHT</v>
      </c>
      <c r="L4" s="45" t="str">
        <f>'!명세서'!B15</f>
        <v>CHS</v>
      </c>
      <c r="M4" s="45" t="str">
        <f>'!명세서'!B16</f>
        <v>JPN</v>
      </c>
      <c r="N4" s="45" t="str">
        <f>'!명세서'!B18</f>
        <v>THA</v>
      </c>
      <c r="O4" s="45" t="str">
        <f>'!명세서'!B19</f>
        <v>SPA</v>
      </c>
      <c r="P4" s="87" t="str">
        <f>'!명세서'!B20</f>
        <v>POR</v>
      </c>
      <c r="Q4" s="45" t="str">
        <f>'!명세서'!B21</f>
        <v>TextColorId</v>
      </c>
      <c r="R4" s="45" t="str">
        <f>'!명세서'!B22</f>
        <v>!ChattingMessageType</v>
      </c>
      <c r="S4" s="45" t="str">
        <f>'!명세서'!B23</f>
        <v>ChattingMessageType</v>
      </c>
      <c r="T4" s="45" t="str">
        <f>'!명세서'!B24</f>
        <v>!MessageType</v>
      </c>
      <c r="U4" s="45" t="str">
        <f>'!명세서'!B25</f>
        <v>MessageType</v>
      </c>
      <c r="V4" s="45" t="str">
        <f>'!명세서'!B26</f>
        <v>!기획메모</v>
      </c>
    </row>
    <row r="5" spans="1:22">
      <c r="B5" s="46" cm="1">
        <f t="array" aca="1" ref="B5" ca="1">OFFSET(INDIRECT(ADDRESS(ROW(),COLUMN())),0,6)</f>
        <v>8</v>
      </c>
      <c r="C5" s="46">
        <v>1</v>
      </c>
      <c r="D5" s="46"/>
      <c r="E5" s="46"/>
      <c r="F5" s="46"/>
      <c r="G5" s="46">
        <v>1</v>
      </c>
      <c r="H5" s="46">
        <v>8</v>
      </c>
      <c r="I5" s="88" t="s">
        <v>169</v>
      </c>
      <c r="J5" s="46" t="s">
        <v>1031</v>
      </c>
      <c r="K5" s="46" t="s">
        <v>1032</v>
      </c>
      <c r="L5" s="46" t="s">
        <v>1033</v>
      </c>
      <c r="M5" s="46" t="s">
        <v>1034</v>
      </c>
      <c r="N5" s="46" t="s">
        <v>1035</v>
      </c>
      <c r="O5" s="46" t="s">
        <v>1036</v>
      </c>
      <c r="P5" s="46" t="s">
        <v>1037</v>
      </c>
      <c r="Q5" s="46">
        <v>0</v>
      </c>
      <c r="R5" s="48" t="s">
        <v>132</v>
      </c>
      <c r="S5" s="49">
        <f>VLOOKUP(R5,_표_ChattingMessageType[[ChattingMessageType_Item]:[ChattingMessageType_Enum]],2,FALSE)</f>
        <v>0</v>
      </c>
      <c r="T5" s="48" t="s">
        <v>111</v>
      </c>
      <c r="U5" s="50">
        <f>VLOOKUP(T5,_표_MessageType[[MessageType_Item]:[MessageType_Enum]],3,FALSE)</f>
        <v>0</v>
      </c>
      <c r="V5" s="89" t="s">
        <v>53</v>
      </c>
    </row>
    <row r="6" spans="1:22">
      <c r="B6" s="46" cm="1">
        <f t="array" aca="1" ref="B6" ca="1">OFFSET(INDIRECT(ADDRESS(ROW(),COLUMN())),0,6)</f>
        <v>9</v>
      </c>
      <c r="C6" s="46">
        <v>1</v>
      </c>
      <c r="D6" s="46"/>
      <c r="E6" s="46"/>
      <c r="F6" s="46"/>
      <c r="G6" s="46">
        <v>1</v>
      </c>
      <c r="H6" s="46">
        <v>9</v>
      </c>
      <c r="I6" s="88" t="s">
        <v>1407</v>
      </c>
      <c r="J6" s="46" t="s">
        <v>1408</v>
      </c>
      <c r="K6" s="46" t="s">
        <v>1409</v>
      </c>
      <c r="L6" s="46" t="s">
        <v>1410</v>
      </c>
      <c r="M6" s="46" t="s">
        <v>1411</v>
      </c>
      <c r="N6" s="46" t="s">
        <v>1412</v>
      </c>
      <c r="O6" s="46" t="s">
        <v>1413</v>
      </c>
      <c r="P6" s="46" t="s">
        <v>1414</v>
      </c>
      <c r="Q6" s="46">
        <v>0</v>
      </c>
      <c r="R6" s="48" t="s">
        <v>132</v>
      </c>
      <c r="S6" s="49">
        <f>VLOOKUP(R6,_표_ChattingMessageType[[ChattingMessageType_Item]:[ChattingMessageType_Enum]],2,FALSE)</f>
        <v>0</v>
      </c>
      <c r="T6" s="48" t="s">
        <v>111</v>
      </c>
      <c r="U6" s="50">
        <f>VLOOKUP(T6,_표_MessageType[[MessageType_Item]:[MessageType_Enum]],3,FALSE)</f>
        <v>0</v>
      </c>
      <c r="V6" s="89" t="s">
        <v>246</v>
      </c>
    </row>
    <row r="7" spans="1:22">
      <c r="B7" s="46" cm="1">
        <f t="array" aca="1" ref="B7" ca="1">OFFSET(INDIRECT(ADDRESS(ROW(),COLUMN())),0,6)</f>
        <v>10</v>
      </c>
      <c r="C7" s="46">
        <v>1</v>
      </c>
      <c r="D7" s="46"/>
      <c r="E7" s="46"/>
      <c r="F7" s="46"/>
      <c r="G7" s="46">
        <v>1</v>
      </c>
      <c r="H7" s="46">
        <v>10</v>
      </c>
      <c r="I7" s="88" t="s">
        <v>1415</v>
      </c>
      <c r="J7" s="46" t="s">
        <v>1416</v>
      </c>
      <c r="K7" s="46" t="s">
        <v>1417</v>
      </c>
      <c r="L7" s="46" t="s">
        <v>1418</v>
      </c>
      <c r="M7" s="46" t="s">
        <v>1419</v>
      </c>
      <c r="N7" s="46" t="s">
        <v>1420</v>
      </c>
      <c r="O7" s="46" t="s">
        <v>1421</v>
      </c>
      <c r="P7" s="46" t="s">
        <v>1422</v>
      </c>
      <c r="Q7" s="46">
        <v>0</v>
      </c>
      <c r="R7" s="48" t="s">
        <v>132</v>
      </c>
      <c r="S7" s="49">
        <f>VLOOKUP(R7,_표_ChattingMessageType[[ChattingMessageType_Item]:[ChattingMessageType_Enum]],2,FALSE)</f>
        <v>0</v>
      </c>
      <c r="T7" s="48" t="s">
        <v>111</v>
      </c>
      <c r="U7" s="50">
        <f>VLOOKUP(T7,_표_MessageType[[MessageType_Item]:[MessageType_Enum]],3,FALSE)</f>
        <v>0</v>
      </c>
      <c r="V7" s="89" t="s">
        <v>246</v>
      </c>
    </row>
    <row r="8" spans="1:22">
      <c r="B8" s="46" cm="1">
        <f t="array" aca="1" ref="B8" ca="1">OFFSET(INDIRECT(ADDRESS(ROW(),COLUMN())),0,6)</f>
        <v>11</v>
      </c>
      <c r="C8" s="46">
        <v>1</v>
      </c>
      <c r="D8" s="46"/>
      <c r="E8" s="46"/>
      <c r="F8" s="46"/>
      <c r="G8" s="46">
        <v>1</v>
      </c>
      <c r="H8" s="46">
        <v>11</v>
      </c>
      <c r="I8" s="88" t="s">
        <v>1423</v>
      </c>
      <c r="J8" s="46" t="s">
        <v>1424</v>
      </c>
      <c r="K8" s="46" t="s">
        <v>1425</v>
      </c>
      <c r="L8" s="46" t="s">
        <v>1426</v>
      </c>
      <c r="M8" s="46" t="s">
        <v>1427</v>
      </c>
      <c r="N8" s="46" t="s">
        <v>1428</v>
      </c>
      <c r="O8" s="46" t="s">
        <v>1429</v>
      </c>
      <c r="P8" s="46" t="s">
        <v>1430</v>
      </c>
      <c r="Q8" s="46">
        <v>0</v>
      </c>
      <c r="R8" s="48" t="s">
        <v>132</v>
      </c>
      <c r="S8" s="49">
        <f>VLOOKUP(R8,_표_ChattingMessageType[[ChattingMessageType_Item]:[ChattingMessageType_Enum]],2,FALSE)</f>
        <v>0</v>
      </c>
      <c r="T8" s="48" t="s">
        <v>111</v>
      </c>
      <c r="U8" s="50">
        <f>VLOOKUP(T8,_표_MessageType[[MessageType_Item]:[MessageType_Enum]],3,FALSE)</f>
        <v>0</v>
      </c>
      <c r="V8" s="89" t="s">
        <v>246</v>
      </c>
    </row>
    <row r="9" spans="1:22">
      <c r="B9" s="46" cm="1">
        <f t="array" aca="1" ref="B9" ca="1">OFFSET(INDIRECT(ADDRESS(ROW(),COLUMN())),0,6)</f>
        <v>12</v>
      </c>
      <c r="C9" s="46">
        <v>1</v>
      </c>
      <c r="D9" s="46"/>
      <c r="E9" s="46"/>
      <c r="F9" s="46"/>
      <c r="G9" s="46">
        <v>1</v>
      </c>
      <c r="H9" s="46">
        <v>12</v>
      </c>
      <c r="I9" s="88" t="s">
        <v>1431</v>
      </c>
      <c r="J9" s="46" t="s">
        <v>1432</v>
      </c>
      <c r="K9" s="46" t="s">
        <v>1433</v>
      </c>
      <c r="L9" s="46" t="s">
        <v>1434</v>
      </c>
      <c r="M9" s="46" t="s">
        <v>1435</v>
      </c>
      <c r="N9" s="46" t="s">
        <v>1436</v>
      </c>
      <c r="O9" s="46" t="s">
        <v>1437</v>
      </c>
      <c r="P9" s="46" t="s">
        <v>1438</v>
      </c>
      <c r="Q9" s="46">
        <v>0</v>
      </c>
      <c r="R9" s="48" t="s">
        <v>132</v>
      </c>
      <c r="S9" s="49">
        <f>VLOOKUP(R9,_표_ChattingMessageType[[ChattingMessageType_Item]:[ChattingMessageType_Enum]],2,FALSE)</f>
        <v>0</v>
      </c>
      <c r="T9" s="48" t="s">
        <v>111</v>
      </c>
      <c r="U9" s="50">
        <f>VLOOKUP(T9,_표_MessageType[[MessageType_Item]:[MessageType_Enum]],3,FALSE)</f>
        <v>0</v>
      </c>
      <c r="V9" s="89" t="s">
        <v>246</v>
      </c>
    </row>
    <row r="10" spans="1:22">
      <c r="B10" s="46" cm="1">
        <f t="array" aca="1" ref="B10" ca="1">OFFSET(INDIRECT(ADDRESS(ROW(),COLUMN())),0,6)</f>
        <v>13</v>
      </c>
      <c r="C10" s="46">
        <v>1</v>
      </c>
      <c r="D10" s="46"/>
      <c r="E10" s="46"/>
      <c r="F10" s="46"/>
      <c r="G10" s="46">
        <v>1</v>
      </c>
      <c r="H10" s="46">
        <v>13</v>
      </c>
      <c r="I10" s="88" t="s">
        <v>229</v>
      </c>
      <c r="J10" s="46" t="s">
        <v>358</v>
      </c>
      <c r="K10" s="46" t="s">
        <v>355</v>
      </c>
      <c r="L10" s="46" t="s">
        <v>356</v>
      </c>
      <c r="M10" s="46" t="s">
        <v>357</v>
      </c>
      <c r="N10" s="46" t="s">
        <v>698</v>
      </c>
      <c r="O10" s="46" t="s">
        <v>699</v>
      </c>
      <c r="P10" s="46" t="s">
        <v>700</v>
      </c>
      <c r="Q10" s="46">
        <v>0</v>
      </c>
      <c r="R10" s="48" t="s">
        <v>132</v>
      </c>
      <c r="S10" s="49">
        <f>VLOOKUP(R10,_표_ChattingMessageType[[ChattingMessageType_Item]:[ChattingMessageType_Enum]],2,FALSE)</f>
        <v>0</v>
      </c>
      <c r="T10" s="48" t="s">
        <v>111</v>
      </c>
      <c r="U10" s="50">
        <f>VLOOKUP(T10,_표_MessageType[[MessageType_Item]:[MessageType_Enum]],3,FALSE)</f>
        <v>0</v>
      </c>
      <c r="V10" s="89" t="s">
        <v>246</v>
      </c>
    </row>
    <row r="11" spans="1:22">
      <c r="B11" s="46" cm="1">
        <f t="array" aca="1" ref="B11" ca="1">OFFSET(INDIRECT(ADDRESS(ROW(),COLUMN())),0,6)</f>
        <v>14</v>
      </c>
      <c r="C11" s="46">
        <v>1</v>
      </c>
      <c r="D11" s="46"/>
      <c r="E11" s="46"/>
      <c r="F11" s="46"/>
      <c r="G11" s="46">
        <v>1</v>
      </c>
      <c r="H11" s="46">
        <v>14</v>
      </c>
      <c r="I11" s="88" t="s">
        <v>230</v>
      </c>
      <c r="J11" s="46" t="s">
        <v>362</v>
      </c>
      <c r="K11" s="46" t="s">
        <v>359</v>
      </c>
      <c r="L11" s="46" t="s">
        <v>360</v>
      </c>
      <c r="M11" s="46" t="s">
        <v>361</v>
      </c>
      <c r="N11" s="46" t="s">
        <v>701</v>
      </c>
      <c r="O11" s="46" t="s">
        <v>702</v>
      </c>
      <c r="P11" s="46" t="s">
        <v>703</v>
      </c>
      <c r="Q11" s="46">
        <v>0</v>
      </c>
      <c r="R11" s="48" t="s">
        <v>132</v>
      </c>
      <c r="S11" s="49">
        <f>VLOOKUP(R11,_표_ChattingMessageType[[ChattingMessageType_Item]:[ChattingMessageType_Enum]],2,FALSE)</f>
        <v>0</v>
      </c>
      <c r="T11" s="48" t="s">
        <v>111</v>
      </c>
      <c r="U11" s="50">
        <f>VLOOKUP(T11,_표_MessageType[[MessageType_Item]:[MessageType_Enum]],3,FALSE)</f>
        <v>0</v>
      </c>
      <c r="V11" s="89" t="s">
        <v>246</v>
      </c>
    </row>
    <row r="12" spans="1:22">
      <c r="B12" s="46" cm="1">
        <f t="array" aca="1" ref="B12" ca="1">OFFSET(INDIRECT(ADDRESS(ROW(),COLUMN())),0,6)</f>
        <v>15</v>
      </c>
      <c r="C12" s="46">
        <v>1</v>
      </c>
      <c r="D12" s="46"/>
      <c r="E12" s="46"/>
      <c r="F12" s="46"/>
      <c r="G12" s="46">
        <v>1</v>
      </c>
      <c r="H12" s="46">
        <v>15</v>
      </c>
      <c r="I12" s="88" t="s">
        <v>1439</v>
      </c>
      <c r="J12" s="46" t="s">
        <v>1440</v>
      </c>
      <c r="K12" s="46" t="s">
        <v>1441</v>
      </c>
      <c r="L12" s="46" t="s">
        <v>1442</v>
      </c>
      <c r="M12" s="46" t="s">
        <v>1442</v>
      </c>
      <c r="N12" s="46" t="s">
        <v>1443</v>
      </c>
      <c r="O12" s="46" t="s">
        <v>1444</v>
      </c>
      <c r="P12" s="46" t="s">
        <v>1445</v>
      </c>
      <c r="Q12" s="46">
        <v>0</v>
      </c>
      <c r="R12" s="48" t="s">
        <v>132</v>
      </c>
      <c r="S12" s="49">
        <f>VLOOKUP(R12,_표_ChattingMessageType[[ChattingMessageType_Item]:[ChattingMessageType_Enum]],2,FALSE)</f>
        <v>0</v>
      </c>
      <c r="T12" s="48" t="s">
        <v>111</v>
      </c>
      <c r="U12" s="50">
        <f>VLOOKUP(T12,_표_MessageType[[MessageType_Item]:[MessageType_Enum]],3,FALSE)</f>
        <v>0</v>
      </c>
      <c r="V12" s="89" t="s">
        <v>246</v>
      </c>
    </row>
    <row r="13" spans="1:22">
      <c r="B13" s="46" cm="1">
        <f t="array" aca="1" ref="B13" ca="1">OFFSET(INDIRECT(ADDRESS(ROW(),COLUMN())),0,6)</f>
        <v>16</v>
      </c>
      <c r="C13" s="46">
        <v>1</v>
      </c>
      <c r="D13" s="46"/>
      <c r="E13" s="46"/>
      <c r="F13" s="46"/>
      <c r="G13" s="46">
        <v>1</v>
      </c>
      <c r="H13" s="46">
        <v>16</v>
      </c>
      <c r="I13" s="88" t="s">
        <v>231</v>
      </c>
      <c r="J13" s="46" t="s">
        <v>365</v>
      </c>
      <c r="K13" s="46" t="s">
        <v>363</v>
      </c>
      <c r="L13" s="46" t="s">
        <v>364</v>
      </c>
      <c r="M13" s="46" t="s">
        <v>231</v>
      </c>
      <c r="N13" s="46" t="s">
        <v>704</v>
      </c>
      <c r="O13" s="46" t="s">
        <v>705</v>
      </c>
      <c r="P13" s="46" t="s">
        <v>706</v>
      </c>
      <c r="Q13" s="46">
        <v>0</v>
      </c>
      <c r="R13" s="48" t="s">
        <v>132</v>
      </c>
      <c r="S13" s="49">
        <f>VLOOKUP(R13,_표_ChattingMessageType[[ChattingMessageType_Item]:[ChattingMessageType_Enum]],2,FALSE)</f>
        <v>0</v>
      </c>
      <c r="T13" s="48" t="s">
        <v>111</v>
      </c>
      <c r="U13" s="50">
        <f>VLOOKUP(T13,_표_MessageType[[MessageType_Item]:[MessageType_Enum]],3,FALSE)</f>
        <v>0</v>
      </c>
      <c r="V13" s="89" t="s">
        <v>246</v>
      </c>
    </row>
    <row r="14" spans="1:22">
      <c r="B14" s="46" cm="1">
        <f t="array" aca="1" ref="B14" ca="1">OFFSET(INDIRECT(ADDRESS(ROW(),COLUMN())),0,6)</f>
        <v>17</v>
      </c>
      <c r="C14" s="46">
        <v>1</v>
      </c>
      <c r="D14" s="46"/>
      <c r="E14" s="46"/>
      <c r="F14" s="46"/>
      <c r="G14" s="46">
        <v>1</v>
      </c>
      <c r="H14" s="46">
        <v>17</v>
      </c>
      <c r="I14" s="88" t="s">
        <v>1038</v>
      </c>
      <c r="J14" s="46" t="s">
        <v>1039</v>
      </c>
      <c r="K14" s="46" t="s">
        <v>1040</v>
      </c>
      <c r="L14" s="46" t="s">
        <v>1041</v>
      </c>
      <c r="M14" s="46" t="s">
        <v>1042</v>
      </c>
      <c r="N14" s="46" t="s">
        <v>1043</v>
      </c>
      <c r="O14" s="46" t="s">
        <v>1044</v>
      </c>
      <c r="P14" s="46" t="s">
        <v>1045</v>
      </c>
      <c r="Q14" s="46">
        <v>0</v>
      </c>
      <c r="R14" s="48" t="s">
        <v>132</v>
      </c>
      <c r="S14" s="49">
        <f>VLOOKUP(R14,_표_ChattingMessageType[[ChattingMessageType_Item]:[ChattingMessageType_Enum]],2,FALSE)</f>
        <v>0</v>
      </c>
      <c r="T14" s="48" t="s">
        <v>111</v>
      </c>
      <c r="U14" s="50">
        <f>VLOOKUP(T14,_표_MessageType[[MessageType_Item]:[MessageType_Enum]],3,FALSE)</f>
        <v>0</v>
      </c>
      <c r="V14" s="89" t="s">
        <v>246</v>
      </c>
    </row>
    <row r="15" spans="1:22">
      <c r="B15" s="46" cm="1">
        <f t="array" aca="1" ref="B15" ca="1">OFFSET(INDIRECT(ADDRESS(ROW(),COLUMN())),0,6)</f>
        <v>18</v>
      </c>
      <c r="C15" s="46">
        <v>1</v>
      </c>
      <c r="D15" s="46"/>
      <c r="E15" s="46"/>
      <c r="F15" s="46"/>
      <c r="G15" s="46">
        <v>1</v>
      </c>
      <c r="H15" s="46">
        <v>18</v>
      </c>
      <c r="I15" s="88" t="s">
        <v>1046</v>
      </c>
      <c r="J15" s="46" t="s">
        <v>1047</v>
      </c>
      <c r="K15" s="46" t="s">
        <v>1048</v>
      </c>
      <c r="L15" s="46" t="s">
        <v>1049</v>
      </c>
      <c r="M15" s="46" t="s">
        <v>1050</v>
      </c>
      <c r="N15" s="46" t="s">
        <v>1051</v>
      </c>
      <c r="O15" s="46" t="s">
        <v>1052</v>
      </c>
      <c r="P15" s="46" t="s">
        <v>1053</v>
      </c>
      <c r="Q15" s="46">
        <v>0</v>
      </c>
      <c r="R15" s="48" t="s">
        <v>132</v>
      </c>
      <c r="S15" s="49">
        <f>VLOOKUP(R15,_표_ChattingMessageType[[ChattingMessageType_Item]:[ChattingMessageType_Enum]],2,FALSE)</f>
        <v>0</v>
      </c>
      <c r="T15" s="48" t="s">
        <v>111</v>
      </c>
      <c r="U15" s="50">
        <f>VLOOKUP(T15,_표_MessageType[[MessageType_Item]:[MessageType_Enum]],3,FALSE)</f>
        <v>0</v>
      </c>
      <c r="V15" s="89" t="s">
        <v>246</v>
      </c>
    </row>
    <row r="16" spans="1:22">
      <c r="B16" s="46" cm="1">
        <f t="array" aca="1" ref="B16" ca="1">OFFSET(INDIRECT(ADDRESS(ROW(),COLUMN())),0,6)</f>
        <v>19</v>
      </c>
      <c r="C16" s="46">
        <v>1</v>
      </c>
      <c r="D16" s="46"/>
      <c r="E16" s="46"/>
      <c r="F16" s="46"/>
      <c r="G16" s="46">
        <v>1</v>
      </c>
      <c r="H16" s="46">
        <v>19</v>
      </c>
      <c r="I16" s="88" t="s">
        <v>177</v>
      </c>
      <c r="J16" s="46" t="s">
        <v>562</v>
      </c>
      <c r="K16" s="46" t="s">
        <v>366</v>
      </c>
      <c r="L16" s="46" t="s">
        <v>367</v>
      </c>
      <c r="M16" s="46" t="s">
        <v>368</v>
      </c>
      <c r="N16" s="46" t="s">
        <v>707</v>
      </c>
      <c r="O16" s="46" t="s">
        <v>708</v>
      </c>
      <c r="P16" s="46" t="s">
        <v>709</v>
      </c>
      <c r="Q16" s="46">
        <v>0</v>
      </c>
      <c r="R16" s="48" t="s">
        <v>132</v>
      </c>
      <c r="S16" s="49">
        <f>VLOOKUP(R16,_표_ChattingMessageType[[ChattingMessageType_Item]:[ChattingMessageType_Enum]],2,FALSE)</f>
        <v>0</v>
      </c>
      <c r="T16" s="48" t="s">
        <v>111</v>
      </c>
      <c r="U16" s="50">
        <f>VLOOKUP(T16,_표_MessageType[[MessageType_Item]:[MessageType_Enum]],3,FALSE)</f>
        <v>0</v>
      </c>
      <c r="V16" s="89" t="s">
        <v>246</v>
      </c>
    </row>
    <row r="17" spans="2:22">
      <c r="B17" s="46" cm="1">
        <f t="array" aca="1" ref="B17" ca="1">OFFSET(INDIRECT(ADDRESS(ROW(),COLUMN())),0,6)</f>
        <v>20</v>
      </c>
      <c r="C17" s="46">
        <v>1</v>
      </c>
      <c r="D17" s="46"/>
      <c r="E17" s="46"/>
      <c r="F17" s="46"/>
      <c r="G17" s="46">
        <v>1</v>
      </c>
      <c r="H17" s="46">
        <v>20</v>
      </c>
      <c r="I17" s="88" t="s">
        <v>1054</v>
      </c>
      <c r="J17" s="46" t="s">
        <v>1649</v>
      </c>
      <c r="K17" s="46" t="s">
        <v>1055</v>
      </c>
      <c r="L17" s="46" t="s">
        <v>1056</v>
      </c>
      <c r="M17" s="46" t="s">
        <v>1650</v>
      </c>
      <c r="N17" s="46" t="s">
        <v>1651</v>
      </c>
      <c r="O17" s="46" t="s">
        <v>1057</v>
      </c>
      <c r="P17" s="46" t="s">
        <v>1058</v>
      </c>
      <c r="Q17" s="46">
        <v>0</v>
      </c>
      <c r="R17" s="48" t="s">
        <v>132</v>
      </c>
      <c r="S17" s="49">
        <f>VLOOKUP(R17,_표_ChattingMessageType[[ChattingMessageType_Item]:[ChattingMessageType_Enum]],2,FALSE)</f>
        <v>0</v>
      </c>
      <c r="T17" s="48" t="s">
        <v>111</v>
      </c>
      <c r="U17" s="50">
        <f>VLOOKUP(T17,_표_MessageType[[MessageType_Item]:[MessageType_Enum]],3,FALSE)</f>
        <v>0</v>
      </c>
      <c r="V17" s="89" t="s">
        <v>246</v>
      </c>
    </row>
    <row r="18" spans="2:22">
      <c r="B18" s="46" cm="1">
        <f t="array" aca="1" ref="B18" ca="1">OFFSET(INDIRECT(ADDRESS(ROW(),COLUMN())),0,6)</f>
        <v>21</v>
      </c>
      <c r="C18" s="46">
        <v>1</v>
      </c>
      <c r="D18" s="46"/>
      <c r="E18" s="46"/>
      <c r="F18" s="46"/>
      <c r="G18" s="46">
        <v>1</v>
      </c>
      <c r="H18" s="46">
        <v>21</v>
      </c>
      <c r="I18" s="88" t="s">
        <v>1059</v>
      </c>
      <c r="J18" s="46" t="s">
        <v>1060</v>
      </c>
      <c r="K18" s="46" t="s">
        <v>1061</v>
      </c>
      <c r="L18" s="46" t="s">
        <v>1655</v>
      </c>
      <c r="M18" s="46" t="s">
        <v>1062</v>
      </c>
      <c r="N18" s="46" t="s">
        <v>1063</v>
      </c>
      <c r="O18" s="46" t="s">
        <v>1064</v>
      </c>
      <c r="P18" s="46" t="s">
        <v>1065</v>
      </c>
      <c r="Q18" s="46">
        <v>0</v>
      </c>
      <c r="R18" s="48" t="s">
        <v>132</v>
      </c>
      <c r="S18" s="49">
        <f>VLOOKUP(R18,_표_ChattingMessageType[[ChattingMessageType_Item]:[ChattingMessageType_Enum]],2,FALSE)</f>
        <v>0</v>
      </c>
      <c r="T18" s="48" t="s">
        <v>111</v>
      </c>
      <c r="U18" s="50">
        <f>VLOOKUP(T18,_표_MessageType[[MessageType_Item]:[MessageType_Enum]],3,FALSE)</f>
        <v>0</v>
      </c>
      <c r="V18" s="89" t="s">
        <v>246</v>
      </c>
    </row>
    <row r="19" spans="2:22">
      <c r="B19" s="46" cm="1">
        <f t="array" aca="1" ref="B19" ca="1">OFFSET(INDIRECT(ADDRESS(ROW(),COLUMN())),0,6)</f>
        <v>22</v>
      </c>
      <c r="C19" s="46">
        <v>1</v>
      </c>
      <c r="D19" s="46"/>
      <c r="E19" s="46"/>
      <c r="F19" s="46"/>
      <c r="G19" s="46">
        <v>1</v>
      </c>
      <c r="H19" s="46">
        <v>22</v>
      </c>
      <c r="I19" s="88" t="s">
        <v>1066</v>
      </c>
      <c r="J19" s="46" t="s">
        <v>1067</v>
      </c>
      <c r="K19" s="46" t="s">
        <v>1068</v>
      </c>
      <c r="L19" s="46" t="s">
        <v>1069</v>
      </c>
      <c r="M19" s="46" t="s">
        <v>1070</v>
      </c>
      <c r="N19" s="46" t="s">
        <v>1071</v>
      </c>
      <c r="O19" s="46" t="s">
        <v>1072</v>
      </c>
      <c r="P19" s="46" t="s">
        <v>1073</v>
      </c>
      <c r="Q19" s="46">
        <v>0</v>
      </c>
      <c r="R19" s="48" t="s">
        <v>132</v>
      </c>
      <c r="S19" s="49">
        <f>VLOOKUP(R19,_표_ChattingMessageType[[ChattingMessageType_Item]:[ChattingMessageType_Enum]],2,FALSE)</f>
        <v>0</v>
      </c>
      <c r="T19" s="48" t="s">
        <v>111</v>
      </c>
      <c r="U19" s="50">
        <f>VLOOKUP(T19,_표_MessageType[[MessageType_Item]:[MessageType_Enum]],3,FALSE)</f>
        <v>0</v>
      </c>
      <c r="V19" s="89" t="s">
        <v>246</v>
      </c>
    </row>
    <row r="20" spans="2:22">
      <c r="B20" s="46" cm="1">
        <f t="array" aca="1" ref="B20" ca="1">OFFSET(INDIRECT(ADDRESS(ROW(),COLUMN())),0,6)</f>
        <v>23</v>
      </c>
      <c r="C20" s="46">
        <v>1</v>
      </c>
      <c r="D20" s="46"/>
      <c r="E20" s="46"/>
      <c r="F20" s="46"/>
      <c r="G20" s="46">
        <v>1</v>
      </c>
      <c r="H20" s="46">
        <v>23</v>
      </c>
      <c r="I20" s="88" t="s">
        <v>1074</v>
      </c>
      <c r="J20" s="46" t="s">
        <v>1075</v>
      </c>
      <c r="K20" s="46" t="s">
        <v>1076</v>
      </c>
      <c r="L20" s="46" t="s">
        <v>1077</v>
      </c>
      <c r="M20" s="46" t="s">
        <v>1078</v>
      </c>
      <c r="N20" s="46" t="s">
        <v>1079</v>
      </c>
      <c r="O20" s="46" t="s">
        <v>1080</v>
      </c>
      <c r="P20" s="46" t="s">
        <v>1081</v>
      </c>
      <c r="Q20" s="46">
        <v>0</v>
      </c>
      <c r="R20" s="48" t="s">
        <v>132</v>
      </c>
      <c r="S20" s="49">
        <f>VLOOKUP(R20,_표_ChattingMessageType[[ChattingMessageType_Item]:[ChattingMessageType_Enum]],2,FALSE)</f>
        <v>0</v>
      </c>
      <c r="T20" s="48" t="s">
        <v>111</v>
      </c>
      <c r="U20" s="50">
        <f>VLOOKUP(T20,_표_MessageType[[MessageType_Item]:[MessageType_Enum]],3,FALSE)</f>
        <v>0</v>
      </c>
      <c r="V20" s="89" t="s">
        <v>246</v>
      </c>
    </row>
    <row r="21" spans="2:22">
      <c r="B21" s="46" cm="1">
        <f t="array" aca="1" ref="B21" ca="1">OFFSET(INDIRECT(ADDRESS(ROW(),COLUMN())),0,6)</f>
        <v>24</v>
      </c>
      <c r="C21" s="46">
        <v>1</v>
      </c>
      <c r="D21" s="46"/>
      <c r="E21" s="46"/>
      <c r="F21" s="46"/>
      <c r="G21" s="46">
        <v>1</v>
      </c>
      <c r="H21" s="46">
        <v>24</v>
      </c>
      <c r="I21" s="88" t="s">
        <v>1082</v>
      </c>
      <c r="J21" s="46" t="s">
        <v>1083</v>
      </c>
      <c r="K21" s="46" t="s">
        <v>1084</v>
      </c>
      <c r="L21" s="46" t="s">
        <v>1085</v>
      </c>
      <c r="M21" s="46" t="s">
        <v>1086</v>
      </c>
      <c r="N21" s="46" t="s">
        <v>1087</v>
      </c>
      <c r="O21" s="46" t="s">
        <v>1088</v>
      </c>
      <c r="P21" s="46" t="s">
        <v>1089</v>
      </c>
      <c r="Q21" s="46">
        <v>0</v>
      </c>
      <c r="R21" s="48" t="s">
        <v>132</v>
      </c>
      <c r="S21" s="49">
        <f>VLOOKUP(R21,_표_ChattingMessageType[[ChattingMessageType_Item]:[ChattingMessageType_Enum]],2,FALSE)</f>
        <v>0</v>
      </c>
      <c r="T21" s="48" t="s">
        <v>111</v>
      </c>
      <c r="U21" s="50">
        <f>VLOOKUP(T21,_표_MessageType[[MessageType_Item]:[MessageType_Enum]],3,FALSE)</f>
        <v>0</v>
      </c>
      <c r="V21" s="89" t="s">
        <v>246</v>
      </c>
    </row>
    <row r="22" spans="2:22">
      <c r="B22" s="46" cm="1">
        <f t="array" aca="1" ref="B22" ca="1">OFFSET(INDIRECT(ADDRESS(ROW(),COLUMN())),0,6)</f>
        <v>25</v>
      </c>
      <c r="C22" s="46">
        <v>1</v>
      </c>
      <c r="D22" s="46"/>
      <c r="E22" s="46"/>
      <c r="F22" s="46"/>
      <c r="G22" s="46">
        <v>1</v>
      </c>
      <c r="H22" s="46">
        <v>25</v>
      </c>
      <c r="I22" s="88" t="s">
        <v>232</v>
      </c>
      <c r="J22" s="46" t="s">
        <v>372</v>
      </c>
      <c r="K22" s="46" t="s">
        <v>369</v>
      </c>
      <c r="L22" s="46" t="s">
        <v>370</v>
      </c>
      <c r="M22" s="46" t="s">
        <v>371</v>
      </c>
      <c r="N22" s="46" t="s">
        <v>710</v>
      </c>
      <c r="O22" s="46" t="s">
        <v>711</v>
      </c>
      <c r="P22" s="46" t="s">
        <v>712</v>
      </c>
      <c r="Q22" s="46">
        <v>0</v>
      </c>
      <c r="R22" s="48" t="s">
        <v>132</v>
      </c>
      <c r="S22" s="49">
        <f>VLOOKUP(R22,_표_ChattingMessageType[[ChattingMessageType_Item]:[ChattingMessageType_Enum]],2,FALSE)</f>
        <v>0</v>
      </c>
      <c r="T22" s="48" t="s">
        <v>111</v>
      </c>
      <c r="U22" s="50">
        <f>VLOOKUP(T22,_표_MessageType[[MessageType_Item]:[MessageType_Enum]],3,FALSE)</f>
        <v>0</v>
      </c>
      <c r="V22" s="89" t="s">
        <v>246</v>
      </c>
    </row>
    <row r="23" spans="2:22">
      <c r="B23" s="46" cm="1">
        <f t="array" aca="1" ref="B23" ca="1">OFFSET(INDIRECT(ADDRESS(ROW(),COLUMN())),0,6)</f>
        <v>26</v>
      </c>
      <c r="C23" s="46">
        <v>1</v>
      </c>
      <c r="D23" s="46"/>
      <c r="E23" s="46"/>
      <c r="F23" s="46"/>
      <c r="G23" s="46">
        <v>1</v>
      </c>
      <c r="H23" s="46">
        <v>26</v>
      </c>
      <c r="I23" s="88" t="s">
        <v>233</v>
      </c>
      <c r="J23" s="46" t="s">
        <v>375</v>
      </c>
      <c r="K23" s="46" t="s">
        <v>373</v>
      </c>
      <c r="L23" s="46" t="s">
        <v>374</v>
      </c>
      <c r="M23" s="46" t="s">
        <v>983</v>
      </c>
      <c r="N23" s="46" t="s">
        <v>713</v>
      </c>
      <c r="O23" s="46" t="s">
        <v>714</v>
      </c>
      <c r="P23" s="46" t="s">
        <v>715</v>
      </c>
      <c r="Q23" s="46">
        <v>0</v>
      </c>
      <c r="R23" s="48" t="s">
        <v>132</v>
      </c>
      <c r="S23" s="49">
        <f>VLOOKUP(R23,_표_ChattingMessageType[[ChattingMessageType_Item]:[ChattingMessageType_Enum]],2,FALSE)</f>
        <v>0</v>
      </c>
      <c r="T23" s="48" t="s">
        <v>111</v>
      </c>
      <c r="U23" s="50">
        <f>VLOOKUP(T23,_표_MessageType[[MessageType_Item]:[MessageType_Enum]],3,FALSE)</f>
        <v>0</v>
      </c>
      <c r="V23" s="89" t="s">
        <v>246</v>
      </c>
    </row>
    <row r="24" spans="2:22">
      <c r="B24" s="46" cm="1">
        <f t="array" aca="1" ref="B24" ca="1">OFFSET(INDIRECT(ADDRESS(ROW(),COLUMN())),0,6)</f>
        <v>27</v>
      </c>
      <c r="C24" s="46">
        <v>1</v>
      </c>
      <c r="D24" s="46"/>
      <c r="E24" s="46"/>
      <c r="F24" s="46"/>
      <c r="G24" s="46">
        <v>1</v>
      </c>
      <c r="H24" s="46">
        <v>27</v>
      </c>
      <c r="I24" s="88" t="s">
        <v>234</v>
      </c>
      <c r="J24" s="46" t="s">
        <v>379</v>
      </c>
      <c r="K24" s="46" t="s">
        <v>376</v>
      </c>
      <c r="L24" s="46" t="s">
        <v>377</v>
      </c>
      <c r="M24" s="46" t="s">
        <v>378</v>
      </c>
      <c r="N24" s="46" t="s">
        <v>716</v>
      </c>
      <c r="O24" s="46" t="s">
        <v>717</v>
      </c>
      <c r="P24" s="46" t="s">
        <v>718</v>
      </c>
      <c r="Q24" s="46">
        <v>0</v>
      </c>
      <c r="R24" s="48" t="s">
        <v>132</v>
      </c>
      <c r="S24" s="49">
        <f>VLOOKUP(R24,_표_ChattingMessageType[[ChattingMessageType_Item]:[ChattingMessageType_Enum]],2,FALSE)</f>
        <v>0</v>
      </c>
      <c r="T24" s="48" t="s">
        <v>111</v>
      </c>
      <c r="U24" s="50">
        <f>VLOOKUP(T24,_표_MessageType[[MessageType_Item]:[MessageType_Enum]],3,FALSE)</f>
        <v>0</v>
      </c>
      <c r="V24" s="89" t="s">
        <v>246</v>
      </c>
    </row>
    <row r="25" spans="2:22">
      <c r="B25" s="46" cm="1">
        <f t="array" aca="1" ref="B25" ca="1">OFFSET(INDIRECT(ADDRESS(ROW(),COLUMN())),0,6)</f>
        <v>28</v>
      </c>
      <c r="C25" s="46">
        <v>1</v>
      </c>
      <c r="D25" s="46"/>
      <c r="E25" s="46"/>
      <c r="F25" s="46"/>
      <c r="G25" s="46">
        <v>1</v>
      </c>
      <c r="H25" s="46">
        <v>28</v>
      </c>
      <c r="I25" s="88" t="s">
        <v>235</v>
      </c>
      <c r="J25" s="46" t="s">
        <v>383</v>
      </c>
      <c r="K25" s="46" t="s">
        <v>380</v>
      </c>
      <c r="L25" s="46" t="s">
        <v>381</v>
      </c>
      <c r="M25" s="46" t="s">
        <v>382</v>
      </c>
      <c r="N25" s="46" t="s">
        <v>719</v>
      </c>
      <c r="O25" s="46" t="s">
        <v>720</v>
      </c>
      <c r="P25" s="46" t="s">
        <v>721</v>
      </c>
      <c r="Q25" s="46">
        <v>0</v>
      </c>
      <c r="R25" s="48" t="s">
        <v>132</v>
      </c>
      <c r="S25" s="49">
        <f>VLOOKUP(R25,_표_ChattingMessageType[[ChattingMessageType_Item]:[ChattingMessageType_Enum]],2,FALSE)</f>
        <v>0</v>
      </c>
      <c r="T25" s="48" t="s">
        <v>111</v>
      </c>
      <c r="U25" s="50">
        <f>VLOOKUP(T25,_표_MessageType[[MessageType_Item]:[MessageType_Enum]],3,FALSE)</f>
        <v>0</v>
      </c>
      <c r="V25" s="89" t="s">
        <v>246</v>
      </c>
    </row>
    <row r="26" spans="2:22">
      <c r="B26" s="46" cm="1">
        <f t="array" aca="1" ref="B26" ca="1">OFFSET(INDIRECT(ADDRESS(ROW(),COLUMN())),0,6)</f>
        <v>29</v>
      </c>
      <c r="C26" s="46">
        <v>1</v>
      </c>
      <c r="D26" s="46"/>
      <c r="E26" s="46"/>
      <c r="F26" s="46"/>
      <c r="G26" s="46">
        <v>1</v>
      </c>
      <c r="H26" s="46">
        <v>29</v>
      </c>
      <c r="I26" s="88" t="s">
        <v>236</v>
      </c>
      <c r="J26" s="46" t="s">
        <v>387</v>
      </c>
      <c r="K26" s="46" t="s">
        <v>384</v>
      </c>
      <c r="L26" s="46" t="s">
        <v>385</v>
      </c>
      <c r="M26" s="46" t="s">
        <v>386</v>
      </c>
      <c r="N26" s="46" t="s">
        <v>722</v>
      </c>
      <c r="O26" s="46" t="s">
        <v>723</v>
      </c>
      <c r="P26" s="46" t="s">
        <v>723</v>
      </c>
      <c r="Q26" s="46">
        <v>0</v>
      </c>
      <c r="R26" s="48" t="s">
        <v>132</v>
      </c>
      <c r="S26" s="49">
        <f>VLOOKUP(R26,_표_ChattingMessageType[[ChattingMessageType_Item]:[ChattingMessageType_Enum]],2,FALSE)</f>
        <v>0</v>
      </c>
      <c r="T26" s="48" t="s">
        <v>111</v>
      </c>
      <c r="U26" s="50">
        <f>VLOOKUP(T26,_표_MessageType[[MessageType_Item]:[MessageType_Enum]],3,FALSE)</f>
        <v>0</v>
      </c>
      <c r="V26" s="89" t="s">
        <v>246</v>
      </c>
    </row>
    <row r="27" spans="2:22">
      <c r="B27" s="46" cm="1">
        <f t="array" aca="1" ref="B27" ca="1">OFFSET(INDIRECT(ADDRESS(ROW(),COLUMN())),0,6)</f>
        <v>30</v>
      </c>
      <c r="C27" s="46">
        <v>1</v>
      </c>
      <c r="D27" s="46"/>
      <c r="E27" s="46"/>
      <c r="F27" s="46"/>
      <c r="G27" s="46">
        <v>1</v>
      </c>
      <c r="H27" s="46">
        <v>30</v>
      </c>
      <c r="I27" s="88" t="s">
        <v>237</v>
      </c>
      <c r="J27" s="46" t="s">
        <v>390</v>
      </c>
      <c r="K27" s="46" t="s">
        <v>388</v>
      </c>
      <c r="L27" s="46" t="s">
        <v>389</v>
      </c>
      <c r="M27" s="46" t="s">
        <v>388</v>
      </c>
      <c r="N27" s="46" t="s">
        <v>724</v>
      </c>
      <c r="O27" s="46" t="s">
        <v>725</v>
      </c>
      <c r="P27" s="46" t="s">
        <v>726</v>
      </c>
      <c r="Q27" s="46">
        <v>0</v>
      </c>
      <c r="R27" s="48" t="s">
        <v>132</v>
      </c>
      <c r="S27" s="49">
        <f>VLOOKUP(R27,_표_ChattingMessageType[[ChattingMessageType_Item]:[ChattingMessageType_Enum]],2,FALSE)</f>
        <v>0</v>
      </c>
      <c r="T27" s="48" t="s">
        <v>111</v>
      </c>
      <c r="U27" s="50">
        <f>VLOOKUP(T27,_표_MessageType[[MessageType_Item]:[MessageType_Enum]],3,FALSE)</f>
        <v>0</v>
      </c>
      <c r="V27" s="89" t="s">
        <v>246</v>
      </c>
    </row>
    <row r="28" spans="2:22">
      <c r="B28" s="46" cm="1">
        <f t="array" aca="1" ref="B28" ca="1">OFFSET(INDIRECT(ADDRESS(ROW(),COLUMN())),0,6)</f>
        <v>31</v>
      </c>
      <c r="C28" s="46">
        <v>1</v>
      </c>
      <c r="D28" s="46"/>
      <c r="E28" s="46"/>
      <c r="F28" s="46"/>
      <c r="G28" s="46">
        <v>1</v>
      </c>
      <c r="H28" s="46">
        <v>31</v>
      </c>
      <c r="I28" s="88" t="s">
        <v>238</v>
      </c>
      <c r="J28" s="46" t="s">
        <v>393</v>
      </c>
      <c r="K28" s="46" t="s">
        <v>391</v>
      </c>
      <c r="L28" s="46" t="s">
        <v>392</v>
      </c>
      <c r="M28" s="46" t="s">
        <v>391</v>
      </c>
      <c r="N28" s="46" t="s">
        <v>727</v>
      </c>
      <c r="O28" s="46" t="s">
        <v>728</v>
      </c>
      <c r="P28" s="46" t="s">
        <v>729</v>
      </c>
      <c r="Q28" s="46">
        <v>0</v>
      </c>
      <c r="R28" s="48" t="s">
        <v>132</v>
      </c>
      <c r="S28" s="49">
        <f>VLOOKUP(R28,_표_ChattingMessageType[[ChattingMessageType_Item]:[ChattingMessageType_Enum]],2,FALSE)</f>
        <v>0</v>
      </c>
      <c r="T28" s="48" t="s">
        <v>111</v>
      </c>
      <c r="U28" s="50">
        <f>VLOOKUP(T28,_표_MessageType[[MessageType_Item]:[MessageType_Enum]],3,FALSE)</f>
        <v>0</v>
      </c>
      <c r="V28" s="89" t="s">
        <v>246</v>
      </c>
    </row>
    <row r="29" spans="2:22">
      <c r="B29" s="46" cm="1">
        <f t="array" aca="1" ref="B29" ca="1">OFFSET(INDIRECT(ADDRESS(ROW(),COLUMN())),0,6)</f>
        <v>32</v>
      </c>
      <c r="C29" s="46">
        <v>1</v>
      </c>
      <c r="D29" s="46"/>
      <c r="E29" s="46"/>
      <c r="F29" s="46"/>
      <c r="G29" s="46">
        <v>1</v>
      </c>
      <c r="H29" s="46">
        <v>32</v>
      </c>
      <c r="I29" s="88" t="s">
        <v>239</v>
      </c>
      <c r="J29" s="46" t="s">
        <v>397</v>
      </c>
      <c r="K29" s="46" t="s">
        <v>394</v>
      </c>
      <c r="L29" s="46" t="s">
        <v>395</v>
      </c>
      <c r="M29" s="46" t="s">
        <v>396</v>
      </c>
      <c r="N29" s="46" t="s">
        <v>730</v>
      </c>
      <c r="O29" s="46" t="s">
        <v>731</v>
      </c>
      <c r="P29" s="46" t="s">
        <v>732</v>
      </c>
      <c r="Q29" s="46">
        <v>0</v>
      </c>
      <c r="R29" s="48" t="s">
        <v>132</v>
      </c>
      <c r="S29" s="49">
        <f>VLOOKUP(R29,_표_ChattingMessageType[[ChattingMessageType_Item]:[ChattingMessageType_Enum]],2,FALSE)</f>
        <v>0</v>
      </c>
      <c r="T29" s="48" t="s">
        <v>111</v>
      </c>
      <c r="U29" s="50">
        <f>VLOOKUP(T29,_표_MessageType[[MessageType_Item]:[MessageType_Enum]],3,FALSE)</f>
        <v>0</v>
      </c>
      <c r="V29" s="89" t="s">
        <v>246</v>
      </c>
    </row>
    <row r="30" spans="2:22">
      <c r="B30" s="46" cm="1">
        <f t="array" aca="1" ref="B30" ca="1">OFFSET(INDIRECT(ADDRESS(ROW(),COLUMN())),0,6)</f>
        <v>33</v>
      </c>
      <c r="C30" s="46">
        <v>1</v>
      </c>
      <c r="D30" s="46"/>
      <c r="E30" s="46"/>
      <c r="F30" s="46"/>
      <c r="G30" s="46">
        <v>1</v>
      </c>
      <c r="H30" s="46">
        <v>33</v>
      </c>
      <c r="I30" s="88" t="s">
        <v>1446</v>
      </c>
      <c r="J30" s="46" t="s">
        <v>1447</v>
      </c>
      <c r="K30" s="46" t="s">
        <v>1448</v>
      </c>
      <c r="L30" s="46" t="s">
        <v>1449</v>
      </c>
      <c r="M30" s="46" t="s">
        <v>1450</v>
      </c>
      <c r="N30" s="46" t="s">
        <v>1451</v>
      </c>
      <c r="O30" s="46" t="s">
        <v>1452</v>
      </c>
      <c r="P30" s="46" t="s">
        <v>1453</v>
      </c>
      <c r="Q30" s="46">
        <v>0</v>
      </c>
      <c r="R30" s="48" t="s">
        <v>132</v>
      </c>
      <c r="S30" s="49">
        <f>VLOOKUP(R30,_표_ChattingMessageType[[ChattingMessageType_Item]:[ChattingMessageType_Enum]],2,FALSE)</f>
        <v>0</v>
      </c>
      <c r="T30" s="48" t="s">
        <v>111</v>
      </c>
      <c r="U30" s="50">
        <f>VLOOKUP(T30,_표_MessageType[[MessageType_Item]:[MessageType_Enum]],3,FALSE)</f>
        <v>0</v>
      </c>
      <c r="V30" s="89" t="s">
        <v>246</v>
      </c>
    </row>
    <row r="31" spans="2:22">
      <c r="B31" s="46" cm="1">
        <f t="array" aca="1" ref="B31" ca="1">OFFSET(INDIRECT(ADDRESS(ROW(),COLUMN())),0,6)</f>
        <v>34</v>
      </c>
      <c r="C31" s="46">
        <v>1</v>
      </c>
      <c r="D31" s="46"/>
      <c r="E31" s="46"/>
      <c r="F31" s="46"/>
      <c r="G31" s="46">
        <v>1</v>
      </c>
      <c r="H31" s="46">
        <v>34</v>
      </c>
      <c r="I31" s="88" t="s">
        <v>240</v>
      </c>
      <c r="J31" s="46" t="s">
        <v>689</v>
      </c>
      <c r="K31" s="46" t="s">
        <v>398</v>
      </c>
      <c r="L31" s="46" t="s">
        <v>399</v>
      </c>
      <c r="M31" s="46" t="s">
        <v>400</v>
      </c>
      <c r="N31" s="46" t="s">
        <v>733</v>
      </c>
      <c r="O31" s="46" t="s">
        <v>734</v>
      </c>
      <c r="P31" s="46" t="s">
        <v>735</v>
      </c>
      <c r="Q31" s="46">
        <v>0</v>
      </c>
      <c r="R31" s="48" t="s">
        <v>132</v>
      </c>
      <c r="S31" s="49">
        <f>VLOOKUP(R31,_표_ChattingMessageType[[ChattingMessageType_Item]:[ChattingMessageType_Enum]],2,FALSE)</f>
        <v>0</v>
      </c>
      <c r="T31" s="48" t="s">
        <v>111</v>
      </c>
      <c r="U31" s="50">
        <f>VLOOKUP(T31,_표_MessageType[[MessageType_Item]:[MessageType_Enum]],3,FALSE)</f>
        <v>0</v>
      </c>
      <c r="V31" s="89" t="s">
        <v>246</v>
      </c>
    </row>
    <row r="32" spans="2:22">
      <c r="B32" s="46" cm="1">
        <f t="array" aca="1" ref="B32" ca="1">OFFSET(INDIRECT(ADDRESS(ROW(),COLUMN())),0,6)</f>
        <v>35</v>
      </c>
      <c r="C32" s="46">
        <v>1</v>
      </c>
      <c r="D32" s="46"/>
      <c r="E32" s="46"/>
      <c r="F32" s="46"/>
      <c r="G32" s="46">
        <v>1</v>
      </c>
      <c r="H32" s="46">
        <v>35</v>
      </c>
      <c r="I32" s="88" t="s">
        <v>312</v>
      </c>
      <c r="J32" s="46" t="s">
        <v>1090</v>
      </c>
      <c r="K32" s="46" t="s">
        <v>1091</v>
      </c>
      <c r="L32" s="46" t="s">
        <v>1092</v>
      </c>
      <c r="M32" s="46" t="s">
        <v>1093</v>
      </c>
      <c r="N32" s="46" t="s">
        <v>1094</v>
      </c>
      <c r="O32" s="46" t="s">
        <v>1095</v>
      </c>
      <c r="P32" s="46" t="s">
        <v>1096</v>
      </c>
      <c r="Q32" s="46">
        <v>0</v>
      </c>
      <c r="R32" s="48" t="s">
        <v>132</v>
      </c>
      <c r="S32" s="49">
        <f>VLOOKUP(R32,_표_ChattingMessageType[[ChattingMessageType_Item]:[ChattingMessageType_Enum]],2,FALSE)</f>
        <v>0</v>
      </c>
      <c r="T32" s="48" t="s">
        <v>111</v>
      </c>
      <c r="U32" s="50">
        <f>VLOOKUP(T32,_표_MessageType[[MessageType_Item]:[MessageType_Enum]],3,FALSE)</f>
        <v>0</v>
      </c>
      <c r="V32" s="89" t="s">
        <v>246</v>
      </c>
    </row>
    <row r="33" spans="2:22">
      <c r="B33" s="46" cm="1">
        <f t="array" aca="1" ref="B33" ca="1">OFFSET(INDIRECT(ADDRESS(ROW(),COLUMN())),0,6)</f>
        <v>36</v>
      </c>
      <c r="C33" s="46">
        <v>1</v>
      </c>
      <c r="D33" s="46"/>
      <c r="E33" s="46"/>
      <c r="F33" s="46"/>
      <c r="G33" s="46">
        <v>1</v>
      </c>
      <c r="H33" s="46">
        <v>36</v>
      </c>
      <c r="I33" s="88" t="s">
        <v>241</v>
      </c>
      <c r="J33" s="46" t="s">
        <v>403</v>
      </c>
      <c r="K33" s="46" t="s">
        <v>680</v>
      </c>
      <c r="L33" s="46" t="s">
        <v>401</v>
      </c>
      <c r="M33" s="46" t="s">
        <v>402</v>
      </c>
      <c r="N33" s="46" t="s">
        <v>736</v>
      </c>
      <c r="O33" s="46" t="s">
        <v>737</v>
      </c>
      <c r="P33" s="46" t="s">
        <v>738</v>
      </c>
      <c r="Q33" s="46">
        <v>0</v>
      </c>
      <c r="R33" s="48" t="s">
        <v>132</v>
      </c>
      <c r="S33" s="49">
        <f>VLOOKUP(R33,_표_ChattingMessageType[[ChattingMessageType_Item]:[ChattingMessageType_Enum]],2,FALSE)</f>
        <v>0</v>
      </c>
      <c r="T33" s="48" t="s">
        <v>111</v>
      </c>
      <c r="U33" s="50">
        <f>VLOOKUP(T33,_표_MessageType[[MessageType_Item]:[MessageType_Enum]],3,FALSE)</f>
        <v>0</v>
      </c>
      <c r="V33" s="89" t="s">
        <v>246</v>
      </c>
    </row>
    <row r="34" spans="2:22">
      <c r="B34" s="46" cm="1">
        <f t="array" aca="1" ref="B34" ca="1">OFFSET(INDIRECT(ADDRESS(ROW(),COLUMN())),0,6)</f>
        <v>37</v>
      </c>
      <c r="C34" s="46">
        <v>1</v>
      </c>
      <c r="D34" s="46"/>
      <c r="E34" s="46"/>
      <c r="F34" s="46"/>
      <c r="G34" s="46">
        <v>1</v>
      </c>
      <c r="H34" s="46">
        <v>37</v>
      </c>
      <c r="I34" s="88" t="s">
        <v>242</v>
      </c>
      <c r="J34" s="46" t="s">
        <v>407</v>
      </c>
      <c r="K34" s="46" t="s">
        <v>404</v>
      </c>
      <c r="L34" s="46" t="s">
        <v>405</v>
      </c>
      <c r="M34" s="46" t="s">
        <v>406</v>
      </c>
      <c r="N34" s="46" t="s">
        <v>739</v>
      </c>
      <c r="O34" s="46" t="s">
        <v>740</v>
      </c>
      <c r="P34" s="46" t="s">
        <v>741</v>
      </c>
      <c r="Q34" s="46">
        <v>0</v>
      </c>
      <c r="R34" s="48" t="s">
        <v>132</v>
      </c>
      <c r="S34" s="49">
        <f>VLOOKUP(R34,_표_ChattingMessageType[[ChattingMessageType_Item]:[ChattingMessageType_Enum]],2,FALSE)</f>
        <v>0</v>
      </c>
      <c r="T34" s="48" t="s">
        <v>111</v>
      </c>
      <c r="U34" s="50">
        <f>VLOOKUP(T34,_표_MessageType[[MessageType_Item]:[MessageType_Enum]],3,FALSE)</f>
        <v>0</v>
      </c>
      <c r="V34" s="89" t="s">
        <v>246</v>
      </c>
    </row>
    <row r="35" spans="2:22">
      <c r="B35" s="46" cm="1">
        <f t="array" aca="1" ref="B35" ca="1">OFFSET(INDIRECT(ADDRESS(ROW(),COLUMN())),0,6)</f>
        <v>38</v>
      </c>
      <c r="C35" s="46">
        <v>1</v>
      </c>
      <c r="D35" s="46"/>
      <c r="E35" s="46"/>
      <c r="F35" s="46"/>
      <c r="G35" s="46">
        <v>1</v>
      </c>
      <c r="H35" s="46">
        <v>38</v>
      </c>
      <c r="I35" s="88" t="s">
        <v>243</v>
      </c>
      <c r="J35" s="46" t="s">
        <v>690</v>
      </c>
      <c r="K35" s="46" t="s">
        <v>408</v>
      </c>
      <c r="L35" s="46" t="s">
        <v>409</v>
      </c>
      <c r="M35" s="46" t="s">
        <v>410</v>
      </c>
      <c r="N35" s="46" t="s">
        <v>742</v>
      </c>
      <c r="O35" s="46" t="s">
        <v>743</v>
      </c>
      <c r="P35" s="46" t="s">
        <v>744</v>
      </c>
      <c r="Q35" s="46">
        <v>0</v>
      </c>
      <c r="R35" s="48" t="s">
        <v>132</v>
      </c>
      <c r="S35" s="49">
        <f>VLOOKUP(R35,_표_ChattingMessageType[[ChattingMessageType_Item]:[ChattingMessageType_Enum]],2,FALSE)</f>
        <v>0</v>
      </c>
      <c r="T35" s="48" t="s">
        <v>111</v>
      </c>
      <c r="U35" s="50">
        <f>VLOOKUP(T35,_표_MessageType[[MessageType_Item]:[MessageType_Enum]],3,FALSE)</f>
        <v>0</v>
      </c>
      <c r="V35" s="89" t="s">
        <v>246</v>
      </c>
    </row>
    <row r="36" spans="2:22">
      <c r="B36" s="46" cm="1">
        <f t="array" aca="1" ref="B36" ca="1">OFFSET(INDIRECT(ADDRESS(ROW(),COLUMN())),0,6)</f>
        <v>39</v>
      </c>
      <c r="C36" s="46">
        <v>1</v>
      </c>
      <c r="D36" s="46"/>
      <c r="E36" s="46"/>
      <c r="F36" s="46"/>
      <c r="G36" s="46">
        <v>1</v>
      </c>
      <c r="H36" s="46">
        <v>39</v>
      </c>
      <c r="I36" s="88" t="s">
        <v>244</v>
      </c>
      <c r="J36" s="46" t="s">
        <v>413</v>
      </c>
      <c r="K36" s="46" t="s">
        <v>411</v>
      </c>
      <c r="L36" s="46" t="s">
        <v>412</v>
      </c>
      <c r="M36" s="46" t="s">
        <v>984</v>
      </c>
      <c r="N36" s="46" t="s">
        <v>745</v>
      </c>
      <c r="O36" s="46" t="s">
        <v>746</v>
      </c>
      <c r="P36" s="46" t="s">
        <v>747</v>
      </c>
      <c r="Q36" s="46">
        <v>0</v>
      </c>
      <c r="R36" s="48" t="s">
        <v>132</v>
      </c>
      <c r="S36" s="49">
        <f>VLOOKUP(R36,_표_ChattingMessageType[[ChattingMessageType_Item]:[ChattingMessageType_Enum]],2,FALSE)</f>
        <v>0</v>
      </c>
      <c r="T36" s="48" t="s">
        <v>111</v>
      </c>
      <c r="U36" s="50">
        <f>VLOOKUP(T36,_표_MessageType[[MessageType_Item]:[MessageType_Enum]],3,FALSE)</f>
        <v>0</v>
      </c>
      <c r="V36" s="89" t="s">
        <v>246</v>
      </c>
    </row>
    <row r="37" spans="2:22">
      <c r="B37" s="46" cm="1">
        <f t="array" aca="1" ref="B37" ca="1">OFFSET(INDIRECT(ADDRESS(ROW(),COLUMN())),0,6)</f>
        <v>40</v>
      </c>
      <c r="C37" s="46">
        <v>1</v>
      </c>
      <c r="D37" s="46"/>
      <c r="E37" s="46"/>
      <c r="F37" s="46"/>
      <c r="G37" s="46">
        <v>1</v>
      </c>
      <c r="H37" s="46">
        <v>40</v>
      </c>
      <c r="I37" s="88" t="s">
        <v>245</v>
      </c>
      <c r="J37" s="46" t="s">
        <v>416</v>
      </c>
      <c r="K37" s="46" t="s">
        <v>414</v>
      </c>
      <c r="L37" s="46" t="s">
        <v>415</v>
      </c>
      <c r="M37" s="46" t="s">
        <v>985</v>
      </c>
      <c r="N37" s="46" t="s">
        <v>748</v>
      </c>
      <c r="O37" s="46" t="s">
        <v>749</v>
      </c>
      <c r="P37" s="46" t="s">
        <v>750</v>
      </c>
      <c r="Q37" s="46">
        <v>0</v>
      </c>
      <c r="R37" s="48" t="s">
        <v>132</v>
      </c>
      <c r="S37" s="49">
        <f>VLOOKUP(R37,_표_ChattingMessageType[[ChattingMessageType_Item]:[ChattingMessageType_Enum]],2,FALSE)</f>
        <v>0</v>
      </c>
      <c r="T37" s="48" t="s">
        <v>111</v>
      </c>
      <c r="U37" s="50">
        <f>VLOOKUP(T37,_표_MessageType[[MessageType_Item]:[MessageType_Enum]],3,FALSE)</f>
        <v>0</v>
      </c>
      <c r="V37" s="89" t="s">
        <v>246</v>
      </c>
    </row>
    <row r="38" spans="2:22">
      <c r="B38" s="46" cm="1">
        <f t="array" aca="1" ref="B38" ca="1">OFFSET(INDIRECT(ADDRESS(ROW(),COLUMN())),0,6)</f>
        <v>41</v>
      </c>
      <c r="C38" s="46">
        <v>1</v>
      </c>
      <c r="D38" s="46"/>
      <c r="E38" s="46"/>
      <c r="F38" s="46"/>
      <c r="G38" s="46">
        <v>1</v>
      </c>
      <c r="H38" s="46">
        <v>41</v>
      </c>
      <c r="I38" s="88" t="s">
        <v>23</v>
      </c>
      <c r="J38" s="46" t="s">
        <v>419</v>
      </c>
      <c r="K38" s="46" t="s">
        <v>417</v>
      </c>
      <c r="L38" s="46" t="s">
        <v>418</v>
      </c>
      <c r="M38" s="46" t="s">
        <v>417</v>
      </c>
      <c r="N38" s="46" t="s">
        <v>751</v>
      </c>
      <c r="O38" s="46" t="s">
        <v>752</v>
      </c>
      <c r="P38" s="46" t="s">
        <v>419</v>
      </c>
      <c r="Q38" s="46">
        <v>0</v>
      </c>
      <c r="R38" s="48" t="s">
        <v>132</v>
      </c>
      <c r="S38" s="49">
        <f>VLOOKUP(R38,_표_ChattingMessageType[[ChattingMessageType_Item]:[ChattingMessageType_Enum]],2,FALSE)</f>
        <v>0</v>
      </c>
      <c r="T38" s="48" t="s">
        <v>111</v>
      </c>
      <c r="U38" s="50">
        <f>VLOOKUP(T38,_표_MessageType[[MessageType_Item]:[MessageType_Enum]],3,FALSE)</f>
        <v>0</v>
      </c>
      <c r="V38" s="89" t="s">
        <v>53</v>
      </c>
    </row>
    <row r="39" spans="2:22">
      <c r="B39" s="46" cm="1">
        <f t="array" aca="1" ref="B39" ca="1">OFFSET(INDIRECT(ADDRESS(ROW(),COLUMN())),0,6)</f>
        <v>42</v>
      </c>
      <c r="C39" s="46">
        <v>1</v>
      </c>
      <c r="D39" s="46"/>
      <c r="E39" s="46"/>
      <c r="F39" s="46"/>
      <c r="G39" s="46">
        <v>1</v>
      </c>
      <c r="H39" s="46">
        <v>42</v>
      </c>
      <c r="I39" s="88" t="s">
        <v>22</v>
      </c>
      <c r="J39" s="46" t="s">
        <v>421</v>
      </c>
      <c r="K39" s="46" t="s">
        <v>420</v>
      </c>
      <c r="L39" s="46" t="s">
        <v>420</v>
      </c>
      <c r="M39" s="46" t="s">
        <v>420</v>
      </c>
      <c r="N39" s="46" t="s">
        <v>753</v>
      </c>
      <c r="O39" s="46" t="s">
        <v>754</v>
      </c>
      <c r="P39" s="46" t="s">
        <v>754</v>
      </c>
      <c r="Q39" s="46">
        <v>0</v>
      </c>
      <c r="R39" s="48" t="s">
        <v>132</v>
      </c>
      <c r="S39" s="49">
        <f>VLOOKUP(R39,_표_ChattingMessageType[[ChattingMessageType_Item]:[ChattingMessageType_Enum]],2,FALSE)</f>
        <v>0</v>
      </c>
      <c r="T39" s="48" t="s">
        <v>111</v>
      </c>
      <c r="U39" s="50">
        <f>VLOOKUP(T39,_표_MessageType[[MessageType_Item]:[MessageType_Enum]],3,FALSE)</f>
        <v>0</v>
      </c>
      <c r="V39" s="89" t="s">
        <v>53</v>
      </c>
    </row>
    <row r="40" spans="2:22">
      <c r="B40" s="46" cm="1">
        <f t="array" aca="1" ref="B40" ca="1">OFFSET(INDIRECT(ADDRESS(ROW(),COLUMN())),0,6)</f>
        <v>43</v>
      </c>
      <c r="C40" s="46">
        <v>1</v>
      </c>
      <c r="D40" s="46"/>
      <c r="E40" s="46"/>
      <c r="F40" s="46"/>
      <c r="G40" s="46">
        <v>1</v>
      </c>
      <c r="H40" s="46">
        <v>43</v>
      </c>
      <c r="I40" s="88" t="s">
        <v>1097</v>
      </c>
      <c r="J40" s="46" t="s">
        <v>1098</v>
      </c>
      <c r="K40" s="46" t="s">
        <v>1099</v>
      </c>
      <c r="L40" s="46" t="s">
        <v>1100</v>
      </c>
      <c r="M40" s="46" t="s">
        <v>1101</v>
      </c>
      <c r="N40" s="46" t="s">
        <v>1102</v>
      </c>
      <c r="O40" s="46" t="s">
        <v>1103</v>
      </c>
      <c r="P40" s="46" t="s">
        <v>1104</v>
      </c>
      <c r="Q40" s="46">
        <v>0</v>
      </c>
      <c r="R40" s="48" t="s">
        <v>132</v>
      </c>
      <c r="S40" s="49">
        <v>0</v>
      </c>
      <c r="T40" s="48" t="s">
        <v>111</v>
      </c>
      <c r="U40" s="50">
        <v>0</v>
      </c>
      <c r="V40" s="89" t="s">
        <v>246</v>
      </c>
    </row>
    <row r="41" spans="2:22">
      <c r="B41" s="46" cm="1">
        <f t="array" aca="1" ref="B41" ca="1">OFFSET(INDIRECT(ADDRESS(ROW(),COLUMN())),0,6)</f>
        <v>44</v>
      </c>
      <c r="C41" s="46">
        <v>1</v>
      </c>
      <c r="D41" s="46"/>
      <c r="E41" s="46"/>
      <c r="F41" s="46"/>
      <c r="G41" s="46">
        <v>1</v>
      </c>
      <c r="H41" s="46">
        <v>44</v>
      </c>
      <c r="I41" s="88" t="s">
        <v>1105</v>
      </c>
      <c r="J41" s="46" t="s">
        <v>1106</v>
      </c>
      <c r="K41" s="46" t="s">
        <v>1107</v>
      </c>
      <c r="L41" s="46" t="s">
        <v>1108</v>
      </c>
      <c r="M41" s="46" t="s">
        <v>1109</v>
      </c>
      <c r="N41" s="46" t="s">
        <v>1102</v>
      </c>
      <c r="O41" s="46" t="s">
        <v>1110</v>
      </c>
      <c r="P41" s="46" t="s">
        <v>1111</v>
      </c>
      <c r="Q41" s="46">
        <v>0</v>
      </c>
      <c r="R41" s="48" t="s">
        <v>132</v>
      </c>
      <c r="S41" s="49">
        <v>0</v>
      </c>
      <c r="T41" s="48" t="s">
        <v>111</v>
      </c>
      <c r="U41" s="50">
        <v>0</v>
      </c>
      <c r="V41" s="89" t="s">
        <v>246</v>
      </c>
    </row>
    <row r="42" spans="2:22">
      <c r="B42" s="46" cm="1">
        <f t="array" aca="1" ref="B42" ca="1">OFFSET(INDIRECT(ADDRESS(ROW(),COLUMN())),0,6)</f>
        <v>45</v>
      </c>
      <c r="C42" s="46">
        <v>1</v>
      </c>
      <c r="D42" s="46"/>
      <c r="E42" s="46"/>
      <c r="F42" s="46"/>
      <c r="G42" s="46">
        <v>1</v>
      </c>
      <c r="H42" s="46">
        <v>45</v>
      </c>
      <c r="I42" s="88" t="s">
        <v>247</v>
      </c>
      <c r="J42" s="46" t="s">
        <v>425</v>
      </c>
      <c r="K42" s="46" t="s">
        <v>422</v>
      </c>
      <c r="L42" s="46" t="s">
        <v>423</v>
      </c>
      <c r="M42" s="46" t="s">
        <v>424</v>
      </c>
      <c r="N42" s="46" t="s">
        <v>755</v>
      </c>
      <c r="O42" s="46" t="s">
        <v>756</v>
      </c>
      <c r="P42" s="46" t="s">
        <v>756</v>
      </c>
      <c r="Q42" s="46">
        <v>0</v>
      </c>
      <c r="R42" s="48" t="s">
        <v>132</v>
      </c>
      <c r="S42" s="49">
        <v>0</v>
      </c>
      <c r="T42" s="48" t="s">
        <v>111</v>
      </c>
      <c r="U42" s="50">
        <v>0</v>
      </c>
      <c r="V42" s="89" t="s">
        <v>246</v>
      </c>
    </row>
    <row r="43" spans="2:22">
      <c r="B43" s="46" cm="1">
        <f t="array" aca="1" ref="B43" ca="1">OFFSET(INDIRECT(ADDRESS(ROW(),COLUMN())),0,6)</f>
        <v>46</v>
      </c>
      <c r="C43" s="46">
        <v>1</v>
      </c>
      <c r="D43" s="46"/>
      <c r="E43" s="46"/>
      <c r="F43" s="46"/>
      <c r="G43" s="46">
        <v>1</v>
      </c>
      <c r="H43" s="46">
        <v>46</v>
      </c>
      <c r="I43" s="88" t="s">
        <v>1112</v>
      </c>
      <c r="J43" s="46" t="s">
        <v>1113</v>
      </c>
      <c r="K43" s="46" t="s">
        <v>1114</v>
      </c>
      <c r="L43" s="46" t="s">
        <v>1115</v>
      </c>
      <c r="M43" s="46" t="s">
        <v>1116</v>
      </c>
      <c r="N43" s="46" t="s">
        <v>1117</v>
      </c>
      <c r="O43" s="46" t="s">
        <v>1118</v>
      </c>
      <c r="P43" s="46" t="s">
        <v>1119</v>
      </c>
      <c r="Q43" s="46">
        <v>0</v>
      </c>
      <c r="R43" s="48" t="s">
        <v>132</v>
      </c>
      <c r="S43" s="49">
        <v>0</v>
      </c>
      <c r="T43" s="48" t="s">
        <v>248</v>
      </c>
      <c r="U43" s="50">
        <v>31</v>
      </c>
      <c r="V43" s="89" t="s">
        <v>246</v>
      </c>
    </row>
    <row r="44" spans="2:22">
      <c r="B44" s="46" cm="1">
        <f t="array" aca="1" ref="B44" ca="1">OFFSET(INDIRECT(ADDRESS(ROW(),COLUMN())),0,6)</f>
        <v>47</v>
      </c>
      <c r="C44" s="46">
        <v>1</v>
      </c>
      <c r="D44" s="46"/>
      <c r="E44" s="46"/>
      <c r="F44" s="46"/>
      <c r="G44" s="46">
        <v>1</v>
      </c>
      <c r="H44" s="46">
        <v>47</v>
      </c>
      <c r="I44" s="88" t="s">
        <v>1454</v>
      </c>
      <c r="J44" s="46" t="s">
        <v>1455</v>
      </c>
      <c r="K44" s="46" t="s">
        <v>1456</v>
      </c>
      <c r="L44" s="46" t="s">
        <v>1457</v>
      </c>
      <c r="M44" s="46" t="s">
        <v>1458</v>
      </c>
      <c r="N44" s="46" t="s">
        <v>1459</v>
      </c>
      <c r="O44" s="46" t="s">
        <v>1460</v>
      </c>
      <c r="P44" s="46" t="s">
        <v>1461</v>
      </c>
      <c r="Q44" s="46">
        <v>0</v>
      </c>
      <c r="R44" s="48" t="s">
        <v>132</v>
      </c>
      <c r="S44" s="49">
        <v>0</v>
      </c>
      <c r="T44" s="48" t="s">
        <v>248</v>
      </c>
      <c r="U44" s="50">
        <v>31</v>
      </c>
      <c r="V44" s="89" t="s">
        <v>246</v>
      </c>
    </row>
    <row r="45" spans="2:22">
      <c r="B45" s="46" cm="1">
        <f t="array" aca="1" ref="B45" ca="1">OFFSET(INDIRECT(ADDRESS(ROW(),COLUMN())),0,6)</f>
        <v>48</v>
      </c>
      <c r="C45" s="46">
        <v>1</v>
      </c>
      <c r="D45" s="46"/>
      <c r="E45" s="46"/>
      <c r="F45" s="46"/>
      <c r="G45" s="46">
        <v>1</v>
      </c>
      <c r="H45" s="46">
        <v>48</v>
      </c>
      <c r="I45" s="88" t="s">
        <v>1462</v>
      </c>
      <c r="J45" s="46" t="s">
        <v>1463</v>
      </c>
      <c r="K45" s="46" t="s">
        <v>1464</v>
      </c>
      <c r="L45" s="46" t="s">
        <v>1465</v>
      </c>
      <c r="M45" s="46" t="s">
        <v>1466</v>
      </c>
      <c r="N45" s="46" t="s">
        <v>1467</v>
      </c>
      <c r="O45" s="46" t="s">
        <v>1468</v>
      </c>
      <c r="P45" s="46" t="s">
        <v>1469</v>
      </c>
      <c r="Q45" s="46">
        <v>0</v>
      </c>
      <c r="R45" s="48" t="s">
        <v>132</v>
      </c>
      <c r="S45" s="49">
        <v>0</v>
      </c>
      <c r="T45" s="48" t="s">
        <v>248</v>
      </c>
      <c r="U45" s="50">
        <v>31</v>
      </c>
      <c r="V45" s="89" t="s">
        <v>246</v>
      </c>
    </row>
    <row r="46" spans="2:22">
      <c r="B46" s="46" cm="1">
        <f t="array" aca="1" ref="B46" ca="1">OFFSET(INDIRECT(ADDRESS(ROW(),COLUMN())),0,6)</f>
        <v>49</v>
      </c>
      <c r="C46" s="46">
        <v>1</v>
      </c>
      <c r="D46" s="46"/>
      <c r="E46" s="46"/>
      <c r="F46" s="46"/>
      <c r="G46" s="46">
        <v>1</v>
      </c>
      <c r="H46" s="46">
        <v>49</v>
      </c>
      <c r="I46" s="88" t="s">
        <v>1470</v>
      </c>
      <c r="J46" s="46" t="s">
        <v>1471</v>
      </c>
      <c r="K46" s="46" t="s">
        <v>1472</v>
      </c>
      <c r="L46" s="46" t="s">
        <v>1473</v>
      </c>
      <c r="M46" s="46" t="s">
        <v>1474</v>
      </c>
      <c r="N46" s="46" t="s">
        <v>1475</v>
      </c>
      <c r="O46" s="46" t="s">
        <v>1476</v>
      </c>
      <c r="P46" s="46" t="s">
        <v>1477</v>
      </c>
      <c r="Q46" s="46">
        <v>0</v>
      </c>
      <c r="R46" s="48" t="s">
        <v>132</v>
      </c>
      <c r="S46" s="49">
        <v>0</v>
      </c>
      <c r="T46" s="48" t="s">
        <v>248</v>
      </c>
      <c r="U46" s="50">
        <v>31</v>
      </c>
      <c r="V46" s="89" t="s">
        <v>246</v>
      </c>
    </row>
    <row r="47" spans="2:22">
      <c r="B47" s="46" cm="1">
        <f t="array" aca="1" ref="B47" ca="1">OFFSET(INDIRECT(ADDRESS(ROW(),COLUMN())),0,6)</f>
        <v>50</v>
      </c>
      <c r="C47" s="46">
        <v>1</v>
      </c>
      <c r="D47" s="46"/>
      <c r="E47" s="46"/>
      <c r="F47" s="46"/>
      <c r="G47" s="46">
        <v>1</v>
      </c>
      <c r="H47" s="46">
        <v>50</v>
      </c>
      <c r="I47" s="88" t="s">
        <v>1478</v>
      </c>
      <c r="J47" s="46" t="s">
        <v>1652</v>
      </c>
      <c r="K47" s="46" t="s">
        <v>1479</v>
      </c>
      <c r="L47" s="46" t="s">
        <v>1480</v>
      </c>
      <c r="M47" s="46" t="s">
        <v>1653</v>
      </c>
      <c r="N47" s="46" t="s">
        <v>1654</v>
      </c>
      <c r="O47" s="46" t="s">
        <v>1481</v>
      </c>
      <c r="P47" s="46" t="s">
        <v>1482</v>
      </c>
      <c r="Q47" s="46">
        <v>0</v>
      </c>
      <c r="R47" s="48" t="s">
        <v>132</v>
      </c>
      <c r="S47" s="49">
        <v>0</v>
      </c>
      <c r="T47" s="48" t="s">
        <v>248</v>
      </c>
      <c r="U47" s="50">
        <v>31</v>
      </c>
      <c r="V47" s="89" t="s">
        <v>246</v>
      </c>
    </row>
    <row r="48" spans="2:22">
      <c r="B48" s="46" cm="1">
        <f t="array" aca="1" ref="B48" ca="1">OFFSET(INDIRECT(ADDRESS(ROW(),COLUMN())),0,6)</f>
        <v>51</v>
      </c>
      <c r="C48" s="46">
        <v>1</v>
      </c>
      <c r="D48" s="46"/>
      <c r="E48" s="46"/>
      <c r="F48" s="46"/>
      <c r="G48" s="46">
        <v>1</v>
      </c>
      <c r="H48" s="46">
        <v>51</v>
      </c>
      <c r="I48" s="88" t="s">
        <v>1483</v>
      </c>
      <c r="J48" s="46" t="s">
        <v>1484</v>
      </c>
      <c r="K48" s="46" t="s">
        <v>1485</v>
      </c>
      <c r="L48" s="46" t="s">
        <v>1486</v>
      </c>
      <c r="M48" s="46" t="s">
        <v>1487</v>
      </c>
      <c r="N48" s="46" t="s">
        <v>1488</v>
      </c>
      <c r="O48" s="46" t="s">
        <v>1489</v>
      </c>
      <c r="P48" s="46" t="s">
        <v>1490</v>
      </c>
      <c r="Q48" s="46">
        <v>0</v>
      </c>
      <c r="R48" s="48" t="s">
        <v>132</v>
      </c>
      <c r="S48" s="49">
        <v>0</v>
      </c>
      <c r="T48" s="48" t="s">
        <v>111</v>
      </c>
      <c r="U48" s="50">
        <v>0</v>
      </c>
      <c r="V48" s="89" t="s">
        <v>246</v>
      </c>
    </row>
    <row r="49" spans="2:22">
      <c r="B49" s="46" cm="1">
        <f t="array" aca="1" ref="B49" ca="1">OFFSET(INDIRECT(ADDRESS(ROW(),COLUMN())),0,6)</f>
        <v>52</v>
      </c>
      <c r="C49" s="46">
        <v>1</v>
      </c>
      <c r="D49" s="46"/>
      <c r="E49" s="46"/>
      <c r="F49" s="46"/>
      <c r="G49" s="46">
        <v>1</v>
      </c>
      <c r="H49" s="46">
        <v>52</v>
      </c>
      <c r="I49" s="88" t="s">
        <v>249</v>
      </c>
      <c r="J49" s="46" t="s">
        <v>429</v>
      </c>
      <c r="K49" s="46" t="s">
        <v>426</v>
      </c>
      <c r="L49" s="46" t="s">
        <v>427</v>
      </c>
      <c r="M49" s="46" t="s">
        <v>428</v>
      </c>
      <c r="N49" s="46" t="s">
        <v>757</v>
      </c>
      <c r="O49" s="46" t="s">
        <v>758</v>
      </c>
      <c r="P49" s="46" t="s">
        <v>759</v>
      </c>
      <c r="Q49" s="46">
        <v>0</v>
      </c>
      <c r="R49" s="48" t="s">
        <v>132</v>
      </c>
      <c r="S49" s="49">
        <v>0</v>
      </c>
      <c r="T49" s="48" t="s">
        <v>111</v>
      </c>
      <c r="U49" s="50">
        <v>0</v>
      </c>
      <c r="V49" s="89" t="s">
        <v>246</v>
      </c>
    </row>
    <row r="50" spans="2:22">
      <c r="B50" s="46" cm="1">
        <f t="array" aca="1" ref="B50" ca="1">OFFSET(INDIRECT(ADDRESS(ROW(),COLUMN())),0,6)</f>
        <v>53</v>
      </c>
      <c r="C50" s="46">
        <v>1</v>
      </c>
      <c r="D50" s="46"/>
      <c r="E50" s="46"/>
      <c r="F50" s="46"/>
      <c r="G50" s="46">
        <v>1</v>
      </c>
      <c r="H50" s="46">
        <v>53</v>
      </c>
      <c r="I50" s="88" t="s">
        <v>250</v>
      </c>
      <c r="J50" s="46" t="s">
        <v>250</v>
      </c>
      <c r="K50" s="46" t="s">
        <v>250</v>
      </c>
      <c r="L50" s="46" t="s">
        <v>250</v>
      </c>
      <c r="M50" s="46" t="s">
        <v>250</v>
      </c>
      <c r="N50" s="46" t="s">
        <v>250</v>
      </c>
      <c r="O50" s="46" t="s">
        <v>250</v>
      </c>
      <c r="P50" s="46" t="s">
        <v>250</v>
      </c>
      <c r="Q50" s="46">
        <v>0</v>
      </c>
      <c r="R50" s="48" t="s">
        <v>132</v>
      </c>
      <c r="S50" s="49">
        <v>0</v>
      </c>
      <c r="T50" s="48" t="s">
        <v>111</v>
      </c>
      <c r="U50" s="50">
        <v>0</v>
      </c>
      <c r="V50" s="89" t="s">
        <v>246</v>
      </c>
    </row>
    <row r="51" spans="2:22">
      <c r="B51" s="46" cm="1">
        <f t="array" aca="1" ref="B51" ca="1">OFFSET(INDIRECT(ADDRESS(ROW(),COLUMN())),0,6)</f>
        <v>54</v>
      </c>
      <c r="C51" s="46">
        <v>1</v>
      </c>
      <c r="D51" s="46"/>
      <c r="E51" s="46"/>
      <c r="F51" s="46"/>
      <c r="G51" s="46">
        <v>1</v>
      </c>
      <c r="H51" s="46">
        <v>54</v>
      </c>
      <c r="I51" s="88" t="s">
        <v>251</v>
      </c>
      <c r="J51" s="46" t="s">
        <v>251</v>
      </c>
      <c r="K51" s="46" t="s">
        <v>251</v>
      </c>
      <c r="L51" s="46" t="s">
        <v>251</v>
      </c>
      <c r="M51" s="46" t="s">
        <v>251</v>
      </c>
      <c r="N51" s="46" t="s">
        <v>251</v>
      </c>
      <c r="O51" s="46" t="s">
        <v>251</v>
      </c>
      <c r="P51" s="46" t="s">
        <v>251</v>
      </c>
      <c r="Q51" s="46">
        <v>0</v>
      </c>
      <c r="R51" s="48" t="s">
        <v>132</v>
      </c>
      <c r="S51" s="49">
        <v>0</v>
      </c>
      <c r="T51" s="48" t="s">
        <v>111</v>
      </c>
      <c r="U51" s="50">
        <v>0</v>
      </c>
      <c r="V51" s="89" t="s">
        <v>246</v>
      </c>
    </row>
    <row r="52" spans="2:22">
      <c r="B52" s="46" cm="1">
        <f t="array" aca="1" ref="B52" ca="1">OFFSET(INDIRECT(ADDRESS(ROW(),COLUMN())),0,6)</f>
        <v>55</v>
      </c>
      <c r="C52" s="46">
        <v>1</v>
      </c>
      <c r="D52" s="46"/>
      <c r="E52" s="46"/>
      <c r="F52" s="46"/>
      <c r="G52" s="46">
        <v>1</v>
      </c>
      <c r="H52" s="46">
        <v>55</v>
      </c>
      <c r="I52" s="88" t="s">
        <v>1120</v>
      </c>
      <c r="J52" s="46" t="s">
        <v>1120</v>
      </c>
      <c r="K52" s="46" t="s">
        <v>1121</v>
      </c>
      <c r="L52" s="46" t="s">
        <v>1122</v>
      </c>
      <c r="M52" s="46" t="s">
        <v>1120</v>
      </c>
      <c r="N52" s="46" t="s">
        <v>1123</v>
      </c>
      <c r="O52" s="46" t="s">
        <v>1124</v>
      </c>
      <c r="P52" s="46" t="s">
        <v>1125</v>
      </c>
      <c r="Q52" s="46">
        <v>0</v>
      </c>
      <c r="R52" s="48" t="s">
        <v>132</v>
      </c>
      <c r="S52" s="49">
        <v>0</v>
      </c>
      <c r="T52" s="48" t="s">
        <v>111</v>
      </c>
      <c r="U52" s="50">
        <v>0</v>
      </c>
      <c r="V52" s="89" t="s">
        <v>246</v>
      </c>
    </row>
    <row r="53" spans="2:22">
      <c r="B53" s="46" cm="1">
        <f t="array" aca="1" ref="B53" ca="1">OFFSET(INDIRECT(ADDRESS(ROW(),COLUMN())),0,6)</f>
        <v>56</v>
      </c>
      <c r="C53" s="46">
        <v>1</v>
      </c>
      <c r="D53" s="46"/>
      <c r="E53" s="46"/>
      <c r="F53" s="46"/>
      <c r="G53" s="46">
        <v>1</v>
      </c>
      <c r="H53" s="46">
        <v>56</v>
      </c>
      <c r="I53" s="88" t="s">
        <v>252</v>
      </c>
      <c r="J53" s="46" t="s">
        <v>689</v>
      </c>
      <c r="K53" s="46" t="s">
        <v>430</v>
      </c>
      <c r="L53" s="46" t="s">
        <v>431</v>
      </c>
      <c r="M53" s="46" t="s">
        <v>400</v>
      </c>
      <c r="N53" s="46" t="s">
        <v>733</v>
      </c>
      <c r="O53" s="46" t="s">
        <v>734</v>
      </c>
      <c r="P53" s="46" t="s">
        <v>735</v>
      </c>
      <c r="Q53" s="46">
        <v>0</v>
      </c>
      <c r="R53" s="48" t="s">
        <v>132</v>
      </c>
      <c r="S53" s="49">
        <v>0</v>
      </c>
      <c r="T53" s="48" t="s">
        <v>111</v>
      </c>
      <c r="U53" s="50">
        <v>0</v>
      </c>
      <c r="V53" s="89" t="s">
        <v>246</v>
      </c>
    </row>
    <row r="54" spans="2:22">
      <c r="B54" s="46" cm="1">
        <f t="array" aca="1" ref="B54" ca="1">OFFSET(INDIRECT(ADDRESS(ROW(),COLUMN())),0,6)</f>
        <v>57</v>
      </c>
      <c r="C54" s="46">
        <v>1</v>
      </c>
      <c r="D54" s="46"/>
      <c r="E54" s="46"/>
      <c r="F54" s="46"/>
      <c r="G54" s="46">
        <v>1</v>
      </c>
      <c r="H54" s="46">
        <v>57</v>
      </c>
      <c r="I54" s="88" t="s">
        <v>1126</v>
      </c>
      <c r="J54" s="46" t="s">
        <v>1127</v>
      </c>
      <c r="K54" s="46" t="s">
        <v>1128</v>
      </c>
      <c r="L54" s="46" t="s">
        <v>1129</v>
      </c>
      <c r="M54" s="46" t="s">
        <v>1130</v>
      </c>
      <c r="N54" s="46" t="s">
        <v>1131</v>
      </c>
      <c r="O54" s="46" t="s">
        <v>1132</v>
      </c>
      <c r="P54" s="46" t="s">
        <v>1133</v>
      </c>
      <c r="Q54" s="46">
        <v>0</v>
      </c>
      <c r="R54" s="48" t="s">
        <v>132</v>
      </c>
      <c r="S54" s="49">
        <v>0</v>
      </c>
      <c r="T54" s="48" t="s">
        <v>248</v>
      </c>
      <c r="U54" s="50">
        <v>31</v>
      </c>
      <c r="V54" s="89" t="s">
        <v>246</v>
      </c>
    </row>
    <row r="55" spans="2:22">
      <c r="B55" s="46" cm="1">
        <f t="array" aca="1" ref="B55" ca="1">OFFSET(INDIRECT(ADDRESS(ROW(),COLUMN())),0,6)</f>
        <v>58</v>
      </c>
      <c r="C55" s="46">
        <v>1</v>
      </c>
      <c r="D55" s="46"/>
      <c r="E55" s="46"/>
      <c r="F55" s="46"/>
      <c r="G55" s="46">
        <v>1</v>
      </c>
      <c r="H55" s="46">
        <v>58</v>
      </c>
      <c r="I55" s="88" t="s">
        <v>1491</v>
      </c>
      <c r="J55" s="46" t="s">
        <v>1492</v>
      </c>
      <c r="K55" s="46" t="s">
        <v>1493</v>
      </c>
      <c r="L55" s="46" t="s">
        <v>1494</v>
      </c>
      <c r="M55" s="46" t="s">
        <v>1495</v>
      </c>
      <c r="N55" s="46" t="s">
        <v>1496</v>
      </c>
      <c r="O55" s="46" t="s">
        <v>1497</v>
      </c>
      <c r="P55" s="46" t="s">
        <v>1498</v>
      </c>
      <c r="Q55" s="46">
        <v>0</v>
      </c>
      <c r="R55" s="48" t="s">
        <v>132</v>
      </c>
      <c r="S55" s="49">
        <v>0</v>
      </c>
      <c r="T55" s="48" t="s">
        <v>111</v>
      </c>
      <c r="U55" s="50">
        <v>0</v>
      </c>
      <c r="V55" s="89" t="s">
        <v>246</v>
      </c>
    </row>
    <row r="56" spans="2:22">
      <c r="B56" s="46" cm="1">
        <f t="array" aca="1" ref="B56" ca="1">OFFSET(INDIRECT(ADDRESS(ROW(),COLUMN())),0,6)</f>
        <v>59</v>
      </c>
      <c r="C56" s="46">
        <v>1</v>
      </c>
      <c r="D56" s="46"/>
      <c r="E56" s="46"/>
      <c r="F56" s="46"/>
      <c r="G56" s="46">
        <v>1</v>
      </c>
      <c r="H56" s="46">
        <v>59</v>
      </c>
      <c r="I56" s="88" t="s">
        <v>1499</v>
      </c>
      <c r="J56" s="46" t="s">
        <v>1500</v>
      </c>
      <c r="K56" s="46" t="s">
        <v>1501</v>
      </c>
      <c r="L56" s="46" t="s">
        <v>1502</v>
      </c>
      <c r="M56" s="46" t="s">
        <v>1503</v>
      </c>
      <c r="N56" s="46" t="s">
        <v>1504</v>
      </c>
      <c r="O56" s="46" t="s">
        <v>1505</v>
      </c>
      <c r="P56" s="46" t="s">
        <v>1506</v>
      </c>
      <c r="Q56" s="46">
        <v>0</v>
      </c>
      <c r="R56" s="48" t="s">
        <v>132</v>
      </c>
      <c r="S56" s="49">
        <v>0</v>
      </c>
      <c r="T56" s="48" t="s">
        <v>248</v>
      </c>
      <c r="U56" s="50">
        <v>31</v>
      </c>
      <c r="V56" s="89" t="s">
        <v>253</v>
      </c>
    </row>
    <row r="57" spans="2:22">
      <c r="B57" s="46" cm="1">
        <f t="array" aca="1" ref="B57" ca="1">OFFSET(INDIRECT(ADDRESS(ROW(),COLUMN())),0,6)</f>
        <v>60</v>
      </c>
      <c r="C57" s="46">
        <v>1</v>
      </c>
      <c r="D57" s="46"/>
      <c r="E57" s="46"/>
      <c r="F57" s="46"/>
      <c r="G57" s="46">
        <v>1</v>
      </c>
      <c r="H57" s="46">
        <v>60</v>
      </c>
      <c r="I57" s="88" t="s">
        <v>254</v>
      </c>
      <c r="J57" s="46" t="s">
        <v>434</v>
      </c>
      <c r="K57" s="46" t="s">
        <v>432</v>
      </c>
      <c r="L57" s="46" t="s">
        <v>433</v>
      </c>
      <c r="M57" s="46" t="s">
        <v>986</v>
      </c>
      <c r="N57" s="46" t="s">
        <v>760</v>
      </c>
      <c r="O57" s="46" t="s">
        <v>761</v>
      </c>
      <c r="P57" s="46" t="s">
        <v>762</v>
      </c>
      <c r="Q57" s="46">
        <v>0</v>
      </c>
      <c r="R57" s="48" t="s">
        <v>132</v>
      </c>
      <c r="S57" s="49">
        <v>0</v>
      </c>
      <c r="T57" s="48" t="s">
        <v>248</v>
      </c>
      <c r="U57" s="50">
        <v>31</v>
      </c>
      <c r="V57" s="89" t="s">
        <v>246</v>
      </c>
    </row>
    <row r="58" spans="2:22">
      <c r="B58" s="46" cm="1">
        <f t="array" aca="1" ref="B58" ca="1">OFFSET(INDIRECT(ADDRESS(ROW(),COLUMN())),0,6)</f>
        <v>61</v>
      </c>
      <c r="C58" s="46">
        <v>1</v>
      </c>
      <c r="D58" s="46"/>
      <c r="E58" s="46"/>
      <c r="F58" s="46"/>
      <c r="G58" s="46">
        <v>1</v>
      </c>
      <c r="H58" s="46">
        <v>61</v>
      </c>
      <c r="I58" s="88" t="s">
        <v>1507</v>
      </c>
      <c r="J58" s="46" t="s">
        <v>1508</v>
      </c>
      <c r="K58" s="46" t="s">
        <v>1509</v>
      </c>
      <c r="L58" s="46" t="s">
        <v>1510</v>
      </c>
      <c r="M58" s="46" t="s">
        <v>1511</v>
      </c>
      <c r="N58" s="46" t="s">
        <v>1512</v>
      </c>
      <c r="O58" s="46" t="s">
        <v>1513</v>
      </c>
      <c r="P58" s="46" t="s">
        <v>1514</v>
      </c>
      <c r="Q58" s="46">
        <v>0</v>
      </c>
      <c r="R58" s="48" t="s">
        <v>132</v>
      </c>
      <c r="S58" s="49">
        <v>0</v>
      </c>
      <c r="T58" s="48" t="s">
        <v>255</v>
      </c>
      <c r="U58" s="50">
        <v>21</v>
      </c>
      <c r="V58" s="89" t="s">
        <v>246</v>
      </c>
    </row>
    <row r="59" spans="2:22">
      <c r="B59" s="46" cm="1">
        <f t="array" aca="1" ref="B59" ca="1">OFFSET(INDIRECT(ADDRESS(ROW(),COLUMN())),0,6)</f>
        <v>62</v>
      </c>
      <c r="C59" s="46">
        <v>1</v>
      </c>
      <c r="D59" s="46"/>
      <c r="E59" s="46"/>
      <c r="F59" s="46"/>
      <c r="G59" s="46">
        <v>1</v>
      </c>
      <c r="H59" s="46">
        <v>62</v>
      </c>
      <c r="I59" s="88" t="s">
        <v>1515</v>
      </c>
      <c r="J59" s="46" t="s">
        <v>1516</v>
      </c>
      <c r="K59" s="46" t="s">
        <v>1517</v>
      </c>
      <c r="L59" s="46" t="s">
        <v>1518</v>
      </c>
      <c r="M59" s="46" t="s">
        <v>1519</v>
      </c>
      <c r="N59" s="46" t="s">
        <v>1520</v>
      </c>
      <c r="O59" s="46" t="s">
        <v>1521</v>
      </c>
      <c r="P59" s="46" t="s">
        <v>1522</v>
      </c>
      <c r="Q59" s="46">
        <v>0</v>
      </c>
      <c r="R59" s="48" t="s">
        <v>132</v>
      </c>
      <c r="S59" s="49">
        <v>0</v>
      </c>
      <c r="T59" s="48" t="s">
        <v>255</v>
      </c>
      <c r="U59" s="50">
        <v>21</v>
      </c>
      <c r="V59" s="89" t="s">
        <v>246</v>
      </c>
    </row>
    <row r="60" spans="2:22">
      <c r="B60" s="46" cm="1">
        <f t="array" aca="1" ref="B60" ca="1">OFFSET(INDIRECT(ADDRESS(ROW(),COLUMN())),0,6)</f>
        <v>63</v>
      </c>
      <c r="C60" s="46">
        <v>1</v>
      </c>
      <c r="D60" s="46"/>
      <c r="E60" s="46"/>
      <c r="F60" s="46"/>
      <c r="G60" s="46">
        <v>1</v>
      </c>
      <c r="H60" s="46">
        <v>63</v>
      </c>
      <c r="I60" s="88" t="s">
        <v>256</v>
      </c>
      <c r="J60" s="46" t="s">
        <v>437</v>
      </c>
      <c r="K60" s="46" t="s">
        <v>435</v>
      </c>
      <c r="L60" s="46" t="s">
        <v>436</v>
      </c>
      <c r="M60" s="46" t="s">
        <v>987</v>
      </c>
      <c r="N60" s="46" t="s">
        <v>763</v>
      </c>
      <c r="O60" s="46" t="s">
        <v>764</v>
      </c>
      <c r="P60" s="46" t="s">
        <v>765</v>
      </c>
      <c r="Q60" s="46">
        <v>0</v>
      </c>
      <c r="R60" s="48" t="s">
        <v>132</v>
      </c>
      <c r="S60" s="49">
        <v>0</v>
      </c>
      <c r="T60" s="48" t="s">
        <v>255</v>
      </c>
      <c r="U60" s="50">
        <v>21</v>
      </c>
      <c r="V60" s="89" t="s">
        <v>246</v>
      </c>
    </row>
    <row r="61" spans="2:22">
      <c r="B61" s="46" cm="1">
        <f t="array" aca="1" ref="B61" ca="1">OFFSET(INDIRECT(ADDRESS(ROW(),COLUMN())),0,6)</f>
        <v>64</v>
      </c>
      <c r="C61" s="46">
        <v>1</v>
      </c>
      <c r="D61" s="46"/>
      <c r="E61" s="46"/>
      <c r="F61" s="46"/>
      <c r="G61" s="46">
        <v>1</v>
      </c>
      <c r="H61" s="46">
        <v>64</v>
      </c>
      <c r="I61" s="88" t="s">
        <v>257</v>
      </c>
      <c r="J61" s="46" t="s">
        <v>441</v>
      </c>
      <c r="K61" s="46" t="s">
        <v>438</v>
      </c>
      <c r="L61" s="46" t="s">
        <v>439</v>
      </c>
      <c r="M61" s="46" t="s">
        <v>440</v>
      </c>
      <c r="N61" s="46" t="s">
        <v>766</v>
      </c>
      <c r="O61" s="46" t="s">
        <v>767</v>
      </c>
      <c r="P61" s="46" t="s">
        <v>768</v>
      </c>
      <c r="Q61" s="46">
        <v>0</v>
      </c>
      <c r="R61" s="48" t="s">
        <v>132</v>
      </c>
      <c r="S61" s="49">
        <v>0</v>
      </c>
      <c r="T61" s="48" t="s">
        <v>111</v>
      </c>
      <c r="U61" s="50">
        <v>0</v>
      </c>
      <c r="V61" s="89" t="s">
        <v>258</v>
      </c>
    </row>
    <row r="62" spans="2:22">
      <c r="B62" s="46" cm="1">
        <f t="array" aca="1" ref="B62" ca="1">OFFSET(INDIRECT(ADDRESS(ROW(),COLUMN())),0,6)</f>
        <v>65</v>
      </c>
      <c r="C62" s="46">
        <v>1</v>
      </c>
      <c r="D62" s="46"/>
      <c r="E62" s="46"/>
      <c r="F62" s="46"/>
      <c r="G62" s="46">
        <v>1</v>
      </c>
      <c r="H62" s="46">
        <v>65</v>
      </c>
      <c r="I62" s="88" t="s">
        <v>259</v>
      </c>
      <c r="J62" s="46" t="s">
        <v>445</v>
      </c>
      <c r="K62" s="46" t="s">
        <v>442</v>
      </c>
      <c r="L62" s="46" t="s">
        <v>443</v>
      </c>
      <c r="M62" s="46" t="s">
        <v>444</v>
      </c>
      <c r="N62" s="46" t="s">
        <v>769</v>
      </c>
      <c r="O62" s="46" t="s">
        <v>770</v>
      </c>
      <c r="P62" s="46" t="s">
        <v>771</v>
      </c>
      <c r="Q62" s="46">
        <v>0</v>
      </c>
      <c r="R62" s="48" t="s">
        <v>132</v>
      </c>
      <c r="S62" s="49">
        <v>0</v>
      </c>
      <c r="T62" s="48" t="s">
        <v>111</v>
      </c>
      <c r="U62" s="50">
        <v>0</v>
      </c>
      <c r="V62" s="89" t="s">
        <v>258</v>
      </c>
    </row>
    <row r="63" spans="2:22">
      <c r="B63" s="46" cm="1">
        <f t="array" aca="1" ref="B63" ca="1">OFFSET(INDIRECT(ADDRESS(ROW(),COLUMN())),0,6)</f>
        <v>66</v>
      </c>
      <c r="C63" s="46">
        <v>1</v>
      </c>
      <c r="D63" s="46"/>
      <c r="E63" s="46"/>
      <c r="F63" s="46"/>
      <c r="G63" s="46">
        <v>1</v>
      </c>
      <c r="H63" s="46">
        <v>66</v>
      </c>
      <c r="I63" s="88" t="s">
        <v>260</v>
      </c>
      <c r="J63" s="46" t="s">
        <v>449</v>
      </c>
      <c r="K63" s="46" t="s">
        <v>446</v>
      </c>
      <c r="L63" s="46" t="s">
        <v>447</v>
      </c>
      <c r="M63" s="46" t="s">
        <v>448</v>
      </c>
      <c r="N63" s="46" t="s">
        <v>772</v>
      </c>
      <c r="O63" s="46" t="s">
        <v>773</v>
      </c>
      <c r="P63" s="46" t="s">
        <v>774</v>
      </c>
      <c r="Q63" s="46">
        <v>0</v>
      </c>
      <c r="R63" s="48" t="s">
        <v>132</v>
      </c>
      <c r="S63" s="49">
        <v>0</v>
      </c>
      <c r="T63" s="48" t="s">
        <v>111</v>
      </c>
      <c r="U63" s="50">
        <v>0</v>
      </c>
      <c r="V63" s="89" t="s">
        <v>258</v>
      </c>
    </row>
    <row r="64" spans="2:22">
      <c r="B64" s="46" cm="1">
        <f t="array" aca="1" ref="B64" ca="1">OFFSET(INDIRECT(ADDRESS(ROW(),COLUMN())),0,6)</f>
        <v>67</v>
      </c>
      <c r="C64" s="46">
        <v>1</v>
      </c>
      <c r="D64" s="46"/>
      <c r="E64" s="46"/>
      <c r="F64" s="46"/>
      <c r="G64" s="46">
        <v>1</v>
      </c>
      <c r="H64" s="46">
        <v>67</v>
      </c>
      <c r="I64" s="88" t="s">
        <v>94</v>
      </c>
      <c r="J64" s="46" t="s">
        <v>453</v>
      </c>
      <c r="K64" s="46" t="s">
        <v>450</v>
      </c>
      <c r="L64" s="46" t="s">
        <v>451</v>
      </c>
      <c r="M64" s="46" t="s">
        <v>452</v>
      </c>
      <c r="N64" s="46" t="s">
        <v>775</v>
      </c>
      <c r="O64" s="46" t="s">
        <v>453</v>
      </c>
      <c r="P64" s="46" t="s">
        <v>776</v>
      </c>
      <c r="Q64" s="46">
        <v>0</v>
      </c>
      <c r="R64" s="48" t="s">
        <v>132</v>
      </c>
      <c r="S64" s="49">
        <f>VLOOKUP(R64,_표_ChattingMessageType[[ChattingMessageType_Item]:[ChattingMessageType_Enum]],2,FALSE)</f>
        <v>0</v>
      </c>
      <c r="T64" s="48" t="s">
        <v>111</v>
      </c>
      <c r="U64" s="50">
        <f>VLOOKUP(T64,_표_MessageType[[MessageType_Item]:[MessageType_Enum]],3,FALSE)</f>
        <v>0</v>
      </c>
      <c r="V64" s="89"/>
    </row>
    <row r="65" spans="2:22">
      <c r="B65" s="46" cm="1">
        <f t="array" aca="1" ref="B65" ca="1">OFFSET(INDIRECT(ADDRESS(ROW(),COLUMN())),0,6)</f>
        <v>68</v>
      </c>
      <c r="C65" s="46">
        <v>1</v>
      </c>
      <c r="D65" s="46"/>
      <c r="E65" s="46"/>
      <c r="F65" s="46"/>
      <c r="G65" s="46">
        <v>1</v>
      </c>
      <c r="H65" s="46">
        <v>68</v>
      </c>
      <c r="I65" s="88" t="s">
        <v>337</v>
      </c>
      <c r="J65" s="46" t="s">
        <v>1523</v>
      </c>
      <c r="K65" s="46" t="s">
        <v>1524</v>
      </c>
      <c r="L65" s="46" t="s">
        <v>1525</v>
      </c>
      <c r="M65" s="46" t="s">
        <v>1524</v>
      </c>
      <c r="N65" s="46" t="s">
        <v>1526</v>
      </c>
      <c r="O65" s="46" t="s">
        <v>1527</v>
      </c>
      <c r="P65" s="46" t="s">
        <v>1528</v>
      </c>
      <c r="Q65" s="46">
        <v>0</v>
      </c>
      <c r="R65" s="48" t="s">
        <v>132</v>
      </c>
      <c r="S65" s="49">
        <v>0</v>
      </c>
      <c r="T65" s="48" t="s">
        <v>111</v>
      </c>
      <c r="U65" s="50">
        <v>0</v>
      </c>
      <c r="V65" s="89"/>
    </row>
    <row r="66" spans="2:22">
      <c r="B66" s="46" cm="1">
        <f t="array" aca="1" ref="B66" ca="1">OFFSET(INDIRECT(ADDRESS(ROW(),COLUMN())),0,6)</f>
        <v>69</v>
      </c>
      <c r="C66" s="46">
        <v>1</v>
      </c>
      <c r="D66" s="46"/>
      <c r="E66" s="46"/>
      <c r="F66" s="46"/>
      <c r="G66" s="46">
        <v>1</v>
      </c>
      <c r="H66" s="46">
        <v>69</v>
      </c>
      <c r="I66" s="88" t="s">
        <v>309</v>
      </c>
      <c r="J66" s="46" t="s">
        <v>1134</v>
      </c>
      <c r="K66" s="46" t="s">
        <v>1529</v>
      </c>
      <c r="L66" s="46" t="s">
        <v>1135</v>
      </c>
      <c r="M66" s="46" t="s">
        <v>1136</v>
      </c>
      <c r="N66" s="46" t="s">
        <v>1137</v>
      </c>
      <c r="O66" s="46" t="s">
        <v>1138</v>
      </c>
      <c r="P66" s="46" t="s">
        <v>1139</v>
      </c>
      <c r="Q66" s="46">
        <v>0</v>
      </c>
      <c r="R66" s="48" t="s">
        <v>132</v>
      </c>
      <c r="S66" s="49">
        <v>0</v>
      </c>
      <c r="T66" s="48" t="s">
        <v>111</v>
      </c>
      <c r="U66" s="50">
        <v>0</v>
      </c>
      <c r="V66" s="89" t="s">
        <v>261</v>
      </c>
    </row>
    <row r="67" spans="2:22">
      <c r="B67" s="46" cm="1">
        <f t="array" aca="1" ref="B67" ca="1">OFFSET(INDIRECT(ADDRESS(ROW(),COLUMN())),0,6)</f>
        <v>70</v>
      </c>
      <c r="C67" s="46">
        <v>1</v>
      </c>
      <c r="D67" s="46"/>
      <c r="E67" s="46"/>
      <c r="F67" s="46"/>
      <c r="G67" s="46">
        <v>1</v>
      </c>
      <c r="H67" s="46">
        <v>70</v>
      </c>
      <c r="I67" s="88" t="s">
        <v>201</v>
      </c>
      <c r="J67" s="46" t="s">
        <v>1140</v>
      </c>
      <c r="K67" s="46" t="s">
        <v>1656</v>
      </c>
      <c r="L67" s="112" t="s">
        <v>1657</v>
      </c>
      <c r="M67" s="46" t="s">
        <v>1658</v>
      </c>
      <c r="N67" s="113" t="s">
        <v>1659</v>
      </c>
      <c r="O67" s="46" t="s">
        <v>1141</v>
      </c>
      <c r="P67" s="46" t="s">
        <v>1142</v>
      </c>
      <c r="Q67" s="46">
        <v>0</v>
      </c>
      <c r="R67" s="48" t="s">
        <v>132</v>
      </c>
      <c r="S67" s="49">
        <f>VLOOKUP(R67,_표_ChattingMessageType[[ChattingMessageType_Item]:[ChattingMessageType_Enum]],2,FALSE)</f>
        <v>0</v>
      </c>
      <c r="T67" s="48" t="s">
        <v>111</v>
      </c>
      <c r="U67" s="50">
        <f>VLOOKUP(T67,_표_MessageType[[MessageType_Item]:[MessageType_Enum]],3,FALSE)</f>
        <v>0</v>
      </c>
      <c r="V67" s="89" t="s">
        <v>221</v>
      </c>
    </row>
    <row r="68" spans="2:22">
      <c r="B68" s="46" cm="1">
        <f t="array" aca="1" ref="B68" ca="1">OFFSET(INDIRECT(ADDRESS(ROW(),COLUMN())),0,6)</f>
        <v>71</v>
      </c>
      <c r="C68" s="46">
        <v>1</v>
      </c>
      <c r="D68" s="46"/>
      <c r="E68" s="46"/>
      <c r="F68" s="46"/>
      <c r="G68" s="46">
        <v>1</v>
      </c>
      <c r="H68" s="46">
        <v>71</v>
      </c>
      <c r="I68" s="88" t="s">
        <v>199</v>
      </c>
      <c r="J68" s="46" t="s">
        <v>1143</v>
      </c>
      <c r="K68" s="46" t="s">
        <v>1144</v>
      </c>
      <c r="L68" s="46" t="s">
        <v>1145</v>
      </c>
      <c r="M68" s="46" t="s">
        <v>1146</v>
      </c>
      <c r="N68" s="46" t="s">
        <v>1147</v>
      </c>
      <c r="O68" s="46" t="s">
        <v>1148</v>
      </c>
      <c r="P68" s="46" t="s">
        <v>1149</v>
      </c>
      <c r="Q68" s="46">
        <v>0</v>
      </c>
      <c r="R68" s="48" t="s">
        <v>132</v>
      </c>
      <c r="S68" s="49">
        <f>VLOOKUP(R68,_표_ChattingMessageType[[ChattingMessageType_Item]:[ChattingMessageType_Enum]],2,FALSE)</f>
        <v>0</v>
      </c>
      <c r="T68" s="48" t="s">
        <v>111</v>
      </c>
      <c r="U68" s="50">
        <f>VLOOKUP(T68,_표_MessageType[[MessageType_Item]:[MessageType_Enum]],3,FALSE)</f>
        <v>0</v>
      </c>
      <c r="V68" s="89" t="s">
        <v>221</v>
      </c>
    </row>
    <row r="69" spans="2:22">
      <c r="B69" s="46" cm="1">
        <f t="array" aca="1" ref="B69" ca="1">OFFSET(INDIRECT(ADDRESS(ROW(),COLUMN())),0,6)</f>
        <v>72</v>
      </c>
      <c r="C69" s="46">
        <v>1</v>
      </c>
      <c r="D69" s="46"/>
      <c r="E69" s="46"/>
      <c r="F69" s="46"/>
      <c r="G69" s="46">
        <v>1</v>
      </c>
      <c r="H69" s="46">
        <v>72</v>
      </c>
      <c r="I69" s="88" t="s">
        <v>202</v>
      </c>
      <c r="J69" s="46" t="s">
        <v>1150</v>
      </c>
      <c r="K69" s="46" t="s">
        <v>1151</v>
      </c>
      <c r="L69" s="46" t="s">
        <v>1152</v>
      </c>
      <c r="M69" s="46" t="s">
        <v>1153</v>
      </c>
      <c r="N69" s="46" t="s">
        <v>1154</v>
      </c>
      <c r="O69" s="46" t="s">
        <v>1155</v>
      </c>
      <c r="P69" s="46" t="s">
        <v>1156</v>
      </c>
      <c r="Q69" s="46">
        <v>0</v>
      </c>
      <c r="R69" s="48" t="s">
        <v>132</v>
      </c>
      <c r="S69" s="49">
        <f>VLOOKUP(R69,_표_ChattingMessageType[[ChattingMessageType_Item]:[ChattingMessageType_Enum]],2,FALSE)</f>
        <v>0</v>
      </c>
      <c r="T69" s="48" t="s">
        <v>111</v>
      </c>
      <c r="U69" s="50">
        <f>VLOOKUP(T69,_표_MessageType[[MessageType_Item]:[MessageType_Enum]],3,FALSE)</f>
        <v>0</v>
      </c>
      <c r="V69" s="89" t="s">
        <v>221</v>
      </c>
    </row>
    <row r="70" spans="2:22">
      <c r="B70" s="46" cm="1">
        <f t="array" aca="1" ref="B70" ca="1">OFFSET(INDIRECT(ADDRESS(ROW(),COLUMN())),0,6)</f>
        <v>73</v>
      </c>
      <c r="C70" s="46">
        <v>1</v>
      </c>
      <c r="D70" s="46"/>
      <c r="E70" s="46"/>
      <c r="F70" s="46"/>
      <c r="G70" s="46">
        <v>1</v>
      </c>
      <c r="H70" s="46">
        <v>73</v>
      </c>
      <c r="I70" s="88" t="s">
        <v>200</v>
      </c>
      <c r="J70" s="46" t="s">
        <v>459</v>
      </c>
      <c r="K70" s="46" t="s">
        <v>457</v>
      </c>
      <c r="L70" s="46" t="s">
        <v>458</v>
      </c>
      <c r="M70" s="46" t="s">
        <v>988</v>
      </c>
      <c r="N70" s="46" t="s">
        <v>779</v>
      </c>
      <c r="O70" s="46" t="s">
        <v>780</v>
      </c>
      <c r="P70" s="46" t="s">
        <v>781</v>
      </c>
      <c r="Q70" s="46">
        <v>0</v>
      </c>
      <c r="R70" s="48" t="s">
        <v>132</v>
      </c>
      <c r="S70" s="49">
        <f>VLOOKUP(R70,_표_ChattingMessageType[[ChattingMessageType_Item]:[ChattingMessageType_Enum]],2,FALSE)</f>
        <v>0</v>
      </c>
      <c r="T70" s="48" t="s">
        <v>111</v>
      </c>
      <c r="U70" s="50">
        <f>VLOOKUP(T70,_표_MessageType[[MessageType_Item]:[MessageType_Enum]],3,FALSE)</f>
        <v>0</v>
      </c>
      <c r="V70" s="89" t="s">
        <v>221</v>
      </c>
    </row>
    <row r="71" spans="2:22">
      <c r="B71" s="46" cm="1">
        <f t="array" aca="1" ref="B71" ca="1">OFFSET(INDIRECT(ADDRESS(ROW(),COLUMN())),0,6)</f>
        <v>74</v>
      </c>
      <c r="C71" s="46">
        <v>1</v>
      </c>
      <c r="D71" s="46"/>
      <c r="E71" s="46"/>
      <c r="F71" s="46"/>
      <c r="G71" s="46">
        <v>1</v>
      </c>
      <c r="H71" s="46">
        <v>74</v>
      </c>
      <c r="I71" s="88" t="s">
        <v>216</v>
      </c>
      <c r="J71" s="46" t="s">
        <v>1157</v>
      </c>
      <c r="K71" s="46" t="s">
        <v>1158</v>
      </c>
      <c r="L71" s="46" t="s">
        <v>1159</v>
      </c>
      <c r="M71" s="46" t="s">
        <v>1160</v>
      </c>
      <c r="N71" s="46" t="s">
        <v>1161</v>
      </c>
      <c r="O71" s="46" t="s">
        <v>1162</v>
      </c>
      <c r="P71" s="46" t="s">
        <v>1163</v>
      </c>
      <c r="Q71" s="46">
        <v>0</v>
      </c>
      <c r="R71" s="48" t="s">
        <v>132</v>
      </c>
      <c r="S71" s="49">
        <f>VLOOKUP(R71,_표_ChattingMessageType[[ChattingMessageType_Item]:[ChattingMessageType_Enum]],2,FALSE)</f>
        <v>0</v>
      </c>
      <c r="T71" s="48" t="s">
        <v>111</v>
      </c>
      <c r="U71" s="50">
        <f>VLOOKUP(T71,_표_MessageType[[MessageType_Item]:[MessageType_Enum]],3,FALSE)</f>
        <v>0</v>
      </c>
      <c r="V71" s="89" t="s">
        <v>221</v>
      </c>
    </row>
    <row r="72" spans="2:22">
      <c r="B72" s="46" cm="1">
        <f t="array" aca="1" ref="B72" ca="1">OFFSET(INDIRECT(ADDRESS(ROW(),COLUMN())),0,6)</f>
        <v>75</v>
      </c>
      <c r="C72" s="46">
        <v>1</v>
      </c>
      <c r="D72" s="46"/>
      <c r="E72" s="46"/>
      <c r="F72" s="46"/>
      <c r="G72" s="46">
        <v>1</v>
      </c>
      <c r="H72" s="46">
        <v>75</v>
      </c>
      <c r="I72" s="88" t="s">
        <v>1530</v>
      </c>
      <c r="J72" s="46" t="s">
        <v>1531</v>
      </c>
      <c r="K72" s="46" t="s">
        <v>1532</v>
      </c>
      <c r="L72" s="46" t="s">
        <v>1533</v>
      </c>
      <c r="M72" s="46" t="s">
        <v>1534</v>
      </c>
      <c r="N72" s="46" t="s">
        <v>1535</v>
      </c>
      <c r="O72" s="46" t="s">
        <v>1536</v>
      </c>
      <c r="P72" s="46" t="s">
        <v>1537</v>
      </c>
      <c r="Q72" s="46">
        <v>0</v>
      </c>
      <c r="R72" s="48" t="s">
        <v>132</v>
      </c>
      <c r="S72" s="49">
        <v>0</v>
      </c>
      <c r="T72" s="48" t="s">
        <v>111</v>
      </c>
      <c r="U72" s="50">
        <v>0</v>
      </c>
      <c r="V72" s="89" t="s">
        <v>261</v>
      </c>
    </row>
    <row r="73" spans="2:22">
      <c r="B73" s="46" cm="1">
        <f t="array" aca="1" ref="B73" ca="1">OFFSET(INDIRECT(ADDRESS(ROW(),COLUMN())),0,6)</f>
        <v>76</v>
      </c>
      <c r="C73" s="46">
        <v>1</v>
      </c>
      <c r="D73" s="46"/>
      <c r="E73" s="46"/>
      <c r="F73" s="46"/>
      <c r="G73" s="46">
        <v>1</v>
      </c>
      <c r="H73" s="46">
        <v>76</v>
      </c>
      <c r="I73" s="88" t="s">
        <v>1538</v>
      </c>
      <c r="J73" s="46" t="s">
        <v>1624</v>
      </c>
      <c r="K73" s="46" t="s">
        <v>1625</v>
      </c>
      <c r="L73" s="46" t="s">
        <v>1626</v>
      </c>
      <c r="M73" s="46" t="s">
        <v>1539</v>
      </c>
      <c r="N73" s="46" t="s">
        <v>1627</v>
      </c>
      <c r="O73" s="46" t="s">
        <v>1628</v>
      </c>
      <c r="P73" s="46" t="s">
        <v>1629</v>
      </c>
      <c r="Q73" s="46">
        <v>0</v>
      </c>
      <c r="R73" s="48" t="s">
        <v>132</v>
      </c>
      <c r="S73" s="49">
        <v>0</v>
      </c>
      <c r="T73" s="48" t="s">
        <v>111</v>
      </c>
      <c r="U73" s="50">
        <v>0</v>
      </c>
      <c r="V73" s="89" t="s">
        <v>261</v>
      </c>
    </row>
    <row r="74" spans="2:22">
      <c r="B74" s="46" cm="1">
        <f t="array" aca="1" ref="B74" ca="1">OFFSET(INDIRECT(ADDRESS(ROW(),COLUMN())),0,6)</f>
        <v>77</v>
      </c>
      <c r="C74" s="46">
        <v>1</v>
      </c>
      <c r="D74" s="46"/>
      <c r="E74" s="46"/>
      <c r="F74" s="46"/>
      <c r="G74" s="46">
        <v>1</v>
      </c>
      <c r="H74" s="46">
        <v>77</v>
      </c>
      <c r="I74" s="88" t="s">
        <v>262</v>
      </c>
      <c r="J74" s="46" t="s">
        <v>462</v>
      </c>
      <c r="K74" s="46" t="s">
        <v>460</v>
      </c>
      <c r="L74" s="46" t="s">
        <v>460</v>
      </c>
      <c r="M74" s="46" t="s">
        <v>461</v>
      </c>
      <c r="N74" s="46" t="s">
        <v>782</v>
      </c>
      <c r="O74" s="46" t="s">
        <v>783</v>
      </c>
      <c r="P74" s="46" t="s">
        <v>784</v>
      </c>
      <c r="Q74" s="46">
        <v>0</v>
      </c>
      <c r="R74" s="48" t="s">
        <v>132</v>
      </c>
      <c r="S74" s="49">
        <v>0</v>
      </c>
      <c r="T74" s="48" t="s">
        <v>111</v>
      </c>
      <c r="U74" s="50">
        <v>0</v>
      </c>
      <c r="V74" s="89" t="s">
        <v>261</v>
      </c>
    </row>
    <row r="75" spans="2:22">
      <c r="B75" s="46" cm="1">
        <f t="array" aca="1" ref="B75" ca="1">OFFSET(INDIRECT(ADDRESS(ROW(),COLUMN())),0,6)</f>
        <v>78</v>
      </c>
      <c r="C75" s="46">
        <v>1</v>
      </c>
      <c r="D75" s="46"/>
      <c r="E75" s="46"/>
      <c r="F75" s="46"/>
      <c r="G75" s="46">
        <v>1</v>
      </c>
      <c r="H75" s="46">
        <v>78</v>
      </c>
      <c r="I75" s="88" t="s">
        <v>263</v>
      </c>
      <c r="J75" s="46" t="s">
        <v>466</v>
      </c>
      <c r="K75" s="46" t="s">
        <v>463</v>
      </c>
      <c r="L75" s="46" t="s">
        <v>464</v>
      </c>
      <c r="M75" s="46" t="s">
        <v>465</v>
      </c>
      <c r="N75" s="46" t="s">
        <v>785</v>
      </c>
      <c r="O75" s="46" t="s">
        <v>786</v>
      </c>
      <c r="P75" s="46" t="s">
        <v>787</v>
      </c>
      <c r="Q75" s="46">
        <v>0</v>
      </c>
      <c r="R75" s="48" t="s">
        <v>132</v>
      </c>
      <c r="S75" s="49">
        <v>0</v>
      </c>
      <c r="T75" s="48" t="s">
        <v>111</v>
      </c>
      <c r="U75" s="50">
        <v>0</v>
      </c>
      <c r="V75" s="89" t="s">
        <v>261</v>
      </c>
    </row>
    <row r="76" spans="2:22">
      <c r="B76" s="46" cm="1">
        <f t="array" aca="1" ref="B76" ca="1">OFFSET(INDIRECT(ADDRESS(ROW(),COLUMN())),0,6)</f>
        <v>79</v>
      </c>
      <c r="C76" s="46">
        <v>1</v>
      </c>
      <c r="D76" s="46"/>
      <c r="E76" s="46"/>
      <c r="F76" s="46"/>
      <c r="G76" s="46">
        <v>1</v>
      </c>
      <c r="H76" s="46">
        <v>79</v>
      </c>
      <c r="I76" s="88" t="s">
        <v>1540</v>
      </c>
      <c r="J76" s="46" t="s">
        <v>1541</v>
      </c>
      <c r="K76" s="46" t="s">
        <v>1542</v>
      </c>
      <c r="L76" s="46" t="s">
        <v>1543</v>
      </c>
      <c r="M76" s="46" t="s">
        <v>1544</v>
      </c>
      <c r="N76" s="46" t="s">
        <v>1545</v>
      </c>
      <c r="O76" s="46" t="s">
        <v>1546</v>
      </c>
      <c r="P76" s="46" t="s">
        <v>1660</v>
      </c>
      <c r="Q76" s="46">
        <v>0</v>
      </c>
      <c r="R76" s="48" t="s">
        <v>132</v>
      </c>
      <c r="S76" s="49">
        <v>0</v>
      </c>
      <c r="T76" s="48" t="s">
        <v>111</v>
      </c>
      <c r="U76" s="50">
        <v>0</v>
      </c>
      <c r="V76" s="89" t="s">
        <v>261</v>
      </c>
    </row>
    <row r="77" spans="2:22">
      <c r="B77" s="46" cm="1">
        <f t="array" aca="1" ref="B77" ca="1">OFFSET(INDIRECT(ADDRESS(ROW(),COLUMN())),0,6)</f>
        <v>80</v>
      </c>
      <c r="C77" s="46">
        <v>1</v>
      </c>
      <c r="D77" s="46"/>
      <c r="E77" s="46"/>
      <c r="F77" s="46"/>
      <c r="G77" s="46">
        <v>1</v>
      </c>
      <c r="H77" s="46">
        <v>80</v>
      </c>
      <c r="I77" s="88" t="s">
        <v>1164</v>
      </c>
      <c r="J77" s="46" t="s">
        <v>1165</v>
      </c>
      <c r="K77" s="46" t="s">
        <v>1166</v>
      </c>
      <c r="L77" s="46" t="s">
        <v>1167</v>
      </c>
      <c r="M77" s="46" t="s">
        <v>1168</v>
      </c>
      <c r="N77" s="46" t="s">
        <v>1169</v>
      </c>
      <c r="O77" s="46" t="s">
        <v>1170</v>
      </c>
      <c r="P77" s="46" t="s">
        <v>1171</v>
      </c>
      <c r="Q77" s="46">
        <v>0</v>
      </c>
      <c r="R77" s="48" t="s">
        <v>132</v>
      </c>
      <c r="S77" s="49">
        <v>0</v>
      </c>
      <c r="T77" s="48" t="s">
        <v>111</v>
      </c>
      <c r="U77" s="50">
        <v>0</v>
      </c>
      <c r="V77" s="89" t="s">
        <v>261</v>
      </c>
    </row>
    <row r="78" spans="2:22">
      <c r="B78" s="46" cm="1">
        <f t="array" aca="1" ref="B78" ca="1">OFFSET(INDIRECT(ADDRESS(ROW(),COLUMN())),0,6)</f>
        <v>81</v>
      </c>
      <c r="C78" s="46">
        <v>1</v>
      </c>
      <c r="D78" s="46"/>
      <c r="E78" s="46"/>
      <c r="F78" s="46"/>
      <c r="G78" s="46">
        <v>1</v>
      </c>
      <c r="H78" s="46">
        <v>81</v>
      </c>
      <c r="I78" s="88" t="s">
        <v>1172</v>
      </c>
      <c r="J78" s="46" t="s">
        <v>1173</v>
      </c>
      <c r="K78" s="46" t="s">
        <v>1174</v>
      </c>
      <c r="L78" s="46" t="s">
        <v>1175</v>
      </c>
      <c r="M78" s="46" t="s">
        <v>1176</v>
      </c>
      <c r="N78" s="46" t="s">
        <v>1177</v>
      </c>
      <c r="O78" s="46" t="s">
        <v>1178</v>
      </c>
      <c r="P78" s="46" t="s">
        <v>1179</v>
      </c>
      <c r="Q78" s="46">
        <v>0</v>
      </c>
      <c r="R78" s="48" t="s">
        <v>132</v>
      </c>
      <c r="S78" s="49">
        <v>0</v>
      </c>
      <c r="T78" s="48" t="s">
        <v>111</v>
      </c>
      <c r="U78" s="50">
        <v>0</v>
      </c>
      <c r="V78" s="89" t="s">
        <v>261</v>
      </c>
    </row>
    <row r="79" spans="2:22">
      <c r="B79" s="46" cm="1">
        <f t="array" aca="1" ref="B79" ca="1">OFFSET(INDIRECT(ADDRESS(ROW(),COLUMN())),0,6)</f>
        <v>82</v>
      </c>
      <c r="C79" s="46">
        <v>1</v>
      </c>
      <c r="D79" s="46"/>
      <c r="E79" s="46"/>
      <c r="F79" s="46"/>
      <c r="G79" s="46">
        <v>1</v>
      </c>
      <c r="H79" s="46">
        <v>82</v>
      </c>
      <c r="I79" s="88" t="s">
        <v>264</v>
      </c>
      <c r="J79" s="46" t="s">
        <v>469</v>
      </c>
      <c r="K79" s="46" t="s">
        <v>681</v>
      </c>
      <c r="L79" s="46" t="s">
        <v>467</v>
      </c>
      <c r="M79" s="46" t="s">
        <v>468</v>
      </c>
      <c r="N79" s="46" t="s">
        <v>788</v>
      </c>
      <c r="O79" s="46" t="s">
        <v>789</v>
      </c>
      <c r="P79" s="46" t="s">
        <v>790</v>
      </c>
      <c r="Q79" s="46">
        <v>0</v>
      </c>
      <c r="R79" s="48" t="s">
        <v>132</v>
      </c>
      <c r="S79" s="49">
        <v>0</v>
      </c>
      <c r="T79" s="48" t="s">
        <v>111</v>
      </c>
      <c r="U79" s="50">
        <v>0</v>
      </c>
      <c r="V79" s="89" t="s">
        <v>261</v>
      </c>
    </row>
    <row r="80" spans="2:22">
      <c r="B80" s="46" cm="1">
        <f t="array" aca="1" ref="B80" ca="1">OFFSET(INDIRECT(ADDRESS(ROW(),COLUMN())),0,6)</f>
        <v>83</v>
      </c>
      <c r="C80" s="46">
        <v>1</v>
      </c>
      <c r="D80" s="46"/>
      <c r="E80" s="46"/>
      <c r="F80" s="46"/>
      <c r="G80" s="46">
        <v>1</v>
      </c>
      <c r="H80" s="46">
        <v>83</v>
      </c>
      <c r="I80" s="88" t="s">
        <v>1180</v>
      </c>
      <c r="J80" s="46" t="s">
        <v>1181</v>
      </c>
      <c r="K80" s="46" t="s">
        <v>1182</v>
      </c>
      <c r="L80" s="46" t="s">
        <v>1183</v>
      </c>
      <c r="M80" s="46" t="s">
        <v>1184</v>
      </c>
      <c r="N80" s="46" t="s">
        <v>1185</v>
      </c>
      <c r="O80" s="46" t="s">
        <v>1186</v>
      </c>
      <c r="P80" s="46" t="s">
        <v>1187</v>
      </c>
      <c r="Q80" s="46">
        <v>0</v>
      </c>
      <c r="R80" s="48" t="s">
        <v>132</v>
      </c>
      <c r="S80" s="49">
        <v>0</v>
      </c>
      <c r="T80" s="48" t="s">
        <v>111</v>
      </c>
      <c r="U80" s="50">
        <v>0</v>
      </c>
      <c r="V80" s="89" t="s">
        <v>261</v>
      </c>
    </row>
    <row r="81" spans="2:22">
      <c r="B81" s="46" cm="1">
        <f t="array" aca="1" ref="B81" ca="1">OFFSET(INDIRECT(ADDRESS(ROW(),COLUMN())),0,6)</f>
        <v>84</v>
      </c>
      <c r="C81" s="46">
        <v>1</v>
      </c>
      <c r="D81" s="46"/>
      <c r="E81" s="46"/>
      <c r="F81" s="46"/>
      <c r="G81" s="46">
        <v>1</v>
      </c>
      <c r="H81" s="46">
        <v>84</v>
      </c>
      <c r="I81" s="88" t="s">
        <v>265</v>
      </c>
      <c r="J81" s="46" t="s">
        <v>472</v>
      </c>
      <c r="K81" s="46" t="s">
        <v>470</v>
      </c>
      <c r="L81" s="46" t="s">
        <v>470</v>
      </c>
      <c r="M81" s="46" t="s">
        <v>471</v>
      </c>
      <c r="N81" s="46" t="s">
        <v>791</v>
      </c>
      <c r="O81" s="46" t="s">
        <v>792</v>
      </c>
      <c r="P81" s="46" t="s">
        <v>793</v>
      </c>
      <c r="Q81" s="46">
        <v>0</v>
      </c>
      <c r="R81" s="48" t="s">
        <v>132</v>
      </c>
      <c r="S81" s="49">
        <v>0</v>
      </c>
      <c r="T81" s="48" t="s">
        <v>111</v>
      </c>
      <c r="U81" s="50">
        <v>0</v>
      </c>
      <c r="V81" s="89" t="s">
        <v>261</v>
      </c>
    </row>
    <row r="82" spans="2:22">
      <c r="B82" s="46" cm="1">
        <f t="array" aca="1" ref="B82" ca="1">OFFSET(INDIRECT(ADDRESS(ROW(),COLUMN())),0,6)</f>
        <v>85</v>
      </c>
      <c r="C82" s="46">
        <v>1</v>
      </c>
      <c r="D82" s="46"/>
      <c r="E82" s="46"/>
      <c r="F82" s="46"/>
      <c r="G82" s="46">
        <v>1</v>
      </c>
      <c r="H82" s="46">
        <v>85</v>
      </c>
      <c r="I82" s="88" t="s">
        <v>266</v>
      </c>
      <c r="J82" s="46" t="s">
        <v>475</v>
      </c>
      <c r="K82" s="46" t="s">
        <v>473</v>
      </c>
      <c r="L82" s="46" t="s">
        <v>473</v>
      </c>
      <c r="M82" s="46" t="s">
        <v>474</v>
      </c>
      <c r="N82" s="46" t="s">
        <v>794</v>
      </c>
      <c r="O82" s="46" t="s">
        <v>795</v>
      </c>
      <c r="P82" s="46" t="s">
        <v>796</v>
      </c>
      <c r="Q82" s="46">
        <v>0</v>
      </c>
      <c r="R82" s="48" t="s">
        <v>132</v>
      </c>
      <c r="S82" s="49">
        <v>0</v>
      </c>
      <c r="T82" s="48" t="s">
        <v>111</v>
      </c>
      <c r="U82" s="50">
        <v>0</v>
      </c>
      <c r="V82" s="89" t="s">
        <v>261</v>
      </c>
    </row>
    <row r="83" spans="2:22">
      <c r="B83" s="46" cm="1">
        <f t="array" aca="1" ref="B83" ca="1">OFFSET(INDIRECT(ADDRESS(ROW(),COLUMN())),0,6)</f>
        <v>86</v>
      </c>
      <c r="C83" s="46">
        <v>1</v>
      </c>
      <c r="D83" s="46"/>
      <c r="E83" s="46"/>
      <c r="F83" s="46"/>
      <c r="G83" s="46">
        <v>1</v>
      </c>
      <c r="H83" s="46">
        <v>86</v>
      </c>
      <c r="I83" s="88" t="s">
        <v>267</v>
      </c>
      <c r="J83" s="46" t="s">
        <v>478</v>
      </c>
      <c r="K83" s="46" t="s">
        <v>476</v>
      </c>
      <c r="L83" s="46" t="s">
        <v>476</v>
      </c>
      <c r="M83" s="46" t="s">
        <v>477</v>
      </c>
      <c r="N83" s="46" t="s">
        <v>797</v>
      </c>
      <c r="O83" s="46" t="s">
        <v>478</v>
      </c>
      <c r="P83" s="46" t="s">
        <v>798</v>
      </c>
      <c r="Q83" s="46">
        <v>0</v>
      </c>
      <c r="R83" s="48" t="s">
        <v>132</v>
      </c>
      <c r="S83" s="49">
        <v>0</v>
      </c>
      <c r="T83" s="48" t="s">
        <v>111</v>
      </c>
      <c r="U83" s="50">
        <v>0</v>
      </c>
      <c r="V83" s="89" t="s">
        <v>261</v>
      </c>
    </row>
    <row r="84" spans="2:22">
      <c r="B84" s="46" cm="1">
        <f t="array" aca="1" ref="B84" ca="1">OFFSET(INDIRECT(ADDRESS(ROW(),COLUMN())),0,6)</f>
        <v>87</v>
      </c>
      <c r="C84" s="46">
        <v>1</v>
      </c>
      <c r="D84" s="46"/>
      <c r="E84" s="46"/>
      <c r="F84" s="46"/>
      <c r="G84" s="46">
        <v>1</v>
      </c>
      <c r="H84" s="46">
        <v>87</v>
      </c>
      <c r="I84" s="88" t="s">
        <v>1188</v>
      </c>
      <c r="J84" s="46" t="s">
        <v>1189</v>
      </c>
      <c r="K84" s="46" t="s">
        <v>1190</v>
      </c>
      <c r="L84" s="46" t="s">
        <v>1191</v>
      </c>
      <c r="M84" s="46" t="s">
        <v>1192</v>
      </c>
      <c r="N84" s="46" t="s">
        <v>1193</v>
      </c>
      <c r="O84" s="46" t="s">
        <v>1194</v>
      </c>
      <c r="P84" s="46" t="s">
        <v>1195</v>
      </c>
      <c r="Q84" s="46">
        <v>0</v>
      </c>
      <c r="R84" s="48" t="s">
        <v>132</v>
      </c>
      <c r="S84" s="49">
        <v>0</v>
      </c>
      <c r="T84" s="48" t="s">
        <v>255</v>
      </c>
      <c r="U84" s="50">
        <v>21</v>
      </c>
      <c r="V84" s="89" t="s">
        <v>261</v>
      </c>
    </row>
    <row r="85" spans="2:22">
      <c r="B85" s="46" cm="1">
        <f t="array" aca="1" ref="B85" ca="1">OFFSET(INDIRECT(ADDRESS(ROW(),COLUMN())),0,6)</f>
        <v>88</v>
      </c>
      <c r="C85" s="46">
        <v>1</v>
      </c>
      <c r="D85" s="46"/>
      <c r="E85" s="46"/>
      <c r="F85" s="46"/>
      <c r="G85" s="46">
        <v>1</v>
      </c>
      <c r="H85" s="46">
        <v>88</v>
      </c>
      <c r="I85" s="88" t="s">
        <v>268</v>
      </c>
      <c r="J85" s="46" t="s">
        <v>482</v>
      </c>
      <c r="K85" s="46" t="s">
        <v>479</v>
      </c>
      <c r="L85" s="46" t="s">
        <v>480</v>
      </c>
      <c r="M85" s="46" t="s">
        <v>481</v>
      </c>
      <c r="N85" s="46" t="s">
        <v>799</v>
      </c>
      <c r="O85" s="46" t="s">
        <v>800</v>
      </c>
      <c r="P85" s="46" t="s">
        <v>801</v>
      </c>
      <c r="Q85" s="46">
        <v>0</v>
      </c>
      <c r="R85" s="48" t="s">
        <v>132</v>
      </c>
      <c r="S85" s="49">
        <v>0</v>
      </c>
      <c r="T85" s="48" t="s">
        <v>111</v>
      </c>
      <c r="U85" s="50">
        <v>0</v>
      </c>
      <c r="V85" s="89" t="s">
        <v>261</v>
      </c>
    </row>
    <row r="86" spans="2:22">
      <c r="B86" s="46" cm="1">
        <f t="array" aca="1" ref="B86" ca="1">OFFSET(INDIRECT(ADDRESS(ROW(),COLUMN())),0,6)</f>
        <v>89</v>
      </c>
      <c r="C86" s="46">
        <v>1</v>
      </c>
      <c r="D86" s="46"/>
      <c r="E86" s="46"/>
      <c r="F86" s="46"/>
      <c r="G86" s="46">
        <v>1</v>
      </c>
      <c r="H86" s="46">
        <v>89</v>
      </c>
      <c r="I86" s="88" t="s">
        <v>1196</v>
      </c>
      <c r="J86" s="46" t="s">
        <v>1197</v>
      </c>
      <c r="K86" s="46" t="s">
        <v>1198</v>
      </c>
      <c r="L86" s="46" t="s">
        <v>1199</v>
      </c>
      <c r="M86" s="46" t="s">
        <v>1200</v>
      </c>
      <c r="N86" s="46" t="s">
        <v>1201</v>
      </c>
      <c r="O86" s="46" t="s">
        <v>1202</v>
      </c>
      <c r="P86" s="46" t="s">
        <v>1661</v>
      </c>
      <c r="Q86" s="46">
        <v>0</v>
      </c>
      <c r="R86" s="48" t="s">
        <v>132</v>
      </c>
      <c r="S86" s="49">
        <v>0</v>
      </c>
      <c r="T86" s="48" t="s">
        <v>111</v>
      </c>
      <c r="U86" s="50">
        <v>0</v>
      </c>
      <c r="V86" s="89" t="s">
        <v>261</v>
      </c>
    </row>
    <row r="87" spans="2:22">
      <c r="B87" s="46" cm="1">
        <f t="array" aca="1" ref="B87" ca="1">OFFSET(INDIRECT(ADDRESS(ROW(),COLUMN())),0,6)</f>
        <v>90</v>
      </c>
      <c r="C87" s="46">
        <v>1</v>
      </c>
      <c r="D87" s="46"/>
      <c r="E87" s="46"/>
      <c r="F87" s="46"/>
      <c r="G87" s="46">
        <v>1</v>
      </c>
      <c r="H87" s="46">
        <v>90</v>
      </c>
      <c r="I87" s="88" t="s">
        <v>1547</v>
      </c>
      <c r="J87" s="46" t="s">
        <v>1548</v>
      </c>
      <c r="K87" s="46" t="s">
        <v>1549</v>
      </c>
      <c r="L87" s="46" t="s">
        <v>1550</v>
      </c>
      <c r="M87" s="46" t="s">
        <v>1551</v>
      </c>
      <c r="N87" s="46" t="s">
        <v>1552</v>
      </c>
      <c r="O87" s="46" t="s">
        <v>1553</v>
      </c>
      <c r="P87" s="46" t="s">
        <v>1554</v>
      </c>
      <c r="Q87" s="46">
        <v>0</v>
      </c>
      <c r="R87" s="48" t="s">
        <v>132</v>
      </c>
      <c r="S87" s="49">
        <v>0</v>
      </c>
      <c r="T87" s="48" t="s">
        <v>111</v>
      </c>
      <c r="U87" s="50">
        <v>0</v>
      </c>
      <c r="V87" s="89" t="s">
        <v>261</v>
      </c>
    </row>
    <row r="88" spans="2:22">
      <c r="B88" s="46" cm="1">
        <f t="array" aca="1" ref="B88" ca="1">OFFSET(INDIRECT(ADDRESS(ROW(),COLUMN())),0,6)</f>
        <v>91</v>
      </c>
      <c r="C88" s="46">
        <v>1</v>
      </c>
      <c r="D88" s="46"/>
      <c r="E88" s="46"/>
      <c r="F88" s="46"/>
      <c r="G88" s="46">
        <v>1</v>
      </c>
      <c r="H88" s="46">
        <v>91</v>
      </c>
      <c r="I88" s="88" t="s">
        <v>335</v>
      </c>
      <c r="J88" s="46" t="s">
        <v>1203</v>
      </c>
      <c r="K88" s="46" t="s">
        <v>1204</v>
      </c>
      <c r="L88" s="46" t="s">
        <v>1205</v>
      </c>
      <c r="M88" s="46" t="s">
        <v>1206</v>
      </c>
      <c r="N88" s="46" t="s">
        <v>1207</v>
      </c>
      <c r="O88" s="46" t="s">
        <v>1208</v>
      </c>
      <c r="P88" s="46" t="s">
        <v>1209</v>
      </c>
      <c r="Q88" s="46">
        <v>0</v>
      </c>
      <c r="R88" s="48" t="s">
        <v>132</v>
      </c>
      <c r="S88" s="49">
        <v>0</v>
      </c>
      <c r="T88" s="48" t="s">
        <v>111</v>
      </c>
      <c r="U88" s="50">
        <v>0</v>
      </c>
      <c r="V88" s="89" t="s">
        <v>261</v>
      </c>
    </row>
    <row r="89" spans="2:22">
      <c r="B89" s="46" cm="1">
        <f t="array" aca="1" ref="B89" ca="1">OFFSET(INDIRECT(ADDRESS(ROW(),COLUMN())),0,6)</f>
        <v>92</v>
      </c>
      <c r="C89" s="46">
        <v>1</v>
      </c>
      <c r="D89" s="46"/>
      <c r="E89" s="46"/>
      <c r="F89" s="46"/>
      <c r="G89" s="46">
        <v>1</v>
      </c>
      <c r="H89" s="46">
        <v>92</v>
      </c>
      <c r="I89" s="88" t="s">
        <v>269</v>
      </c>
      <c r="J89" s="46" t="s">
        <v>485</v>
      </c>
      <c r="K89" s="46" t="s">
        <v>483</v>
      </c>
      <c r="L89" s="46" t="s">
        <v>483</v>
      </c>
      <c r="M89" s="46" t="s">
        <v>484</v>
      </c>
      <c r="N89" s="46" t="s">
        <v>802</v>
      </c>
      <c r="O89" s="46" t="s">
        <v>803</v>
      </c>
      <c r="P89" s="46" t="s">
        <v>804</v>
      </c>
      <c r="Q89" s="46">
        <v>0</v>
      </c>
      <c r="R89" s="48" t="s">
        <v>132</v>
      </c>
      <c r="S89" s="49">
        <v>0</v>
      </c>
      <c r="T89" s="48" t="s">
        <v>111</v>
      </c>
      <c r="U89" s="50">
        <v>0</v>
      </c>
      <c r="V89" s="89" t="s">
        <v>261</v>
      </c>
    </row>
    <row r="90" spans="2:22">
      <c r="B90" s="46" cm="1">
        <f t="array" aca="1" ref="B90" ca="1">OFFSET(INDIRECT(ADDRESS(ROW(),COLUMN())),0,6)</f>
        <v>93</v>
      </c>
      <c r="C90" s="46">
        <v>1</v>
      </c>
      <c r="D90" s="46"/>
      <c r="E90" s="46"/>
      <c r="F90" s="46"/>
      <c r="G90" s="46">
        <v>1</v>
      </c>
      <c r="H90" s="46">
        <v>93</v>
      </c>
      <c r="I90" s="88" t="s">
        <v>1642</v>
      </c>
      <c r="J90" s="46" t="s">
        <v>1643</v>
      </c>
      <c r="K90" s="46" t="s">
        <v>1644</v>
      </c>
      <c r="L90" s="46" t="s">
        <v>1644</v>
      </c>
      <c r="M90" s="46" t="s">
        <v>1645</v>
      </c>
      <c r="N90" s="46" t="s">
        <v>1646</v>
      </c>
      <c r="O90" s="46" t="s">
        <v>1647</v>
      </c>
      <c r="P90" s="46" t="s">
        <v>1648</v>
      </c>
      <c r="Q90" s="46">
        <v>0</v>
      </c>
      <c r="R90" s="48" t="s">
        <v>132</v>
      </c>
      <c r="S90" s="49">
        <v>0</v>
      </c>
      <c r="T90" s="48" t="s">
        <v>111</v>
      </c>
      <c r="U90" s="50">
        <v>0</v>
      </c>
      <c r="V90" s="89" t="s">
        <v>261</v>
      </c>
    </row>
    <row r="91" spans="2:22">
      <c r="B91" s="46" cm="1">
        <f t="array" aca="1" ref="B91" ca="1">OFFSET(INDIRECT(ADDRESS(ROW(),COLUMN())),0,6)</f>
        <v>94</v>
      </c>
      <c r="C91" s="46">
        <v>1</v>
      </c>
      <c r="D91" s="46"/>
      <c r="E91" s="46"/>
      <c r="F91" s="46"/>
      <c r="G91" s="46">
        <v>1</v>
      </c>
      <c r="H91" s="46">
        <v>94</v>
      </c>
      <c r="I91" s="88" t="s">
        <v>270</v>
      </c>
      <c r="J91" s="46" t="s">
        <v>489</v>
      </c>
      <c r="K91" s="46" t="s">
        <v>486</v>
      </c>
      <c r="L91" s="46" t="s">
        <v>487</v>
      </c>
      <c r="M91" s="46" t="s">
        <v>488</v>
      </c>
      <c r="N91" s="46" t="s">
        <v>805</v>
      </c>
      <c r="O91" s="46" t="s">
        <v>806</v>
      </c>
      <c r="P91" s="46" t="s">
        <v>807</v>
      </c>
      <c r="Q91" s="46">
        <v>0</v>
      </c>
      <c r="R91" s="48" t="s">
        <v>132</v>
      </c>
      <c r="S91" s="49">
        <v>0</v>
      </c>
      <c r="T91" s="48" t="s">
        <v>111</v>
      </c>
      <c r="U91" s="50">
        <v>0</v>
      </c>
      <c r="V91" s="89" t="s">
        <v>261</v>
      </c>
    </row>
    <row r="92" spans="2:22">
      <c r="B92" s="46" cm="1">
        <f t="array" aca="1" ref="B92" ca="1">OFFSET(INDIRECT(ADDRESS(ROW(),COLUMN())),0,6)</f>
        <v>95</v>
      </c>
      <c r="C92" s="46">
        <v>1</v>
      </c>
      <c r="D92" s="46"/>
      <c r="E92" s="46"/>
      <c r="F92" s="46"/>
      <c r="G92" s="46">
        <v>1</v>
      </c>
      <c r="H92" s="46">
        <v>95</v>
      </c>
      <c r="I92" s="88" t="s">
        <v>271</v>
      </c>
      <c r="J92" s="46" t="s">
        <v>493</v>
      </c>
      <c r="K92" s="46" t="s">
        <v>490</v>
      </c>
      <c r="L92" s="46" t="s">
        <v>491</v>
      </c>
      <c r="M92" s="46" t="s">
        <v>492</v>
      </c>
      <c r="N92" s="46" t="s">
        <v>808</v>
      </c>
      <c r="O92" s="46" t="s">
        <v>809</v>
      </c>
      <c r="P92" s="46" t="s">
        <v>810</v>
      </c>
      <c r="Q92" s="46">
        <v>0</v>
      </c>
      <c r="R92" s="48" t="s">
        <v>132</v>
      </c>
      <c r="S92" s="49">
        <v>0</v>
      </c>
      <c r="T92" s="48" t="s">
        <v>111</v>
      </c>
      <c r="U92" s="50">
        <v>0</v>
      </c>
      <c r="V92" s="89" t="s">
        <v>261</v>
      </c>
    </row>
    <row r="93" spans="2:22">
      <c r="B93" s="46" cm="1">
        <f t="array" aca="1" ref="B93" ca="1">OFFSET(INDIRECT(ADDRESS(ROW(),COLUMN())),0,6)</f>
        <v>96</v>
      </c>
      <c r="C93" s="46">
        <v>1</v>
      </c>
      <c r="D93" s="46"/>
      <c r="E93" s="46"/>
      <c r="F93" s="46"/>
      <c r="G93" s="46">
        <v>1</v>
      </c>
      <c r="H93" s="46">
        <v>96</v>
      </c>
      <c r="I93" s="88" t="s">
        <v>272</v>
      </c>
      <c r="J93" s="46" t="s">
        <v>497</v>
      </c>
      <c r="K93" s="46" t="s">
        <v>494</v>
      </c>
      <c r="L93" s="46" t="s">
        <v>495</v>
      </c>
      <c r="M93" s="46" t="s">
        <v>496</v>
      </c>
      <c r="N93" s="46" t="s">
        <v>811</v>
      </c>
      <c r="O93" s="46" t="s">
        <v>812</v>
      </c>
      <c r="P93" s="46" t="s">
        <v>813</v>
      </c>
      <c r="Q93" s="46">
        <v>0</v>
      </c>
      <c r="R93" s="48" t="s">
        <v>132</v>
      </c>
      <c r="S93" s="49">
        <v>0</v>
      </c>
      <c r="T93" s="48" t="s">
        <v>111</v>
      </c>
      <c r="U93" s="50">
        <v>0</v>
      </c>
      <c r="V93" s="89" t="s">
        <v>261</v>
      </c>
    </row>
    <row r="94" spans="2:22">
      <c r="B94" s="46" cm="1">
        <f t="array" aca="1" ref="B94" ca="1">OFFSET(INDIRECT(ADDRESS(ROW(),COLUMN())),0,6)</f>
        <v>97</v>
      </c>
      <c r="C94" s="46">
        <v>1</v>
      </c>
      <c r="D94" s="46"/>
      <c r="E94" s="46"/>
      <c r="F94" s="46"/>
      <c r="G94" s="46">
        <v>1</v>
      </c>
      <c r="H94" s="46">
        <v>97</v>
      </c>
      <c r="I94" s="88" t="s">
        <v>1210</v>
      </c>
      <c r="J94" s="46" t="s">
        <v>1211</v>
      </c>
      <c r="K94" s="46" t="s">
        <v>1212</v>
      </c>
      <c r="L94" s="46" t="s">
        <v>1213</v>
      </c>
      <c r="M94" s="46" t="s">
        <v>1214</v>
      </c>
      <c r="N94" s="46" t="s">
        <v>1215</v>
      </c>
      <c r="O94" s="46" t="s">
        <v>1216</v>
      </c>
      <c r="P94" s="46" t="s">
        <v>1217</v>
      </c>
      <c r="Q94" s="46">
        <v>0</v>
      </c>
      <c r="R94" s="48" t="s">
        <v>132</v>
      </c>
      <c r="S94" s="49">
        <v>0</v>
      </c>
      <c r="T94" s="48" t="s">
        <v>111</v>
      </c>
      <c r="U94" s="50">
        <v>0</v>
      </c>
      <c r="V94" s="89" t="s">
        <v>261</v>
      </c>
    </row>
    <row r="95" spans="2:22">
      <c r="B95" s="46" cm="1">
        <f t="array" aca="1" ref="B95" ca="1">OFFSET(INDIRECT(ADDRESS(ROW(),COLUMN())),0,6)</f>
        <v>98</v>
      </c>
      <c r="C95" s="46">
        <v>1</v>
      </c>
      <c r="D95" s="46"/>
      <c r="E95" s="46"/>
      <c r="F95" s="46"/>
      <c r="G95" s="46">
        <v>1</v>
      </c>
      <c r="H95" s="46">
        <v>98</v>
      </c>
      <c r="I95" s="88" t="s">
        <v>1218</v>
      </c>
      <c r="J95" s="46" t="s">
        <v>1219</v>
      </c>
      <c r="K95" s="46" t="s">
        <v>1220</v>
      </c>
      <c r="L95" s="46" t="s">
        <v>1221</v>
      </c>
      <c r="M95" s="46" t="s">
        <v>1222</v>
      </c>
      <c r="N95" s="46" t="s">
        <v>1223</v>
      </c>
      <c r="O95" s="46" t="s">
        <v>1224</v>
      </c>
      <c r="P95" s="46" t="s">
        <v>1225</v>
      </c>
      <c r="Q95" s="46">
        <v>0</v>
      </c>
      <c r="R95" s="48" t="s">
        <v>132</v>
      </c>
      <c r="S95" s="49">
        <v>0</v>
      </c>
      <c r="T95" s="48" t="s">
        <v>111</v>
      </c>
      <c r="U95" s="50">
        <v>0</v>
      </c>
      <c r="V95" s="89" t="s">
        <v>261</v>
      </c>
    </row>
    <row r="96" spans="2:22">
      <c r="B96" s="46" cm="1">
        <f t="array" aca="1" ref="B96" ca="1">OFFSET(INDIRECT(ADDRESS(ROW(),COLUMN())),0,6)</f>
        <v>99</v>
      </c>
      <c r="C96" s="46">
        <v>1</v>
      </c>
      <c r="D96" s="46"/>
      <c r="E96" s="46"/>
      <c r="F96" s="46"/>
      <c r="G96" s="46">
        <v>1</v>
      </c>
      <c r="H96" s="46">
        <v>99</v>
      </c>
      <c r="I96" s="88" t="s">
        <v>273</v>
      </c>
      <c r="J96" s="46" t="s">
        <v>501</v>
      </c>
      <c r="K96" s="46" t="s">
        <v>498</v>
      </c>
      <c r="L96" s="46" t="s">
        <v>499</v>
      </c>
      <c r="M96" s="46" t="s">
        <v>500</v>
      </c>
      <c r="N96" s="46" t="s">
        <v>814</v>
      </c>
      <c r="O96" s="46" t="s">
        <v>815</v>
      </c>
      <c r="P96" s="46" t="s">
        <v>815</v>
      </c>
      <c r="Q96" s="46">
        <v>0</v>
      </c>
      <c r="R96" s="48" t="s">
        <v>132</v>
      </c>
      <c r="S96" s="49">
        <v>0</v>
      </c>
      <c r="T96" s="48" t="s">
        <v>111</v>
      </c>
      <c r="U96" s="50">
        <v>0</v>
      </c>
      <c r="V96" s="89" t="s">
        <v>261</v>
      </c>
    </row>
    <row r="97" spans="2:22">
      <c r="B97" s="46" cm="1">
        <f t="array" aca="1" ref="B97" ca="1">OFFSET(INDIRECT(ADDRESS(ROW(),COLUMN())),0,6)</f>
        <v>100</v>
      </c>
      <c r="C97" s="46">
        <v>1</v>
      </c>
      <c r="D97" s="46"/>
      <c r="E97" s="46"/>
      <c r="F97" s="46"/>
      <c r="G97" s="46">
        <v>1</v>
      </c>
      <c r="H97" s="46">
        <v>100</v>
      </c>
      <c r="I97" s="88" t="s">
        <v>1226</v>
      </c>
      <c r="J97" s="46" t="s">
        <v>1227</v>
      </c>
      <c r="K97" s="46" t="s">
        <v>1228</v>
      </c>
      <c r="L97" s="46" t="s">
        <v>1229</v>
      </c>
      <c r="M97" s="46" t="s">
        <v>1230</v>
      </c>
      <c r="N97" s="46" t="s">
        <v>1231</v>
      </c>
      <c r="O97" s="46" t="s">
        <v>1232</v>
      </c>
      <c r="P97" s="46" t="s">
        <v>1233</v>
      </c>
      <c r="Q97" s="46">
        <v>0</v>
      </c>
      <c r="R97" s="48" t="s">
        <v>132</v>
      </c>
      <c r="S97" s="49">
        <v>0</v>
      </c>
      <c r="T97" s="48" t="s">
        <v>111</v>
      </c>
      <c r="U97" s="50">
        <v>0</v>
      </c>
      <c r="V97" s="89" t="s">
        <v>261</v>
      </c>
    </row>
    <row r="98" spans="2:22">
      <c r="B98" s="46" cm="1">
        <f t="array" aca="1" ref="B98" ca="1">OFFSET(INDIRECT(ADDRESS(ROW(),COLUMN())),0,6)</f>
        <v>101</v>
      </c>
      <c r="C98" s="46">
        <v>1</v>
      </c>
      <c r="D98" s="46"/>
      <c r="E98" s="46"/>
      <c r="F98" s="46"/>
      <c r="G98" s="46">
        <v>1</v>
      </c>
      <c r="H98" s="46">
        <v>101</v>
      </c>
      <c r="I98" s="88" t="s">
        <v>274</v>
      </c>
      <c r="J98" s="46" t="s">
        <v>274</v>
      </c>
      <c r="K98" s="46" t="s">
        <v>274</v>
      </c>
      <c r="L98" s="46" t="s">
        <v>274</v>
      </c>
      <c r="M98" s="46" t="s">
        <v>274</v>
      </c>
      <c r="N98" s="46" t="s">
        <v>274</v>
      </c>
      <c r="O98" s="46" t="s">
        <v>274</v>
      </c>
      <c r="P98" s="46" t="s">
        <v>274</v>
      </c>
      <c r="Q98" s="46">
        <v>0</v>
      </c>
      <c r="R98" s="48" t="s">
        <v>132</v>
      </c>
      <c r="S98" s="49">
        <v>0</v>
      </c>
      <c r="T98" s="48" t="s">
        <v>111</v>
      </c>
      <c r="U98" s="50">
        <v>0</v>
      </c>
      <c r="V98" s="89" t="s">
        <v>261</v>
      </c>
    </row>
    <row r="99" spans="2:22">
      <c r="B99" s="46" cm="1">
        <f t="array" aca="1" ref="B99" ca="1">OFFSET(INDIRECT(ADDRESS(ROW(),COLUMN())),0,6)</f>
        <v>102</v>
      </c>
      <c r="C99" s="46">
        <v>1</v>
      </c>
      <c r="D99" s="46"/>
      <c r="E99" s="46"/>
      <c r="F99" s="46"/>
      <c r="G99" s="46">
        <v>1</v>
      </c>
      <c r="H99" s="46">
        <v>102</v>
      </c>
      <c r="I99" s="88" t="s">
        <v>1234</v>
      </c>
      <c r="J99" s="46" t="s">
        <v>1235</v>
      </c>
      <c r="K99" s="46" t="s">
        <v>1236</v>
      </c>
      <c r="L99" s="46" t="s">
        <v>1237</v>
      </c>
      <c r="M99" s="46" t="s">
        <v>1238</v>
      </c>
      <c r="N99" s="46" t="s">
        <v>1239</v>
      </c>
      <c r="O99" s="46" t="s">
        <v>1240</v>
      </c>
      <c r="P99" s="46" t="s">
        <v>1241</v>
      </c>
      <c r="Q99" s="46">
        <v>0</v>
      </c>
      <c r="R99" s="48" t="s">
        <v>132</v>
      </c>
      <c r="S99" s="49">
        <v>0</v>
      </c>
      <c r="T99" s="48" t="s">
        <v>111</v>
      </c>
      <c r="U99" s="50">
        <v>0</v>
      </c>
      <c r="V99" s="89" t="s">
        <v>261</v>
      </c>
    </row>
    <row r="100" spans="2:22">
      <c r="B100" s="46" cm="1">
        <f t="array" aca="1" ref="B100" ca="1">OFFSET(INDIRECT(ADDRESS(ROW(),COLUMN())),0,6)</f>
        <v>103</v>
      </c>
      <c r="C100" s="46">
        <v>1</v>
      </c>
      <c r="D100" s="46"/>
      <c r="E100" s="46"/>
      <c r="F100" s="46"/>
      <c r="G100" s="46">
        <v>1</v>
      </c>
      <c r="H100" s="46">
        <v>103</v>
      </c>
      <c r="I100" s="88" t="s">
        <v>1242</v>
      </c>
      <c r="J100" s="46" t="s">
        <v>1243</v>
      </c>
      <c r="K100" s="46" t="s">
        <v>1244</v>
      </c>
      <c r="L100" s="46" t="s">
        <v>1245</v>
      </c>
      <c r="M100" s="46" t="s">
        <v>1246</v>
      </c>
      <c r="N100" s="46" t="s">
        <v>1247</v>
      </c>
      <c r="O100" s="46" t="s">
        <v>1248</v>
      </c>
      <c r="P100" s="46" t="s">
        <v>1249</v>
      </c>
      <c r="Q100" s="46">
        <v>0</v>
      </c>
      <c r="R100" s="48" t="s">
        <v>132</v>
      </c>
      <c r="S100" s="49">
        <v>0</v>
      </c>
      <c r="T100" s="48" t="s">
        <v>248</v>
      </c>
      <c r="U100" s="50">
        <v>31</v>
      </c>
      <c r="V100" s="89" t="s">
        <v>261</v>
      </c>
    </row>
    <row r="101" spans="2:22">
      <c r="B101" s="46" cm="1">
        <f t="array" aca="1" ref="B101" ca="1">OFFSET(INDIRECT(ADDRESS(ROW(),COLUMN())),0,6)</f>
        <v>104</v>
      </c>
      <c r="C101" s="46">
        <v>1</v>
      </c>
      <c r="D101" s="46"/>
      <c r="E101" s="46"/>
      <c r="F101" s="46"/>
      <c r="G101" s="46">
        <v>1</v>
      </c>
      <c r="H101" s="46">
        <v>104</v>
      </c>
      <c r="I101" s="88" t="s">
        <v>1250</v>
      </c>
      <c r="J101" s="46" t="s">
        <v>1251</v>
      </c>
      <c r="K101" s="46" t="s">
        <v>1252</v>
      </c>
      <c r="L101" s="46" t="s">
        <v>1555</v>
      </c>
      <c r="M101" s="46" t="s">
        <v>1253</v>
      </c>
      <c r="N101" s="46" t="s">
        <v>1254</v>
      </c>
      <c r="O101" s="46" t="s">
        <v>1255</v>
      </c>
      <c r="P101" s="46" t="s">
        <v>1256</v>
      </c>
      <c r="Q101" s="46">
        <v>0</v>
      </c>
      <c r="R101" s="48" t="s">
        <v>132</v>
      </c>
      <c r="S101" s="49">
        <v>0</v>
      </c>
      <c r="T101" s="48" t="s">
        <v>255</v>
      </c>
      <c r="U101" s="50">
        <v>21</v>
      </c>
      <c r="V101" s="89" t="s">
        <v>261</v>
      </c>
    </row>
    <row r="102" spans="2:22">
      <c r="B102" s="46" cm="1">
        <f t="array" aca="1" ref="B102" ca="1">OFFSET(INDIRECT(ADDRESS(ROW(),COLUMN())),0,6)</f>
        <v>105</v>
      </c>
      <c r="C102" s="46">
        <v>1</v>
      </c>
      <c r="D102" s="46"/>
      <c r="E102" s="46"/>
      <c r="F102" s="46"/>
      <c r="G102" s="46">
        <v>1</v>
      </c>
      <c r="H102" s="46">
        <v>105</v>
      </c>
      <c r="I102" s="88" t="s">
        <v>337</v>
      </c>
      <c r="J102" s="46" t="s">
        <v>1523</v>
      </c>
      <c r="K102" s="46" t="s">
        <v>1524</v>
      </c>
      <c r="L102" s="46" t="s">
        <v>1525</v>
      </c>
      <c r="M102" s="46" t="s">
        <v>1524</v>
      </c>
      <c r="N102" s="46" t="s">
        <v>1526</v>
      </c>
      <c r="O102" s="46" t="s">
        <v>1527</v>
      </c>
      <c r="P102" s="46" t="s">
        <v>1528</v>
      </c>
      <c r="Q102" s="46">
        <v>0</v>
      </c>
      <c r="R102" s="48" t="s">
        <v>132</v>
      </c>
      <c r="S102" s="49">
        <v>0</v>
      </c>
      <c r="T102" s="48" t="s">
        <v>111</v>
      </c>
      <c r="U102" s="50">
        <v>0</v>
      </c>
      <c r="V102" s="89" t="s">
        <v>261</v>
      </c>
    </row>
    <row r="103" spans="2:22">
      <c r="B103" s="46" cm="1">
        <f t="array" aca="1" ref="B103" ca="1">OFFSET(INDIRECT(ADDRESS(ROW(),COLUMN())),0,6)</f>
        <v>106</v>
      </c>
      <c r="C103" s="46">
        <v>1</v>
      </c>
      <c r="D103" s="46"/>
      <c r="E103" s="46"/>
      <c r="F103" s="46"/>
      <c r="G103" s="46">
        <v>1</v>
      </c>
      <c r="H103" s="46">
        <v>106</v>
      </c>
      <c r="I103" s="88" t="s">
        <v>1257</v>
      </c>
      <c r="J103" s="46" t="s">
        <v>1258</v>
      </c>
      <c r="K103" s="46" t="s">
        <v>1259</v>
      </c>
      <c r="L103" s="46" t="s">
        <v>1260</v>
      </c>
      <c r="M103" s="46" t="s">
        <v>1261</v>
      </c>
      <c r="N103" s="46" t="s">
        <v>1262</v>
      </c>
      <c r="O103" s="46" t="s">
        <v>1556</v>
      </c>
      <c r="P103" s="46" t="s">
        <v>1263</v>
      </c>
      <c r="Q103" s="46">
        <v>0</v>
      </c>
      <c r="R103" s="48" t="s">
        <v>132</v>
      </c>
      <c r="S103" s="49">
        <v>0</v>
      </c>
      <c r="T103" s="48" t="s">
        <v>111</v>
      </c>
      <c r="U103" s="50">
        <v>0</v>
      </c>
      <c r="V103" s="89" t="s">
        <v>261</v>
      </c>
    </row>
    <row r="104" spans="2:22">
      <c r="B104" s="46" cm="1">
        <f t="array" aca="1" ref="B104" ca="1">OFFSET(INDIRECT(ADDRESS(ROW(),COLUMN())),0,6)</f>
        <v>107</v>
      </c>
      <c r="C104" s="46">
        <v>1</v>
      </c>
      <c r="D104" s="46"/>
      <c r="E104" s="46"/>
      <c r="F104" s="46"/>
      <c r="G104" s="46">
        <v>1</v>
      </c>
      <c r="H104" s="46">
        <v>107</v>
      </c>
      <c r="I104" s="88" t="s">
        <v>320</v>
      </c>
      <c r="J104" s="46">
        <v>0</v>
      </c>
      <c r="K104" s="46">
        <v>0</v>
      </c>
      <c r="L104" s="46">
        <v>0</v>
      </c>
      <c r="M104" s="46">
        <v>0</v>
      </c>
      <c r="N104" s="46">
        <v>0</v>
      </c>
      <c r="O104" s="46">
        <v>0</v>
      </c>
      <c r="P104" s="46">
        <v>0</v>
      </c>
      <c r="Q104" s="46">
        <v>0</v>
      </c>
      <c r="R104" s="48" t="s">
        <v>132</v>
      </c>
      <c r="S104" s="49">
        <v>0</v>
      </c>
      <c r="T104" s="48" t="s">
        <v>111</v>
      </c>
      <c r="U104" s="50">
        <v>0</v>
      </c>
      <c r="V104" s="89" t="s">
        <v>261</v>
      </c>
    </row>
    <row r="105" spans="2:22">
      <c r="B105" s="46" cm="1">
        <f t="array" aca="1" ref="B105" ca="1">OFFSET(INDIRECT(ADDRESS(ROW(),COLUMN())),0,6)</f>
        <v>108</v>
      </c>
      <c r="C105" s="46">
        <v>1</v>
      </c>
      <c r="D105" s="46"/>
      <c r="E105" s="46"/>
      <c r="F105" s="46"/>
      <c r="G105" s="46">
        <v>1</v>
      </c>
      <c r="H105" s="46">
        <v>108</v>
      </c>
      <c r="I105" s="88" t="s">
        <v>1264</v>
      </c>
      <c r="J105" s="46" t="s">
        <v>1265</v>
      </c>
      <c r="K105" s="46" t="s">
        <v>1266</v>
      </c>
      <c r="L105" s="46" t="s">
        <v>1267</v>
      </c>
      <c r="M105" s="46" t="s">
        <v>1268</v>
      </c>
      <c r="N105" s="46" t="s">
        <v>1269</v>
      </c>
      <c r="O105" s="46" t="s">
        <v>1270</v>
      </c>
      <c r="P105" s="46" t="s">
        <v>1271</v>
      </c>
      <c r="Q105" s="46">
        <v>0</v>
      </c>
      <c r="R105" s="48" t="s">
        <v>132</v>
      </c>
      <c r="S105" s="49">
        <v>0</v>
      </c>
      <c r="T105" s="48" t="s">
        <v>111</v>
      </c>
      <c r="U105" s="50">
        <v>0</v>
      </c>
      <c r="V105" s="89" t="s">
        <v>261</v>
      </c>
    </row>
    <row r="106" spans="2:22">
      <c r="B106" s="46" cm="1">
        <f t="array" aca="1" ref="B106" ca="1">OFFSET(INDIRECT(ADDRESS(ROW(),COLUMN())),0,6)</f>
        <v>109</v>
      </c>
      <c r="C106" s="46">
        <v>1</v>
      </c>
      <c r="D106" s="46"/>
      <c r="E106" s="46"/>
      <c r="F106" s="46"/>
      <c r="G106" s="46">
        <v>1</v>
      </c>
      <c r="H106" s="46">
        <v>109</v>
      </c>
      <c r="I106" s="88" t="s">
        <v>223</v>
      </c>
      <c r="J106" s="46" t="s">
        <v>407</v>
      </c>
      <c r="K106" s="46" t="s">
        <v>404</v>
      </c>
      <c r="L106" s="46" t="s">
        <v>405</v>
      </c>
      <c r="M106" s="46" t="s">
        <v>406</v>
      </c>
      <c r="N106" s="46" t="s">
        <v>739</v>
      </c>
      <c r="O106" s="46" t="s">
        <v>740</v>
      </c>
      <c r="P106" s="46" t="s">
        <v>741</v>
      </c>
      <c r="Q106" s="46">
        <v>0</v>
      </c>
      <c r="R106" s="48" t="s">
        <v>132</v>
      </c>
      <c r="S106" s="49">
        <v>0</v>
      </c>
      <c r="T106" s="48" t="s">
        <v>111</v>
      </c>
      <c r="U106" s="50">
        <v>0</v>
      </c>
      <c r="V106" s="89" t="s">
        <v>261</v>
      </c>
    </row>
    <row r="107" spans="2:22">
      <c r="B107" s="46" cm="1">
        <f t="array" aca="1" ref="B107" ca="1">OFFSET(INDIRECT(ADDRESS(ROW(),COLUMN())),0,6)</f>
        <v>110</v>
      </c>
      <c r="C107" s="46">
        <v>1</v>
      </c>
      <c r="D107" s="46"/>
      <c r="E107" s="46"/>
      <c r="F107" s="46"/>
      <c r="G107" s="46">
        <v>1</v>
      </c>
      <c r="H107" s="46">
        <v>110</v>
      </c>
      <c r="I107" s="88" t="s">
        <v>1272</v>
      </c>
      <c r="J107" s="46" t="s">
        <v>1273</v>
      </c>
      <c r="K107" s="46" t="s">
        <v>1274</v>
      </c>
      <c r="L107" s="46" t="s">
        <v>1275</v>
      </c>
      <c r="M107" s="46" t="s">
        <v>1276</v>
      </c>
      <c r="N107" s="46" t="s">
        <v>1277</v>
      </c>
      <c r="O107" s="46" t="s">
        <v>1278</v>
      </c>
      <c r="P107" s="46" t="s">
        <v>1279</v>
      </c>
      <c r="Q107" s="46">
        <v>0</v>
      </c>
      <c r="R107" s="48" t="s">
        <v>132</v>
      </c>
      <c r="S107" s="49">
        <v>0</v>
      </c>
      <c r="T107" s="48" t="s">
        <v>255</v>
      </c>
      <c r="U107" s="50">
        <v>21</v>
      </c>
      <c r="V107" s="89" t="s">
        <v>261</v>
      </c>
    </row>
    <row r="108" spans="2:22">
      <c r="B108" s="46" cm="1">
        <f t="array" aca="1" ref="B108" ca="1">OFFSET(INDIRECT(ADDRESS(ROW(),COLUMN())),0,6)</f>
        <v>111</v>
      </c>
      <c r="C108" s="46">
        <v>1</v>
      </c>
      <c r="D108" s="46"/>
      <c r="E108" s="46"/>
      <c r="F108" s="46"/>
      <c r="G108" s="46">
        <v>1</v>
      </c>
      <c r="H108" s="46">
        <v>111</v>
      </c>
      <c r="I108" s="88" t="s">
        <v>1280</v>
      </c>
      <c r="J108" s="46" t="s">
        <v>1281</v>
      </c>
      <c r="K108" s="46" t="s">
        <v>1282</v>
      </c>
      <c r="L108" s="46" t="s">
        <v>1283</v>
      </c>
      <c r="M108" s="46" t="s">
        <v>1284</v>
      </c>
      <c r="N108" s="46" t="s">
        <v>1285</v>
      </c>
      <c r="O108" s="46" t="s">
        <v>1286</v>
      </c>
      <c r="P108" s="46" t="s">
        <v>1287</v>
      </c>
      <c r="Q108" s="46">
        <v>0</v>
      </c>
      <c r="R108" s="48" t="s">
        <v>132</v>
      </c>
      <c r="S108" s="49">
        <v>0</v>
      </c>
      <c r="T108" s="48" t="s">
        <v>255</v>
      </c>
      <c r="U108" s="50">
        <v>21</v>
      </c>
      <c r="V108" s="89" t="s">
        <v>261</v>
      </c>
    </row>
    <row r="109" spans="2:22">
      <c r="B109" s="46" cm="1">
        <f t="array" aca="1" ref="B109" ca="1">OFFSET(INDIRECT(ADDRESS(ROW(),COLUMN())),0,6)</f>
        <v>112</v>
      </c>
      <c r="C109" s="46">
        <v>1</v>
      </c>
      <c r="D109" s="46"/>
      <c r="E109" s="46"/>
      <c r="F109" s="46"/>
      <c r="G109" s="46">
        <v>1</v>
      </c>
      <c r="H109" s="46">
        <v>112</v>
      </c>
      <c r="I109" s="88" t="s">
        <v>316</v>
      </c>
      <c r="J109" s="46" t="s">
        <v>505</v>
      </c>
      <c r="K109" s="46" t="s">
        <v>502</v>
      </c>
      <c r="L109" s="46" t="s">
        <v>503</v>
      </c>
      <c r="M109" s="46" t="s">
        <v>504</v>
      </c>
      <c r="N109" s="46" t="s">
        <v>816</v>
      </c>
      <c r="O109" s="46" t="s">
        <v>817</v>
      </c>
      <c r="P109" s="46" t="s">
        <v>818</v>
      </c>
      <c r="Q109" s="46">
        <v>0</v>
      </c>
      <c r="R109" s="48" t="s">
        <v>132</v>
      </c>
      <c r="S109" s="49">
        <v>0</v>
      </c>
      <c r="T109" s="48" t="s">
        <v>111</v>
      </c>
      <c r="U109" s="50">
        <v>0</v>
      </c>
      <c r="V109" s="89" t="s">
        <v>261</v>
      </c>
    </row>
    <row r="110" spans="2:22">
      <c r="B110" s="46" cm="1">
        <f t="array" aca="1" ref="B110" ca="1">OFFSET(INDIRECT(ADDRESS(ROW(),COLUMN())),0,6)</f>
        <v>113</v>
      </c>
      <c r="C110" s="46">
        <v>1</v>
      </c>
      <c r="D110" s="46"/>
      <c r="E110" s="46"/>
      <c r="F110" s="46"/>
      <c r="G110" s="46">
        <v>1</v>
      </c>
      <c r="H110" s="46">
        <v>113</v>
      </c>
      <c r="I110" s="88" t="s">
        <v>317</v>
      </c>
      <c r="J110" s="46" t="s">
        <v>509</v>
      </c>
      <c r="K110" s="46" t="s">
        <v>506</v>
      </c>
      <c r="L110" s="46" t="s">
        <v>507</v>
      </c>
      <c r="M110" s="46" t="s">
        <v>508</v>
      </c>
      <c r="N110" s="46" t="s">
        <v>819</v>
      </c>
      <c r="O110" s="46" t="s">
        <v>820</v>
      </c>
      <c r="P110" s="46" t="s">
        <v>821</v>
      </c>
      <c r="Q110" s="46">
        <v>0</v>
      </c>
      <c r="R110" s="48" t="s">
        <v>132</v>
      </c>
      <c r="S110" s="49">
        <v>0</v>
      </c>
      <c r="T110" s="48" t="s">
        <v>111</v>
      </c>
      <c r="U110" s="50">
        <v>0</v>
      </c>
      <c r="V110" s="89" t="s">
        <v>261</v>
      </c>
    </row>
    <row r="111" spans="2:22">
      <c r="B111" s="46" cm="1">
        <f t="array" aca="1" ref="B111" ca="1">OFFSET(INDIRECT(ADDRESS(ROW(),COLUMN())),0,6)</f>
        <v>114</v>
      </c>
      <c r="C111" s="46">
        <v>1</v>
      </c>
      <c r="D111" s="46"/>
      <c r="E111" s="46"/>
      <c r="F111" s="46"/>
      <c r="G111" s="46">
        <v>1</v>
      </c>
      <c r="H111" s="46">
        <v>114</v>
      </c>
      <c r="I111" s="88" t="s">
        <v>318</v>
      </c>
      <c r="J111" s="46" t="s">
        <v>513</v>
      </c>
      <c r="K111" s="46" t="s">
        <v>510</v>
      </c>
      <c r="L111" s="46" t="s">
        <v>511</v>
      </c>
      <c r="M111" s="46" t="s">
        <v>512</v>
      </c>
      <c r="N111" s="46" t="s">
        <v>822</v>
      </c>
      <c r="O111" s="46" t="s">
        <v>823</v>
      </c>
      <c r="P111" s="46" t="s">
        <v>824</v>
      </c>
      <c r="Q111" s="46">
        <v>0</v>
      </c>
      <c r="R111" s="48" t="s">
        <v>132</v>
      </c>
      <c r="S111" s="49">
        <v>0</v>
      </c>
      <c r="T111" s="48" t="s">
        <v>111</v>
      </c>
      <c r="U111" s="50">
        <v>0</v>
      </c>
      <c r="V111" s="89" t="s">
        <v>261</v>
      </c>
    </row>
    <row r="112" spans="2:22">
      <c r="B112" s="46" cm="1">
        <f t="array" aca="1" ref="B112" ca="1">OFFSET(INDIRECT(ADDRESS(ROW(),COLUMN())),0,6)</f>
        <v>115</v>
      </c>
      <c r="C112" s="46">
        <v>1</v>
      </c>
      <c r="D112" s="46"/>
      <c r="E112" s="46"/>
      <c r="F112" s="46"/>
      <c r="G112" s="46">
        <v>1</v>
      </c>
      <c r="H112" s="46">
        <v>115</v>
      </c>
      <c r="I112" s="88" t="s">
        <v>319</v>
      </c>
      <c r="J112" s="46" t="s">
        <v>1288</v>
      </c>
      <c r="K112" s="46" t="s">
        <v>1084</v>
      </c>
      <c r="L112" s="46" t="s">
        <v>1085</v>
      </c>
      <c r="M112" s="46" t="s">
        <v>1289</v>
      </c>
      <c r="N112" s="46" t="s">
        <v>1290</v>
      </c>
      <c r="O112" s="46" t="s">
        <v>1291</v>
      </c>
      <c r="P112" s="46" t="s">
        <v>1292</v>
      </c>
      <c r="Q112" s="46">
        <v>0</v>
      </c>
      <c r="R112" s="48" t="s">
        <v>132</v>
      </c>
      <c r="S112" s="49">
        <v>0</v>
      </c>
      <c r="T112" s="48" t="s">
        <v>111</v>
      </c>
      <c r="U112" s="50">
        <v>0</v>
      </c>
      <c r="V112" s="89" t="s">
        <v>261</v>
      </c>
    </row>
    <row r="113" spans="2:22">
      <c r="B113" s="46" cm="1">
        <f t="array" aca="1" ref="B113" ca="1">OFFSET(INDIRECT(ADDRESS(ROW(),COLUMN())),0,6)</f>
        <v>116</v>
      </c>
      <c r="C113" s="46">
        <v>1</v>
      </c>
      <c r="D113" s="46"/>
      <c r="E113" s="46"/>
      <c r="F113" s="46"/>
      <c r="G113" s="46">
        <v>1</v>
      </c>
      <c r="H113" s="46">
        <v>116</v>
      </c>
      <c r="I113" s="88" t="s">
        <v>252</v>
      </c>
      <c r="J113" s="46" t="s">
        <v>689</v>
      </c>
      <c r="K113" s="46" t="s">
        <v>430</v>
      </c>
      <c r="L113" s="46" t="s">
        <v>431</v>
      </c>
      <c r="M113" s="46" t="s">
        <v>669</v>
      </c>
      <c r="N113" s="46" t="s">
        <v>733</v>
      </c>
      <c r="O113" s="46" t="s">
        <v>734</v>
      </c>
      <c r="P113" s="46" t="s">
        <v>735</v>
      </c>
      <c r="Q113" s="46">
        <v>0</v>
      </c>
      <c r="R113" s="48" t="s">
        <v>132</v>
      </c>
      <c r="S113" s="49">
        <v>0</v>
      </c>
      <c r="T113" s="48" t="s">
        <v>111</v>
      </c>
      <c r="U113" s="50">
        <v>0</v>
      </c>
      <c r="V113" s="89" t="s">
        <v>261</v>
      </c>
    </row>
    <row r="114" spans="2:22">
      <c r="B114" s="46" cm="1">
        <f t="array" aca="1" ref="B114" ca="1">OFFSET(INDIRECT(ADDRESS(ROW(),COLUMN())),0,6)</f>
        <v>117</v>
      </c>
      <c r="C114" s="46">
        <v>1</v>
      </c>
      <c r="D114" s="46"/>
      <c r="E114" s="46"/>
      <c r="F114" s="46"/>
      <c r="G114" s="46">
        <v>1</v>
      </c>
      <c r="H114" s="46">
        <v>117</v>
      </c>
      <c r="I114" s="88" t="s">
        <v>275</v>
      </c>
      <c r="J114" s="46" t="s">
        <v>517</v>
      </c>
      <c r="K114" s="46" t="s">
        <v>514</v>
      </c>
      <c r="L114" s="46" t="s">
        <v>515</v>
      </c>
      <c r="M114" s="46" t="s">
        <v>516</v>
      </c>
      <c r="N114" s="46" t="s">
        <v>825</v>
      </c>
      <c r="O114" s="46" t="s">
        <v>826</v>
      </c>
      <c r="P114" s="46" t="s">
        <v>827</v>
      </c>
      <c r="Q114" s="46">
        <v>0</v>
      </c>
      <c r="R114" s="48" t="s">
        <v>132</v>
      </c>
      <c r="S114" s="49">
        <v>0</v>
      </c>
      <c r="T114" s="48" t="s">
        <v>111</v>
      </c>
      <c r="U114" s="50">
        <v>0</v>
      </c>
      <c r="V114" s="89" t="s">
        <v>276</v>
      </c>
    </row>
    <row r="115" spans="2:22">
      <c r="B115" s="46" cm="1">
        <f t="array" aca="1" ref="B115" ca="1">OFFSET(INDIRECT(ADDRESS(ROW(),COLUMN())),0,6)</f>
        <v>118</v>
      </c>
      <c r="C115" s="46">
        <v>1</v>
      </c>
      <c r="D115" s="46"/>
      <c r="E115" s="46"/>
      <c r="F115" s="46"/>
      <c r="G115" s="46">
        <v>1</v>
      </c>
      <c r="H115" s="46">
        <v>118</v>
      </c>
      <c r="I115" s="88" t="s">
        <v>1662</v>
      </c>
      <c r="J115" s="46" t="s">
        <v>1663</v>
      </c>
      <c r="K115" s="46" t="s">
        <v>1664</v>
      </c>
      <c r="L115" s="46" t="s">
        <v>1665</v>
      </c>
      <c r="M115" s="46" t="s">
        <v>1666</v>
      </c>
      <c r="N115" s="46" t="s">
        <v>1667</v>
      </c>
      <c r="O115" s="46" t="s">
        <v>1668</v>
      </c>
      <c r="P115" s="46" t="s">
        <v>1669</v>
      </c>
      <c r="Q115" s="46">
        <v>0</v>
      </c>
      <c r="R115" s="48" t="s">
        <v>132</v>
      </c>
      <c r="S115" s="49">
        <v>0</v>
      </c>
      <c r="T115" s="48" t="s">
        <v>111</v>
      </c>
      <c r="U115" s="50">
        <v>0</v>
      </c>
      <c r="V115" s="89" t="s">
        <v>276</v>
      </c>
    </row>
    <row r="116" spans="2:22">
      <c r="B116" s="46" cm="1">
        <f t="array" aca="1" ref="B116" ca="1">OFFSET(INDIRECT(ADDRESS(ROW(),COLUMN())),0,6)</f>
        <v>119</v>
      </c>
      <c r="C116" s="46">
        <v>1</v>
      </c>
      <c r="D116" s="46"/>
      <c r="E116" s="46"/>
      <c r="F116" s="46"/>
      <c r="G116" s="46">
        <v>1</v>
      </c>
      <c r="H116" s="46">
        <v>119</v>
      </c>
      <c r="I116" s="88" t="s">
        <v>1670</v>
      </c>
      <c r="J116" s="46" t="s">
        <v>1671</v>
      </c>
      <c r="K116" s="46" t="s">
        <v>1672</v>
      </c>
      <c r="L116" s="46" t="s">
        <v>1673</v>
      </c>
      <c r="M116" s="46" t="s">
        <v>1674</v>
      </c>
      <c r="N116" s="46" t="s">
        <v>1675</v>
      </c>
      <c r="O116" s="46" t="s">
        <v>1676</v>
      </c>
      <c r="P116" s="46" t="s">
        <v>1677</v>
      </c>
      <c r="Q116" s="46">
        <v>0</v>
      </c>
      <c r="R116" s="48" t="s">
        <v>132</v>
      </c>
      <c r="S116" s="49">
        <v>0</v>
      </c>
      <c r="T116" s="48" t="s">
        <v>111</v>
      </c>
      <c r="U116" s="50">
        <v>0</v>
      </c>
      <c r="V116" s="89" t="s">
        <v>276</v>
      </c>
    </row>
    <row r="117" spans="2:22">
      <c r="B117" s="46" cm="1">
        <f t="array" aca="1" ref="B117" ca="1">OFFSET(INDIRECT(ADDRESS(ROW(),COLUMN())),0,6)</f>
        <v>120</v>
      </c>
      <c r="C117" s="46">
        <v>1</v>
      </c>
      <c r="D117" s="46"/>
      <c r="E117" s="46"/>
      <c r="F117" s="46"/>
      <c r="G117" s="46">
        <v>1</v>
      </c>
      <c r="H117" s="46">
        <v>120</v>
      </c>
      <c r="I117" s="88" t="s">
        <v>277</v>
      </c>
      <c r="J117" s="46" t="s">
        <v>520</v>
      </c>
      <c r="K117" s="46" t="s">
        <v>518</v>
      </c>
      <c r="L117" s="46" t="s">
        <v>518</v>
      </c>
      <c r="M117" s="46" t="s">
        <v>519</v>
      </c>
      <c r="N117" s="46" t="s">
        <v>828</v>
      </c>
      <c r="O117" s="46" t="s">
        <v>829</v>
      </c>
      <c r="P117" s="46" t="s">
        <v>830</v>
      </c>
      <c r="Q117" s="46">
        <v>0</v>
      </c>
      <c r="R117" s="48" t="s">
        <v>132</v>
      </c>
      <c r="S117" s="49">
        <v>0</v>
      </c>
      <c r="T117" s="48" t="s">
        <v>111</v>
      </c>
      <c r="U117" s="50">
        <v>0</v>
      </c>
      <c r="V117" s="89" t="s">
        <v>276</v>
      </c>
    </row>
    <row r="118" spans="2:22">
      <c r="B118" s="46" cm="1">
        <f t="array" aca="1" ref="B118" ca="1">OFFSET(INDIRECT(ADDRESS(ROW(),COLUMN())),0,6)</f>
        <v>121</v>
      </c>
      <c r="C118" s="46">
        <v>1</v>
      </c>
      <c r="D118" s="46"/>
      <c r="E118" s="46"/>
      <c r="F118" s="46"/>
      <c r="G118" s="46">
        <v>1</v>
      </c>
      <c r="H118" s="46">
        <v>121</v>
      </c>
      <c r="I118" s="88" t="s">
        <v>1678</v>
      </c>
      <c r="J118" s="46" t="s">
        <v>1679</v>
      </c>
      <c r="K118" s="46" t="s">
        <v>1680</v>
      </c>
      <c r="L118" s="46" t="s">
        <v>1681</v>
      </c>
      <c r="M118" s="46" t="s">
        <v>1682</v>
      </c>
      <c r="N118" s="46" t="s">
        <v>1683</v>
      </c>
      <c r="O118" s="46" t="s">
        <v>1684</v>
      </c>
      <c r="P118" s="46" t="s">
        <v>1684</v>
      </c>
      <c r="Q118" s="46">
        <v>0</v>
      </c>
      <c r="R118" s="48" t="s">
        <v>132</v>
      </c>
      <c r="S118" s="49">
        <v>0</v>
      </c>
      <c r="T118" s="48" t="s">
        <v>111</v>
      </c>
      <c r="U118" s="50">
        <v>0</v>
      </c>
      <c r="V118" s="89" t="s">
        <v>276</v>
      </c>
    </row>
    <row r="119" spans="2:22">
      <c r="B119" s="46" cm="1">
        <f t="array" aca="1" ref="B119" ca="1">OFFSET(INDIRECT(ADDRESS(ROW(),COLUMN())),0,6)</f>
        <v>122</v>
      </c>
      <c r="C119" s="46">
        <v>1</v>
      </c>
      <c r="D119" s="46"/>
      <c r="E119" s="46"/>
      <c r="F119" s="46"/>
      <c r="G119" s="46">
        <v>1</v>
      </c>
      <c r="H119" s="46">
        <v>122</v>
      </c>
      <c r="I119" s="88" t="s">
        <v>1293</v>
      </c>
      <c r="J119" s="46" t="s">
        <v>1294</v>
      </c>
      <c r="K119" s="46" t="s">
        <v>1685</v>
      </c>
      <c r="L119" s="46" t="s">
        <v>1295</v>
      </c>
      <c r="M119" s="46" t="s">
        <v>1296</v>
      </c>
      <c r="N119" s="46" t="s">
        <v>1297</v>
      </c>
      <c r="O119" s="46" t="s">
        <v>1298</v>
      </c>
      <c r="P119" s="46" t="s">
        <v>1686</v>
      </c>
      <c r="Q119" s="46">
        <v>0</v>
      </c>
      <c r="R119" s="48" t="s">
        <v>132</v>
      </c>
      <c r="S119" s="49">
        <v>0</v>
      </c>
      <c r="T119" s="48" t="s">
        <v>111</v>
      </c>
      <c r="U119" s="50">
        <v>0</v>
      </c>
      <c r="V119" s="89" t="s">
        <v>276</v>
      </c>
    </row>
    <row r="120" spans="2:22">
      <c r="B120" s="46" cm="1">
        <f t="array" aca="1" ref="B120" ca="1">OFFSET(INDIRECT(ADDRESS(ROW(),COLUMN())),0,6)</f>
        <v>123</v>
      </c>
      <c r="C120" s="46">
        <v>1</v>
      </c>
      <c r="D120" s="46"/>
      <c r="E120" s="46"/>
      <c r="F120" s="46"/>
      <c r="G120" s="46">
        <v>1</v>
      </c>
      <c r="H120" s="46">
        <v>123</v>
      </c>
      <c r="I120" s="88" t="s">
        <v>22</v>
      </c>
      <c r="J120" s="46" t="s">
        <v>421</v>
      </c>
      <c r="K120" s="46" t="s">
        <v>420</v>
      </c>
      <c r="L120" s="46" t="s">
        <v>420</v>
      </c>
      <c r="M120" s="46" t="s">
        <v>420</v>
      </c>
      <c r="N120" s="46" t="s">
        <v>753</v>
      </c>
      <c r="O120" s="46" t="s">
        <v>754</v>
      </c>
      <c r="P120" s="46" t="s">
        <v>754</v>
      </c>
      <c r="Q120" s="46">
        <v>0</v>
      </c>
      <c r="R120" s="48" t="s">
        <v>132</v>
      </c>
      <c r="S120" s="49">
        <v>0</v>
      </c>
      <c r="T120" s="48" t="s">
        <v>111</v>
      </c>
      <c r="U120" s="50">
        <v>0</v>
      </c>
      <c r="V120" s="89" t="s">
        <v>276</v>
      </c>
    </row>
    <row r="121" spans="2:22">
      <c r="B121" s="46" cm="1">
        <f t="array" aca="1" ref="B121" ca="1">OFFSET(INDIRECT(ADDRESS(ROW(),COLUMN())),0,6)</f>
        <v>124</v>
      </c>
      <c r="C121" s="46">
        <v>1</v>
      </c>
      <c r="D121" s="46"/>
      <c r="E121" s="46"/>
      <c r="F121" s="46"/>
      <c r="G121" s="46">
        <v>1</v>
      </c>
      <c r="H121" s="46">
        <v>124</v>
      </c>
      <c r="I121" s="88" t="s">
        <v>23</v>
      </c>
      <c r="J121" s="46" t="s">
        <v>419</v>
      </c>
      <c r="K121" s="46" t="s">
        <v>417</v>
      </c>
      <c r="L121" s="46" t="s">
        <v>418</v>
      </c>
      <c r="M121" s="46" t="s">
        <v>417</v>
      </c>
      <c r="N121" s="46" t="s">
        <v>751</v>
      </c>
      <c r="O121" s="46" t="s">
        <v>752</v>
      </c>
      <c r="P121" s="46" t="s">
        <v>419</v>
      </c>
      <c r="Q121" s="46">
        <v>0</v>
      </c>
      <c r="R121" s="48" t="s">
        <v>132</v>
      </c>
      <c r="S121" s="49">
        <v>0</v>
      </c>
      <c r="T121" s="48" t="s">
        <v>111</v>
      </c>
      <c r="U121" s="50">
        <v>0</v>
      </c>
      <c r="V121" s="89" t="s">
        <v>276</v>
      </c>
    </row>
    <row r="122" spans="2:22">
      <c r="B122" s="46" cm="1">
        <f t="array" aca="1" ref="B122" ca="1">OFFSET(INDIRECT(ADDRESS(ROW(),COLUMN())),0,6)</f>
        <v>125</v>
      </c>
      <c r="C122" s="46">
        <v>1</v>
      </c>
      <c r="D122" s="46"/>
      <c r="E122" s="46"/>
      <c r="F122" s="46"/>
      <c r="G122" s="46">
        <v>1</v>
      </c>
      <c r="H122" s="46">
        <v>125</v>
      </c>
      <c r="I122" s="88" t="s">
        <v>278</v>
      </c>
      <c r="J122" s="46" t="s">
        <v>523</v>
      </c>
      <c r="K122" s="46" t="s">
        <v>682</v>
      </c>
      <c r="L122" s="46" t="s">
        <v>521</v>
      </c>
      <c r="M122" s="46" t="s">
        <v>522</v>
      </c>
      <c r="N122" s="46" t="s">
        <v>831</v>
      </c>
      <c r="O122" s="46" t="s">
        <v>832</v>
      </c>
      <c r="P122" s="46" t="s">
        <v>833</v>
      </c>
      <c r="Q122" s="46">
        <v>0</v>
      </c>
      <c r="R122" s="48" t="s">
        <v>132</v>
      </c>
      <c r="S122" s="49">
        <v>0</v>
      </c>
      <c r="T122" s="48" t="s">
        <v>111</v>
      </c>
      <c r="U122" s="50">
        <v>0</v>
      </c>
      <c r="V122" s="89" t="s">
        <v>276</v>
      </c>
    </row>
    <row r="123" spans="2:22">
      <c r="B123" s="46" cm="1">
        <f t="array" aca="1" ref="B123" ca="1">OFFSET(INDIRECT(ADDRESS(ROW(),COLUMN())),0,6)</f>
        <v>126</v>
      </c>
      <c r="C123" s="46">
        <v>1</v>
      </c>
      <c r="D123" s="46"/>
      <c r="E123" s="46"/>
      <c r="F123" s="46"/>
      <c r="G123" s="46">
        <v>1</v>
      </c>
      <c r="H123" s="46">
        <v>126</v>
      </c>
      <c r="I123" s="88" t="s">
        <v>1299</v>
      </c>
      <c r="J123" s="46" t="s">
        <v>1300</v>
      </c>
      <c r="K123" s="46" t="s">
        <v>1301</v>
      </c>
      <c r="L123" s="46" t="s">
        <v>1302</v>
      </c>
      <c r="M123" s="46" t="s">
        <v>1303</v>
      </c>
      <c r="N123" s="46" t="s">
        <v>1304</v>
      </c>
      <c r="O123" s="46" t="s">
        <v>1305</v>
      </c>
      <c r="P123" s="46" t="s">
        <v>1306</v>
      </c>
      <c r="Q123" s="46">
        <v>0</v>
      </c>
      <c r="R123" s="48" t="s">
        <v>132</v>
      </c>
      <c r="S123" s="49">
        <v>0</v>
      </c>
      <c r="T123" s="48" t="s">
        <v>111</v>
      </c>
      <c r="U123" s="50">
        <v>0</v>
      </c>
      <c r="V123" s="89" t="s">
        <v>276</v>
      </c>
    </row>
    <row r="124" spans="2:22">
      <c r="B124" s="46" cm="1">
        <f t="array" aca="1" ref="B124" ca="1">OFFSET(INDIRECT(ADDRESS(ROW(),COLUMN())),0,6)</f>
        <v>127</v>
      </c>
      <c r="C124" s="46">
        <v>1</v>
      </c>
      <c r="D124" s="46"/>
      <c r="E124" s="46"/>
      <c r="F124" s="46"/>
      <c r="G124" s="46">
        <v>1</v>
      </c>
      <c r="H124" s="46">
        <v>127</v>
      </c>
      <c r="I124" s="88" t="s">
        <v>1307</v>
      </c>
      <c r="J124" s="46" t="s">
        <v>1308</v>
      </c>
      <c r="K124" s="46" t="s">
        <v>1309</v>
      </c>
      <c r="L124" s="46" t="s">
        <v>1310</v>
      </c>
      <c r="M124" s="46" t="s">
        <v>1311</v>
      </c>
      <c r="N124" s="46" t="s">
        <v>1312</v>
      </c>
      <c r="O124" s="46" t="s">
        <v>1313</v>
      </c>
      <c r="P124" s="46" t="s">
        <v>1314</v>
      </c>
      <c r="Q124" s="46">
        <v>0</v>
      </c>
      <c r="R124" s="48" t="s">
        <v>132</v>
      </c>
      <c r="S124" s="49">
        <v>0</v>
      </c>
      <c r="T124" s="48" t="s">
        <v>111</v>
      </c>
      <c r="U124" s="50">
        <v>0</v>
      </c>
      <c r="V124" s="89" t="s">
        <v>276</v>
      </c>
    </row>
    <row r="125" spans="2:22">
      <c r="B125" s="46" cm="1">
        <f t="array" aca="1" ref="B125" ca="1">OFFSET(INDIRECT(ADDRESS(ROW(),COLUMN())),0,6)</f>
        <v>128</v>
      </c>
      <c r="C125" s="46">
        <v>1</v>
      </c>
      <c r="D125" s="46"/>
      <c r="E125" s="46"/>
      <c r="F125" s="46"/>
      <c r="G125" s="46">
        <v>1</v>
      </c>
      <c r="H125" s="46">
        <v>128</v>
      </c>
      <c r="I125" s="88" t="s">
        <v>279</v>
      </c>
      <c r="J125" s="46" t="s">
        <v>527</v>
      </c>
      <c r="K125" s="46" t="s">
        <v>524</v>
      </c>
      <c r="L125" s="46" t="s">
        <v>525</v>
      </c>
      <c r="M125" s="46" t="s">
        <v>526</v>
      </c>
      <c r="N125" s="46" t="s">
        <v>834</v>
      </c>
      <c r="O125" s="46" t="s">
        <v>835</v>
      </c>
      <c r="P125" s="46" t="s">
        <v>836</v>
      </c>
      <c r="Q125" s="46">
        <v>0</v>
      </c>
      <c r="R125" s="48" t="s">
        <v>132</v>
      </c>
      <c r="S125" s="49">
        <v>0</v>
      </c>
      <c r="T125" s="48" t="s">
        <v>111</v>
      </c>
      <c r="U125" s="50">
        <v>0</v>
      </c>
      <c r="V125" s="89" t="s">
        <v>276</v>
      </c>
    </row>
    <row r="126" spans="2:22">
      <c r="B126" s="46" cm="1">
        <f t="array" aca="1" ref="B126" ca="1">OFFSET(INDIRECT(ADDRESS(ROW(),COLUMN())),0,6)</f>
        <v>129</v>
      </c>
      <c r="C126" s="46">
        <v>1</v>
      </c>
      <c r="D126" s="46"/>
      <c r="E126" s="46"/>
      <c r="F126" s="46"/>
      <c r="G126" s="46">
        <v>1</v>
      </c>
      <c r="H126" s="46">
        <v>129</v>
      </c>
      <c r="I126" s="88" t="s">
        <v>280</v>
      </c>
      <c r="J126" s="46" t="s">
        <v>531</v>
      </c>
      <c r="K126" s="46" t="s">
        <v>528</v>
      </c>
      <c r="L126" s="46" t="s">
        <v>529</v>
      </c>
      <c r="M126" s="46" t="s">
        <v>530</v>
      </c>
      <c r="N126" s="46" t="s">
        <v>837</v>
      </c>
      <c r="O126" s="46" t="s">
        <v>838</v>
      </c>
      <c r="P126" s="46" t="s">
        <v>838</v>
      </c>
      <c r="Q126" s="46">
        <v>0</v>
      </c>
      <c r="R126" s="48" t="s">
        <v>132</v>
      </c>
      <c r="S126" s="49">
        <v>0</v>
      </c>
      <c r="T126" s="48" t="s">
        <v>111</v>
      </c>
      <c r="U126" s="50">
        <v>0</v>
      </c>
      <c r="V126" s="89" t="s">
        <v>276</v>
      </c>
    </row>
    <row r="127" spans="2:22">
      <c r="B127" s="46" cm="1">
        <f t="array" aca="1" ref="B127" ca="1">OFFSET(INDIRECT(ADDRESS(ROW(),COLUMN())),0,6)</f>
        <v>130</v>
      </c>
      <c r="C127" s="46">
        <v>1</v>
      </c>
      <c r="D127" s="46"/>
      <c r="E127" s="46"/>
      <c r="F127" s="46"/>
      <c r="G127" s="46">
        <v>1</v>
      </c>
      <c r="H127" s="46">
        <v>130</v>
      </c>
      <c r="I127" s="88" t="s">
        <v>22</v>
      </c>
      <c r="J127" s="46" t="s">
        <v>421</v>
      </c>
      <c r="K127" s="46" t="s">
        <v>420</v>
      </c>
      <c r="L127" s="46" t="s">
        <v>420</v>
      </c>
      <c r="M127" s="46" t="s">
        <v>420</v>
      </c>
      <c r="N127" s="46" t="s">
        <v>753</v>
      </c>
      <c r="O127" s="46" t="s">
        <v>754</v>
      </c>
      <c r="P127" s="46" t="s">
        <v>754</v>
      </c>
      <c r="Q127" s="46">
        <v>0</v>
      </c>
      <c r="R127" s="48" t="s">
        <v>132</v>
      </c>
      <c r="S127" s="49">
        <v>0</v>
      </c>
      <c r="T127" s="48" t="s">
        <v>111</v>
      </c>
      <c r="U127" s="50">
        <v>0</v>
      </c>
      <c r="V127" s="89" t="s">
        <v>276</v>
      </c>
    </row>
    <row r="128" spans="2:22">
      <c r="B128" s="46" cm="1">
        <f t="array" aca="1" ref="B128" ca="1">OFFSET(INDIRECT(ADDRESS(ROW(),COLUMN())),0,6)</f>
        <v>131</v>
      </c>
      <c r="C128" s="46">
        <v>1</v>
      </c>
      <c r="D128" s="46"/>
      <c r="E128" s="46"/>
      <c r="F128" s="46"/>
      <c r="G128" s="46">
        <v>1</v>
      </c>
      <c r="H128" s="46">
        <v>131</v>
      </c>
      <c r="I128" s="88" t="s">
        <v>23</v>
      </c>
      <c r="J128" s="46" t="s">
        <v>419</v>
      </c>
      <c r="K128" s="46" t="s">
        <v>417</v>
      </c>
      <c r="L128" s="46" t="s">
        <v>418</v>
      </c>
      <c r="M128" s="46" t="s">
        <v>417</v>
      </c>
      <c r="N128" s="46" t="s">
        <v>751</v>
      </c>
      <c r="O128" s="46" t="s">
        <v>752</v>
      </c>
      <c r="P128" s="46" t="s">
        <v>419</v>
      </c>
      <c r="Q128" s="46">
        <v>0</v>
      </c>
      <c r="R128" s="48" t="s">
        <v>132</v>
      </c>
      <c r="S128" s="49">
        <v>0</v>
      </c>
      <c r="T128" s="48" t="s">
        <v>111</v>
      </c>
      <c r="U128" s="50">
        <v>0</v>
      </c>
      <c r="V128" s="89" t="s">
        <v>276</v>
      </c>
    </row>
    <row r="129" spans="2:22">
      <c r="B129" s="46" cm="1">
        <f t="array" aca="1" ref="B129" ca="1">OFFSET(INDIRECT(ADDRESS(ROW(),COLUMN())),0,6)</f>
        <v>132</v>
      </c>
      <c r="C129" s="46">
        <v>1</v>
      </c>
      <c r="D129" s="46"/>
      <c r="E129" s="46"/>
      <c r="F129" s="46"/>
      <c r="G129" s="46">
        <v>1</v>
      </c>
      <c r="H129" s="46">
        <v>132</v>
      </c>
      <c r="I129" s="88" t="s">
        <v>281</v>
      </c>
      <c r="J129" s="46" t="s">
        <v>533</v>
      </c>
      <c r="K129" s="46" t="s">
        <v>683</v>
      </c>
      <c r="L129" s="46" t="s">
        <v>532</v>
      </c>
      <c r="M129" s="46" t="s">
        <v>989</v>
      </c>
      <c r="N129" s="46" t="s">
        <v>839</v>
      </c>
      <c r="O129" s="46" t="s">
        <v>840</v>
      </c>
      <c r="P129" s="46" t="s">
        <v>841</v>
      </c>
      <c r="Q129" s="46">
        <v>0</v>
      </c>
      <c r="R129" s="48" t="s">
        <v>132</v>
      </c>
      <c r="S129" s="49">
        <v>0</v>
      </c>
      <c r="T129" s="48" t="s">
        <v>255</v>
      </c>
      <c r="U129" s="50">
        <v>21</v>
      </c>
      <c r="V129" s="89" t="s">
        <v>282</v>
      </c>
    </row>
    <row r="130" spans="2:22">
      <c r="B130" s="46" cm="1">
        <f t="array" aca="1" ref="B130" ca="1">OFFSET(INDIRECT(ADDRESS(ROW(),COLUMN())),0,6)</f>
        <v>133</v>
      </c>
      <c r="C130" s="46">
        <v>1</v>
      </c>
      <c r="D130" s="46"/>
      <c r="E130" s="46"/>
      <c r="F130" s="46"/>
      <c r="G130" s="46">
        <v>1</v>
      </c>
      <c r="H130" s="46">
        <v>133</v>
      </c>
      <c r="I130" s="88" t="s">
        <v>1687</v>
      </c>
      <c r="J130" s="46" t="s">
        <v>1688</v>
      </c>
      <c r="K130" s="46" t="s">
        <v>1689</v>
      </c>
      <c r="L130" s="46" t="s">
        <v>1690</v>
      </c>
      <c r="M130" s="46" t="s">
        <v>1691</v>
      </c>
      <c r="N130" s="46" t="s">
        <v>1692</v>
      </c>
      <c r="O130" s="46" t="s">
        <v>1693</v>
      </c>
      <c r="P130" s="46" t="s">
        <v>1694</v>
      </c>
      <c r="Q130" s="46">
        <v>0</v>
      </c>
      <c r="R130" s="48" t="s">
        <v>132</v>
      </c>
      <c r="S130" s="49">
        <v>0</v>
      </c>
      <c r="T130" s="48" t="s">
        <v>111</v>
      </c>
      <c r="U130" s="50">
        <v>0</v>
      </c>
      <c r="V130" s="89" t="s">
        <v>276</v>
      </c>
    </row>
    <row r="131" spans="2:22">
      <c r="B131" s="46" cm="1">
        <f t="array" aca="1" ref="B131" ca="1">OFFSET(INDIRECT(ADDRESS(ROW(),COLUMN())),0,6)</f>
        <v>134</v>
      </c>
      <c r="C131" s="46">
        <v>1</v>
      </c>
      <c r="D131" s="46"/>
      <c r="E131" s="46"/>
      <c r="F131" s="46"/>
      <c r="G131" s="46">
        <v>1</v>
      </c>
      <c r="H131" s="46">
        <v>134</v>
      </c>
      <c r="I131" s="88" t="s">
        <v>1315</v>
      </c>
      <c r="J131" s="46" t="s">
        <v>1316</v>
      </c>
      <c r="K131" s="46" t="s">
        <v>1695</v>
      </c>
      <c r="L131" s="46" t="s">
        <v>1317</v>
      </c>
      <c r="M131" s="46" t="s">
        <v>1318</v>
      </c>
      <c r="N131" s="46" t="s">
        <v>1319</v>
      </c>
      <c r="O131" s="46" t="s">
        <v>1320</v>
      </c>
      <c r="P131" s="46" t="s">
        <v>1696</v>
      </c>
      <c r="Q131" s="46">
        <v>0</v>
      </c>
      <c r="R131" s="48" t="s">
        <v>132</v>
      </c>
      <c r="S131" s="49">
        <v>0</v>
      </c>
      <c r="T131" s="48" t="s">
        <v>111</v>
      </c>
      <c r="U131" s="50">
        <v>0</v>
      </c>
      <c r="V131" s="89" t="s">
        <v>276</v>
      </c>
    </row>
    <row r="132" spans="2:22">
      <c r="B132" s="46" cm="1">
        <f t="array" aca="1" ref="B132" ca="1">OFFSET(INDIRECT(ADDRESS(ROW(),COLUMN())),0,6)</f>
        <v>135</v>
      </c>
      <c r="C132" s="46">
        <v>1</v>
      </c>
      <c r="D132" s="46"/>
      <c r="E132" s="46"/>
      <c r="F132" s="46"/>
      <c r="G132" s="46">
        <v>1</v>
      </c>
      <c r="H132" s="46">
        <v>135</v>
      </c>
      <c r="I132" s="88" t="s">
        <v>22</v>
      </c>
      <c r="J132" s="46" t="s">
        <v>421</v>
      </c>
      <c r="K132" s="46" t="s">
        <v>420</v>
      </c>
      <c r="L132" s="46" t="s">
        <v>420</v>
      </c>
      <c r="M132" s="46" t="s">
        <v>420</v>
      </c>
      <c r="N132" s="46" t="s">
        <v>753</v>
      </c>
      <c r="O132" s="46" t="s">
        <v>754</v>
      </c>
      <c r="P132" s="46" t="s">
        <v>754</v>
      </c>
      <c r="Q132" s="46">
        <v>0</v>
      </c>
      <c r="R132" s="48" t="s">
        <v>132</v>
      </c>
      <c r="S132" s="49">
        <v>0</v>
      </c>
      <c r="T132" s="48" t="s">
        <v>111</v>
      </c>
      <c r="U132" s="50">
        <v>0</v>
      </c>
      <c r="V132" s="89" t="s">
        <v>276</v>
      </c>
    </row>
    <row r="133" spans="2:22">
      <c r="B133" s="46" cm="1">
        <f t="array" aca="1" ref="B133" ca="1">OFFSET(INDIRECT(ADDRESS(ROW(),COLUMN())),0,6)</f>
        <v>136</v>
      </c>
      <c r="C133" s="46">
        <v>1</v>
      </c>
      <c r="D133" s="46"/>
      <c r="E133" s="46"/>
      <c r="F133" s="46"/>
      <c r="G133" s="46">
        <v>1</v>
      </c>
      <c r="H133" s="46">
        <v>136</v>
      </c>
      <c r="I133" s="88" t="s">
        <v>23</v>
      </c>
      <c r="J133" s="46" t="s">
        <v>419</v>
      </c>
      <c r="K133" s="46" t="s">
        <v>417</v>
      </c>
      <c r="L133" s="46" t="s">
        <v>418</v>
      </c>
      <c r="M133" s="46" t="s">
        <v>417</v>
      </c>
      <c r="N133" s="46" t="s">
        <v>751</v>
      </c>
      <c r="O133" s="46" t="s">
        <v>752</v>
      </c>
      <c r="P133" s="46" t="s">
        <v>419</v>
      </c>
      <c r="Q133" s="46">
        <v>0</v>
      </c>
      <c r="R133" s="48" t="s">
        <v>132</v>
      </c>
      <c r="S133" s="49">
        <v>0</v>
      </c>
      <c r="T133" s="48" t="s">
        <v>111</v>
      </c>
      <c r="U133" s="50">
        <v>0</v>
      </c>
      <c r="V133" s="89" t="s">
        <v>276</v>
      </c>
    </row>
    <row r="134" spans="2:22">
      <c r="B134" s="46" cm="1">
        <f t="array" aca="1" ref="B134" ca="1">OFFSET(INDIRECT(ADDRESS(ROW(),COLUMN())),0,6)</f>
        <v>137</v>
      </c>
      <c r="C134" s="46">
        <v>1</v>
      </c>
      <c r="D134" s="46"/>
      <c r="E134" s="46"/>
      <c r="F134" s="46"/>
      <c r="G134" s="46">
        <v>1</v>
      </c>
      <c r="H134" s="46">
        <v>137</v>
      </c>
      <c r="I134" s="88" t="s">
        <v>1678</v>
      </c>
      <c r="J134" s="46" t="s">
        <v>1679</v>
      </c>
      <c r="K134" s="46" t="s">
        <v>1680</v>
      </c>
      <c r="L134" s="46" t="s">
        <v>1681</v>
      </c>
      <c r="M134" s="46" t="s">
        <v>1682</v>
      </c>
      <c r="N134" s="46" t="s">
        <v>1683</v>
      </c>
      <c r="O134" s="46" t="s">
        <v>1684</v>
      </c>
      <c r="P134" s="46" t="s">
        <v>1684</v>
      </c>
      <c r="Q134" s="46">
        <v>0</v>
      </c>
      <c r="R134" s="48" t="s">
        <v>132</v>
      </c>
      <c r="S134" s="49">
        <v>0</v>
      </c>
      <c r="T134" s="48" t="s">
        <v>111</v>
      </c>
      <c r="U134" s="50">
        <v>0</v>
      </c>
      <c r="V134" s="89" t="s">
        <v>276</v>
      </c>
    </row>
    <row r="135" spans="2:22">
      <c r="B135" s="46" cm="1">
        <f t="array" aca="1" ref="B135" ca="1">OFFSET(INDIRECT(ADDRESS(ROW(),COLUMN())),0,6)</f>
        <v>138</v>
      </c>
      <c r="C135" s="46">
        <v>1</v>
      </c>
      <c r="D135" s="46"/>
      <c r="E135" s="46"/>
      <c r="F135" s="46"/>
      <c r="G135" s="46">
        <v>1</v>
      </c>
      <c r="H135" s="46">
        <v>138</v>
      </c>
      <c r="I135" s="88" t="s">
        <v>1697</v>
      </c>
      <c r="J135" s="46" t="s">
        <v>1698</v>
      </c>
      <c r="K135" s="46" t="s">
        <v>1699</v>
      </c>
      <c r="L135" s="46" t="s">
        <v>1700</v>
      </c>
      <c r="M135" s="46" t="s">
        <v>1701</v>
      </c>
      <c r="N135" s="46" t="s">
        <v>1702</v>
      </c>
      <c r="O135" s="46" t="s">
        <v>1703</v>
      </c>
      <c r="P135" s="46" t="s">
        <v>1704</v>
      </c>
      <c r="Q135" s="46">
        <v>0</v>
      </c>
      <c r="R135" s="48" t="s">
        <v>132</v>
      </c>
      <c r="S135" s="49">
        <v>0</v>
      </c>
      <c r="T135" s="48" t="s">
        <v>111</v>
      </c>
      <c r="U135" s="50">
        <v>0</v>
      </c>
      <c r="V135" s="89" t="s">
        <v>276</v>
      </c>
    </row>
    <row r="136" spans="2:22">
      <c r="B136" s="46" cm="1">
        <f t="array" aca="1" ref="B136" ca="1">OFFSET(INDIRECT(ADDRESS(ROW(),COLUMN())),0,6)</f>
        <v>139</v>
      </c>
      <c r="C136" s="46">
        <v>1</v>
      </c>
      <c r="D136" s="46"/>
      <c r="E136" s="46"/>
      <c r="F136" s="46"/>
      <c r="G136" s="46">
        <v>1</v>
      </c>
      <c r="H136" s="46">
        <v>139</v>
      </c>
      <c r="I136" s="88" t="s">
        <v>23</v>
      </c>
      <c r="J136" s="46" t="s">
        <v>419</v>
      </c>
      <c r="K136" s="46" t="s">
        <v>417</v>
      </c>
      <c r="L136" s="46" t="s">
        <v>418</v>
      </c>
      <c r="M136" s="46" t="s">
        <v>417</v>
      </c>
      <c r="N136" s="46" t="s">
        <v>751</v>
      </c>
      <c r="O136" s="46" t="s">
        <v>752</v>
      </c>
      <c r="P136" s="46" t="s">
        <v>419</v>
      </c>
      <c r="Q136" s="46">
        <v>0</v>
      </c>
      <c r="R136" s="48" t="s">
        <v>132</v>
      </c>
      <c r="S136" s="49">
        <v>0</v>
      </c>
      <c r="T136" s="48" t="s">
        <v>111</v>
      </c>
      <c r="U136" s="50">
        <v>0</v>
      </c>
      <c r="V136" s="89" t="s">
        <v>276</v>
      </c>
    </row>
    <row r="137" spans="2:22">
      <c r="B137" s="46" cm="1">
        <f t="array" aca="1" ref="B137" ca="1">OFFSET(INDIRECT(ADDRESS(ROW(),COLUMN())),0,6)</f>
        <v>140</v>
      </c>
      <c r="C137" s="46">
        <v>1</v>
      </c>
      <c r="D137" s="46"/>
      <c r="E137" s="46"/>
      <c r="F137" s="46"/>
      <c r="G137" s="46">
        <v>1</v>
      </c>
      <c r="H137" s="46">
        <v>140</v>
      </c>
      <c r="I137" s="88" t="s">
        <v>1321</v>
      </c>
      <c r="J137" s="46" t="s">
        <v>1322</v>
      </c>
      <c r="K137" s="46" t="s">
        <v>1705</v>
      </c>
      <c r="L137" s="46" t="s">
        <v>1323</v>
      </c>
      <c r="M137" s="46" t="s">
        <v>1324</v>
      </c>
      <c r="N137" s="46" t="s">
        <v>1325</v>
      </c>
      <c r="O137" s="46" t="s">
        <v>1326</v>
      </c>
      <c r="P137" s="46" t="s">
        <v>1706</v>
      </c>
      <c r="Q137" s="46">
        <v>0</v>
      </c>
      <c r="R137" s="48" t="s">
        <v>132</v>
      </c>
      <c r="S137" s="49">
        <v>0</v>
      </c>
      <c r="T137" s="48" t="s">
        <v>111</v>
      </c>
      <c r="U137" s="50">
        <v>0</v>
      </c>
      <c r="V137" s="89" t="s">
        <v>276</v>
      </c>
    </row>
    <row r="138" spans="2:22">
      <c r="B138" s="46" cm="1">
        <f t="array" aca="1" ref="B138" ca="1">OFFSET(INDIRECT(ADDRESS(ROW(),COLUMN())),0,6)</f>
        <v>141</v>
      </c>
      <c r="C138" s="46">
        <v>1</v>
      </c>
      <c r="D138" s="46"/>
      <c r="E138" s="46"/>
      <c r="F138" s="46"/>
      <c r="G138" s="46">
        <v>1</v>
      </c>
      <c r="H138" s="46">
        <v>141</v>
      </c>
      <c r="I138" s="88" t="s">
        <v>1707</v>
      </c>
      <c r="J138" s="46" t="s">
        <v>1708</v>
      </c>
      <c r="K138" s="46" t="s">
        <v>1709</v>
      </c>
      <c r="L138" s="46" t="s">
        <v>1710</v>
      </c>
      <c r="M138" s="46" t="s">
        <v>1711</v>
      </c>
      <c r="N138" s="46" t="s">
        <v>1712</v>
      </c>
      <c r="O138" s="46" t="s">
        <v>1713</v>
      </c>
      <c r="P138" s="46" t="s">
        <v>1714</v>
      </c>
      <c r="Q138" s="46">
        <v>0</v>
      </c>
      <c r="R138" s="48" t="s">
        <v>132</v>
      </c>
      <c r="S138" s="49">
        <v>0</v>
      </c>
      <c r="T138" s="48" t="s">
        <v>111</v>
      </c>
      <c r="U138" s="50">
        <v>0</v>
      </c>
      <c r="V138" s="89" t="s">
        <v>276</v>
      </c>
    </row>
    <row r="139" spans="2:22">
      <c r="B139" s="46" cm="1">
        <f t="array" aca="1" ref="B139" ca="1">OFFSET(INDIRECT(ADDRESS(ROW(),COLUMN())),0,6)</f>
        <v>142</v>
      </c>
      <c r="C139" s="46">
        <v>1</v>
      </c>
      <c r="D139" s="46"/>
      <c r="E139" s="46"/>
      <c r="F139" s="46"/>
      <c r="G139" s="46">
        <v>1</v>
      </c>
      <c r="H139" s="46">
        <v>142</v>
      </c>
      <c r="I139" s="88" t="s">
        <v>1327</v>
      </c>
      <c r="J139" s="46" t="s">
        <v>1328</v>
      </c>
      <c r="K139" s="46" t="s">
        <v>1715</v>
      </c>
      <c r="L139" s="46" t="s">
        <v>1329</v>
      </c>
      <c r="M139" s="46" t="s">
        <v>1330</v>
      </c>
      <c r="N139" s="46" t="s">
        <v>1331</v>
      </c>
      <c r="O139" s="46" t="s">
        <v>1332</v>
      </c>
      <c r="P139" s="46" t="s">
        <v>1716</v>
      </c>
      <c r="Q139" s="46">
        <v>0</v>
      </c>
      <c r="R139" s="48" t="s">
        <v>132</v>
      </c>
      <c r="S139" s="49">
        <v>0</v>
      </c>
      <c r="T139" s="48" t="s">
        <v>111</v>
      </c>
      <c r="U139" s="50">
        <v>0</v>
      </c>
      <c r="V139" s="89" t="s">
        <v>276</v>
      </c>
    </row>
    <row r="140" spans="2:22">
      <c r="B140" s="46" cm="1">
        <f t="array" aca="1" ref="B140" ca="1">OFFSET(INDIRECT(ADDRESS(ROW(),COLUMN())),0,6)</f>
        <v>143</v>
      </c>
      <c r="C140" s="46">
        <v>1</v>
      </c>
      <c r="D140" s="46"/>
      <c r="E140" s="46"/>
      <c r="F140" s="46"/>
      <c r="G140" s="46">
        <v>1</v>
      </c>
      <c r="H140" s="46">
        <v>143</v>
      </c>
      <c r="I140" s="88" t="s">
        <v>1333</v>
      </c>
      <c r="J140" s="46" t="s">
        <v>1334</v>
      </c>
      <c r="K140" s="46" t="s">
        <v>1335</v>
      </c>
      <c r="L140" s="46" t="s">
        <v>1336</v>
      </c>
      <c r="M140" s="46" t="s">
        <v>1337</v>
      </c>
      <c r="N140" s="46" t="s">
        <v>1338</v>
      </c>
      <c r="O140" s="46" t="s">
        <v>1339</v>
      </c>
      <c r="P140" s="46" t="s">
        <v>1340</v>
      </c>
      <c r="Q140" s="46">
        <v>0</v>
      </c>
      <c r="R140" s="48" t="s">
        <v>132</v>
      </c>
      <c r="S140" s="49">
        <v>0</v>
      </c>
      <c r="T140" s="48" t="s">
        <v>111</v>
      </c>
      <c r="U140" s="50">
        <v>0</v>
      </c>
      <c r="V140" s="89" t="s">
        <v>276</v>
      </c>
    </row>
    <row r="141" spans="2:22">
      <c r="B141" s="46" cm="1">
        <f t="array" aca="1" ref="B141" ca="1">OFFSET(INDIRECT(ADDRESS(ROW(),COLUMN())),0,6)</f>
        <v>144</v>
      </c>
      <c r="C141" s="46">
        <v>1</v>
      </c>
      <c r="D141" s="46"/>
      <c r="E141" s="46"/>
      <c r="F141" s="46"/>
      <c r="G141" s="46">
        <v>1</v>
      </c>
      <c r="H141" s="46">
        <v>144</v>
      </c>
      <c r="I141" s="88" t="s">
        <v>23</v>
      </c>
      <c r="J141" s="46" t="s">
        <v>419</v>
      </c>
      <c r="K141" s="46" t="s">
        <v>417</v>
      </c>
      <c r="L141" s="46" t="s">
        <v>418</v>
      </c>
      <c r="M141" s="46" t="s">
        <v>417</v>
      </c>
      <c r="N141" s="46" t="s">
        <v>751</v>
      </c>
      <c r="O141" s="46" t="s">
        <v>752</v>
      </c>
      <c r="P141" s="46" t="s">
        <v>419</v>
      </c>
      <c r="Q141" s="46">
        <v>0</v>
      </c>
      <c r="R141" s="48" t="s">
        <v>132</v>
      </c>
      <c r="S141" s="49">
        <v>0</v>
      </c>
      <c r="T141" s="48" t="s">
        <v>111</v>
      </c>
      <c r="U141" s="50">
        <v>0</v>
      </c>
      <c r="V141" s="89" t="s">
        <v>276</v>
      </c>
    </row>
    <row r="142" spans="2:22">
      <c r="B142" s="46" cm="1">
        <f t="array" aca="1" ref="B142" ca="1">OFFSET(INDIRECT(ADDRESS(ROW(),COLUMN())),0,6)</f>
        <v>145</v>
      </c>
      <c r="C142" s="46">
        <v>1</v>
      </c>
      <c r="D142" s="46"/>
      <c r="E142" s="46"/>
      <c r="F142" s="46"/>
      <c r="G142" s="46">
        <v>1</v>
      </c>
      <c r="H142" s="46">
        <v>145</v>
      </c>
      <c r="I142" s="88" t="s">
        <v>1717</v>
      </c>
      <c r="J142" s="46" t="s">
        <v>1718</v>
      </c>
      <c r="K142" s="46" t="s">
        <v>1719</v>
      </c>
      <c r="L142" s="46" t="s">
        <v>1720</v>
      </c>
      <c r="M142" s="46" t="s">
        <v>1721</v>
      </c>
      <c r="N142" s="46" t="s">
        <v>1722</v>
      </c>
      <c r="O142" s="46" t="s">
        <v>1723</v>
      </c>
      <c r="P142" s="46" t="s">
        <v>1724</v>
      </c>
      <c r="Q142" s="46">
        <v>0</v>
      </c>
      <c r="R142" s="48" t="s">
        <v>132</v>
      </c>
      <c r="S142" s="49">
        <v>0</v>
      </c>
      <c r="T142" s="48" t="s">
        <v>111</v>
      </c>
      <c r="U142" s="50">
        <v>0</v>
      </c>
      <c r="V142" s="89" t="s">
        <v>276</v>
      </c>
    </row>
    <row r="143" spans="2:22">
      <c r="B143" s="46" cm="1">
        <f t="array" aca="1" ref="B143" ca="1">OFFSET(INDIRECT(ADDRESS(ROW(),COLUMN())),0,6)</f>
        <v>146</v>
      </c>
      <c r="C143" s="46">
        <v>1</v>
      </c>
      <c r="D143" s="46"/>
      <c r="E143" s="46"/>
      <c r="F143" s="46"/>
      <c r="G143" s="46">
        <v>1</v>
      </c>
      <c r="H143" s="46">
        <v>146</v>
      </c>
      <c r="I143" s="88" t="s">
        <v>1725</v>
      </c>
      <c r="J143" s="46" t="s">
        <v>1726</v>
      </c>
      <c r="K143" s="46" t="s">
        <v>1727</v>
      </c>
      <c r="L143" s="46" t="s">
        <v>1728</v>
      </c>
      <c r="M143" s="46" t="s">
        <v>1729</v>
      </c>
      <c r="N143" s="46" t="s">
        <v>1730</v>
      </c>
      <c r="O143" s="46" t="s">
        <v>1731</v>
      </c>
      <c r="P143" s="46" t="s">
        <v>1732</v>
      </c>
      <c r="Q143" s="46">
        <v>0</v>
      </c>
      <c r="R143" s="48" t="s">
        <v>132</v>
      </c>
      <c r="S143" s="49">
        <v>0</v>
      </c>
      <c r="T143" s="48" t="s">
        <v>111</v>
      </c>
      <c r="U143" s="50">
        <v>0</v>
      </c>
      <c r="V143" s="89" t="s">
        <v>276</v>
      </c>
    </row>
    <row r="144" spans="2:22">
      <c r="B144" s="46" cm="1">
        <f t="array" aca="1" ref="B144" ca="1">OFFSET(INDIRECT(ADDRESS(ROW(),COLUMN())),0,6)</f>
        <v>147</v>
      </c>
      <c r="C144" s="46">
        <v>1</v>
      </c>
      <c r="D144" s="46"/>
      <c r="E144" s="46"/>
      <c r="F144" s="46"/>
      <c r="G144" s="46">
        <v>1</v>
      </c>
      <c r="H144" s="46">
        <v>147</v>
      </c>
      <c r="I144" s="88" t="s">
        <v>23</v>
      </c>
      <c r="J144" s="46" t="s">
        <v>419</v>
      </c>
      <c r="K144" s="46" t="s">
        <v>417</v>
      </c>
      <c r="L144" s="46" t="s">
        <v>418</v>
      </c>
      <c r="M144" s="46" t="s">
        <v>417</v>
      </c>
      <c r="N144" s="46" t="s">
        <v>751</v>
      </c>
      <c r="O144" s="46" t="s">
        <v>752</v>
      </c>
      <c r="P144" s="46" t="s">
        <v>419</v>
      </c>
      <c r="Q144" s="46">
        <v>0</v>
      </c>
      <c r="R144" s="48" t="s">
        <v>132</v>
      </c>
      <c r="S144" s="49">
        <v>0</v>
      </c>
      <c r="T144" s="48" t="s">
        <v>111</v>
      </c>
      <c r="U144" s="50">
        <v>0</v>
      </c>
      <c r="V144" s="89" t="s">
        <v>276</v>
      </c>
    </row>
    <row r="145" spans="2:22">
      <c r="B145" s="46" cm="1">
        <f t="array" aca="1" ref="B145" ca="1">OFFSET(INDIRECT(ADDRESS(ROW(),COLUMN())),0,6)</f>
        <v>148</v>
      </c>
      <c r="C145" s="46">
        <v>1</v>
      </c>
      <c r="D145" s="46"/>
      <c r="E145" s="46"/>
      <c r="F145" s="46"/>
      <c r="G145" s="46">
        <v>1</v>
      </c>
      <c r="H145" s="46">
        <v>148</v>
      </c>
      <c r="I145" s="88" t="s">
        <v>283</v>
      </c>
      <c r="J145" s="46" t="s">
        <v>537</v>
      </c>
      <c r="K145" s="46" t="s">
        <v>534</v>
      </c>
      <c r="L145" s="46" t="s">
        <v>535</v>
      </c>
      <c r="M145" s="46" t="s">
        <v>536</v>
      </c>
      <c r="N145" s="46" t="s">
        <v>842</v>
      </c>
      <c r="O145" s="46" t="s">
        <v>843</v>
      </c>
      <c r="P145" s="46" t="s">
        <v>844</v>
      </c>
      <c r="Q145" s="46">
        <v>0</v>
      </c>
      <c r="R145" s="48" t="s">
        <v>132</v>
      </c>
      <c r="S145" s="49">
        <v>0</v>
      </c>
      <c r="T145" s="48" t="s">
        <v>111</v>
      </c>
      <c r="U145" s="50">
        <v>0</v>
      </c>
      <c r="V145" s="89" t="s">
        <v>276</v>
      </c>
    </row>
    <row r="146" spans="2:22">
      <c r="B146" s="46" cm="1">
        <f t="array" aca="1" ref="B146" ca="1">OFFSET(INDIRECT(ADDRESS(ROW(),COLUMN())),0,6)</f>
        <v>149</v>
      </c>
      <c r="C146" s="46">
        <v>1</v>
      </c>
      <c r="D146" s="46"/>
      <c r="E146" s="46"/>
      <c r="F146" s="46"/>
      <c r="G146" s="46">
        <v>1</v>
      </c>
      <c r="H146" s="46">
        <v>149</v>
      </c>
      <c r="I146" s="88" t="s">
        <v>284</v>
      </c>
      <c r="J146" s="46" t="s">
        <v>540</v>
      </c>
      <c r="K146" s="46" t="s">
        <v>538</v>
      </c>
      <c r="L146" s="46" t="s">
        <v>539</v>
      </c>
      <c r="M146" s="46" t="s">
        <v>990</v>
      </c>
      <c r="N146" s="46" t="s">
        <v>845</v>
      </c>
      <c r="O146" s="46" t="s">
        <v>846</v>
      </c>
      <c r="P146" s="46" t="s">
        <v>847</v>
      </c>
      <c r="Q146" s="46">
        <v>0</v>
      </c>
      <c r="R146" s="48" t="s">
        <v>132</v>
      </c>
      <c r="S146" s="49">
        <v>0</v>
      </c>
      <c r="T146" s="48" t="s">
        <v>111</v>
      </c>
      <c r="U146" s="50">
        <v>0</v>
      </c>
      <c r="V146" s="89" t="s">
        <v>276</v>
      </c>
    </row>
    <row r="147" spans="2:22">
      <c r="B147" s="46" cm="1">
        <f t="array" aca="1" ref="B147" ca="1">OFFSET(INDIRECT(ADDRESS(ROW(),COLUMN())),0,6)</f>
        <v>150</v>
      </c>
      <c r="C147" s="46">
        <v>1</v>
      </c>
      <c r="D147" s="46"/>
      <c r="E147" s="46"/>
      <c r="F147" s="46"/>
      <c r="G147" s="46">
        <v>1</v>
      </c>
      <c r="H147" s="46">
        <v>150</v>
      </c>
      <c r="I147" s="88" t="s">
        <v>285</v>
      </c>
      <c r="J147" s="46" t="s">
        <v>390</v>
      </c>
      <c r="K147" s="46" t="s">
        <v>388</v>
      </c>
      <c r="L147" s="46" t="s">
        <v>389</v>
      </c>
      <c r="M147" s="46" t="s">
        <v>388</v>
      </c>
      <c r="N147" s="46" t="s">
        <v>848</v>
      </c>
      <c r="O147" s="46" t="s">
        <v>725</v>
      </c>
      <c r="P147" s="46" t="s">
        <v>849</v>
      </c>
      <c r="Q147" s="46">
        <v>0</v>
      </c>
      <c r="R147" s="48" t="s">
        <v>132</v>
      </c>
      <c r="S147" s="49">
        <v>0</v>
      </c>
      <c r="T147" s="48" t="s">
        <v>111</v>
      </c>
      <c r="U147" s="50">
        <v>0</v>
      </c>
      <c r="V147" s="89" t="s">
        <v>276</v>
      </c>
    </row>
    <row r="148" spans="2:22">
      <c r="B148" s="46" cm="1">
        <f t="array" aca="1" ref="B148" ca="1">OFFSET(INDIRECT(ADDRESS(ROW(),COLUMN())),0,6)</f>
        <v>151</v>
      </c>
      <c r="C148" s="46">
        <v>1</v>
      </c>
      <c r="D148" s="46"/>
      <c r="E148" s="46"/>
      <c r="F148" s="46"/>
      <c r="G148" s="46">
        <v>1</v>
      </c>
      <c r="H148" s="46">
        <v>151</v>
      </c>
      <c r="I148" s="88" t="s">
        <v>22</v>
      </c>
      <c r="J148" s="46" t="s">
        <v>421</v>
      </c>
      <c r="K148" s="46" t="s">
        <v>420</v>
      </c>
      <c r="L148" s="46" t="s">
        <v>420</v>
      </c>
      <c r="M148" s="46" t="s">
        <v>420</v>
      </c>
      <c r="N148" s="46" t="s">
        <v>753</v>
      </c>
      <c r="O148" s="46" t="s">
        <v>754</v>
      </c>
      <c r="P148" s="46" t="s">
        <v>754</v>
      </c>
      <c r="Q148" s="46">
        <v>0</v>
      </c>
      <c r="R148" s="48" t="s">
        <v>132</v>
      </c>
      <c r="S148" s="49">
        <v>0</v>
      </c>
      <c r="T148" s="48" t="s">
        <v>111</v>
      </c>
      <c r="U148" s="50">
        <v>0</v>
      </c>
      <c r="V148" s="89" t="s">
        <v>276</v>
      </c>
    </row>
    <row r="149" spans="2:22">
      <c r="B149" s="46" cm="1">
        <f t="array" aca="1" ref="B149" ca="1">OFFSET(INDIRECT(ADDRESS(ROW(),COLUMN())),0,6)</f>
        <v>152</v>
      </c>
      <c r="C149" s="46">
        <v>1</v>
      </c>
      <c r="D149" s="46"/>
      <c r="E149" s="46"/>
      <c r="F149" s="46"/>
      <c r="G149" s="46">
        <v>1</v>
      </c>
      <c r="H149" s="46">
        <v>152</v>
      </c>
      <c r="I149" s="88" t="s">
        <v>286</v>
      </c>
      <c r="J149" s="46" t="s">
        <v>543</v>
      </c>
      <c r="K149" s="46" t="s">
        <v>541</v>
      </c>
      <c r="L149" s="46" t="s">
        <v>542</v>
      </c>
      <c r="M149" s="46" t="s">
        <v>991</v>
      </c>
      <c r="N149" s="46" t="s">
        <v>850</v>
      </c>
      <c r="O149" s="46" t="s">
        <v>851</v>
      </c>
      <c r="P149" s="46" t="s">
        <v>852</v>
      </c>
      <c r="Q149" s="46">
        <v>0</v>
      </c>
      <c r="R149" s="48" t="s">
        <v>132</v>
      </c>
      <c r="S149" s="49">
        <v>0</v>
      </c>
      <c r="T149" s="48" t="s">
        <v>111</v>
      </c>
      <c r="U149" s="50">
        <v>0</v>
      </c>
      <c r="V149" s="89" t="s">
        <v>276</v>
      </c>
    </row>
    <row r="150" spans="2:22">
      <c r="B150" s="46" cm="1">
        <f t="array" aca="1" ref="B150" ca="1">OFFSET(INDIRECT(ADDRESS(ROW(),COLUMN())),0,6)</f>
        <v>153</v>
      </c>
      <c r="C150" s="46">
        <v>1</v>
      </c>
      <c r="D150" s="46"/>
      <c r="E150" s="46"/>
      <c r="F150" s="46"/>
      <c r="G150" s="46">
        <v>1</v>
      </c>
      <c r="H150" s="46">
        <v>153</v>
      </c>
      <c r="I150" s="88" t="s">
        <v>23</v>
      </c>
      <c r="J150" s="46" t="s">
        <v>419</v>
      </c>
      <c r="K150" s="46" t="s">
        <v>417</v>
      </c>
      <c r="L150" s="46" t="s">
        <v>418</v>
      </c>
      <c r="M150" s="46" t="s">
        <v>417</v>
      </c>
      <c r="N150" s="46" t="s">
        <v>751</v>
      </c>
      <c r="O150" s="46" t="s">
        <v>752</v>
      </c>
      <c r="P150" s="46" t="s">
        <v>419</v>
      </c>
      <c r="Q150" s="46">
        <v>0</v>
      </c>
      <c r="R150" s="48" t="s">
        <v>132</v>
      </c>
      <c r="S150" s="49">
        <v>0</v>
      </c>
      <c r="T150" s="48" t="s">
        <v>111</v>
      </c>
      <c r="U150" s="50">
        <v>0</v>
      </c>
      <c r="V150" s="89" t="s">
        <v>276</v>
      </c>
    </row>
    <row r="151" spans="2:22">
      <c r="B151" s="46" cm="1">
        <f t="array" aca="1" ref="B151" ca="1">OFFSET(INDIRECT(ADDRESS(ROW(),COLUMN())),0,6)</f>
        <v>154</v>
      </c>
      <c r="C151" s="46">
        <v>1</v>
      </c>
      <c r="D151" s="46"/>
      <c r="E151" s="46"/>
      <c r="F151" s="46"/>
      <c r="G151" s="46">
        <v>1</v>
      </c>
      <c r="H151" s="46">
        <v>154</v>
      </c>
      <c r="I151" s="88" t="s">
        <v>287</v>
      </c>
      <c r="J151" s="46" t="s">
        <v>546</v>
      </c>
      <c r="K151" s="46" t="s">
        <v>544</v>
      </c>
      <c r="L151" s="46" t="s">
        <v>545</v>
      </c>
      <c r="M151" s="46" t="s">
        <v>992</v>
      </c>
      <c r="N151" s="46" t="s">
        <v>853</v>
      </c>
      <c r="O151" s="46" t="s">
        <v>854</v>
      </c>
      <c r="P151" s="46" t="s">
        <v>855</v>
      </c>
      <c r="Q151" s="46">
        <v>0</v>
      </c>
      <c r="R151" s="48" t="s">
        <v>132</v>
      </c>
      <c r="S151" s="49">
        <v>0</v>
      </c>
      <c r="T151" s="48" t="s">
        <v>255</v>
      </c>
      <c r="U151" s="50">
        <v>21</v>
      </c>
      <c r="V151" s="89" t="s">
        <v>288</v>
      </c>
    </row>
    <row r="152" spans="2:22">
      <c r="B152" s="46" cm="1">
        <f t="array" aca="1" ref="B152" ca="1">OFFSET(INDIRECT(ADDRESS(ROW(),COLUMN())),0,6)</f>
        <v>155</v>
      </c>
      <c r="C152" s="46">
        <v>1</v>
      </c>
      <c r="D152" s="46"/>
      <c r="E152" s="46"/>
      <c r="F152" s="46"/>
      <c r="G152" s="46">
        <v>1</v>
      </c>
      <c r="H152" s="46">
        <v>155</v>
      </c>
      <c r="I152" s="88" t="s">
        <v>1341</v>
      </c>
      <c r="J152" s="46" t="s">
        <v>1342</v>
      </c>
      <c r="K152" s="46" t="s">
        <v>1343</v>
      </c>
      <c r="L152" s="46" t="s">
        <v>1344</v>
      </c>
      <c r="M152" s="46" t="s">
        <v>1345</v>
      </c>
      <c r="N152" s="46" t="s">
        <v>1346</v>
      </c>
      <c r="O152" s="46" t="s">
        <v>1347</v>
      </c>
      <c r="P152" s="46" t="s">
        <v>1348</v>
      </c>
      <c r="Q152" s="46">
        <v>0</v>
      </c>
      <c r="R152" s="48" t="s">
        <v>132</v>
      </c>
      <c r="S152" s="49">
        <v>0</v>
      </c>
      <c r="T152" s="48" t="s">
        <v>255</v>
      </c>
      <c r="U152" s="50">
        <v>21</v>
      </c>
      <c r="V152" s="89" t="s">
        <v>261</v>
      </c>
    </row>
    <row r="153" spans="2:22">
      <c r="B153" s="46" cm="1">
        <f t="array" aca="1" ref="B153" ca="1">OFFSET(INDIRECT(ADDRESS(ROW(),COLUMN())),0,6)</f>
        <v>156</v>
      </c>
      <c r="C153" s="46">
        <v>1</v>
      </c>
      <c r="D153" s="46"/>
      <c r="E153" s="46"/>
      <c r="F153" s="46"/>
      <c r="G153" s="46">
        <v>1</v>
      </c>
      <c r="H153" s="46">
        <v>156</v>
      </c>
      <c r="I153" s="88" t="s">
        <v>337</v>
      </c>
      <c r="J153" s="46" t="s">
        <v>1523</v>
      </c>
      <c r="K153" s="46" t="s">
        <v>1524</v>
      </c>
      <c r="L153" s="46" t="s">
        <v>1525</v>
      </c>
      <c r="M153" s="46" t="s">
        <v>1524</v>
      </c>
      <c r="N153" s="46" t="s">
        <v>1526</v>
      </c>
      <c r="O153" s="46" t="s">
        <v>1527</v>
      </c>
      <c r="P153" s="46" t="s">
        <v>1528</v>
      </c>
      <c r="Q153" s="46">
        <v>0</v>
      </c>
      <c r="R153" s="48" t="s">
        <v>132</v>
      </c>
      <c r="S153" s="49">
        <v>0</v>
      </c>
      <c r="T153" s="48" t="s">
        <v>111</v>
      </c>
      <c r="U153" s="50">
        <v>0</v>
      </c>
      <c r="V153" s="89" t="s">
        <v>289</v>
      </c>
    </row>
    <row r="154" spans="2:22">
      <c r="B154" s="46" cm="1">
        <f t="array" aca="1" ref="B154" ca="1">OFFSET(INDIRECT(ADDRESS(ROW(),COLUMN())),0,6)</f>
        <v>157</v>
      </c>
      <c r="C154" s="46">
        <v>1</v>
      </c>
      <c r="D154" s="46"/>
      <c r="E154" s="46"/>
      <c r="F154" s="46"/>
      <c r="G154" s="46">
        <v>1</v>
      </c>
      <c r="H154" s="46">
        <v>157</v>
      </c>
      <c r="I154" s="88" t="s">
        <v>1557</v>
      </c>
      <c r="J154" s="46" t="s">
        <v>1558</v>
      </c>
      <c r="K154" s="46" t="s">
        <v>1559</v>
      </c>
      <c r="L154" s="46" t="s">
        <v>1560</v>
      </c>
      <c r="M154" s="46" t="s">
        <v>1561</v>
      </c>
      <c r="N154" s="46" t="s">
        <v>1562</v>
      </c>
      <c r="O154" s="46" t="s">
        <v>1563</v>
      </c>
      <c r="P154" s="46" t="s">
        <v>1564</v>
      </c>
      <c r="Q154" s="46">
        <v>0</v>
      </c>
      <c r="R154" s="48" t="s">
        <v>132</v>
      </c>
      <c r="S154" s="49">
        <v>0</v>
      </c>
      <c r="T154" s="48" t="s">
        <v>111</v>
      </c>
      <c r="U154" s="50">
        <v>0</v>
      </c>
      <c r="V154" s="89" t="s">
        <v>290</v>
      </c>
    </row>
    <row r="155" spans="2:22">
      <c r="B155" s="46" cm="1">
        <f t="array" aca="1" ref="B155" ca="1">OFFSET(INDIRECT(ADDRESS(ROW(),COLUMN())),0,6)</f>
        <v>158</v>
      </c>
      <c r="C155" s="46">
        <v>1</v>
      </c>
      <c r="D155" s="46"/>
      <c r="E155" s="46"/>
      <c r="F155" s="46"/>
      <c r="G155" s="46">
        <v>1</v>
      </c>
      <c r="H155" s="46">
        <v>158</v>
      </c>
      <c r="I155" s="88" t="s">
        <v>291</v>
      </c>
      <c r="J155" s="46" t="s">
        <v>550</v>
      </c>
      <c r="K155" s="46" t="s">
        <v>547</v>
      </c>
      <c r="L155" s="46" t="s">
        <v>548</v>
      </c>
      <c r="M155" s="46" t="s">
        <v>549</v>
      </c>
      <c r="N155" s="46" t="s">
        <v>856</v>
      </c>
      <c r="O155" s="46" t="s">
        <v>857</v>
      </c>
      <c r="P155" s="46" t="s">
        <v>858</v>
      </c>
      <c r="Q155" s="46">
        <v>0</v>
      </c>
      <c r="R155" s="48" t="s">
        <v>132</v>
      </c>
      <c r="S155" s="49">
        <v>0</v>
      </c>
      <c r="T155" s="48" t="s">
        <v>111</v>
      </c>
      <c r="U155" s="50">
        <v>0</v>
      </c>
      <c r="V155" s="89" t="s">
        <v>290</v>
      </c>
    </row>
    <row r="156" spans="2:22">
      <c r="B156" s="46" cm="1">
        <f t="array" aca="1" ref="B156" ca="1">OFFSET(INDIRECT(ADDRESS(ROW(),COLUMN())),0,6)</f>
        <v>159</v>
      </c>
      <c r="C156" s="46">
        <v>1</v>
      </c>
      <c r="D156" s="46"/>
      <c r="E156" s="46"/>
      <c r="F156" s="46"/>
      <c r="G156" s="46">
        <v>1</v>
      </c>
      <c r="H156" s="46">
        <v>159</v>
      </c>
      <c r="I156" s="88" t="s">
        <v>1349</v>
      </c>
      <c r="J156" s="46" t="s">
        <v>1350</v>
      </c>
      <c r="K156" s="46" t="s">
        <v>1351</v>
      </c>
      <c r="L156" s="46" t="s">
        <v>1352</v>
      </c>
      <c r="M156" s="46" t="s">
        <v>1353</v>
      </c>
      <c r="N156" s="46" t="s">
        <v>1354</v>
      </c>
      <c r="O156" s="46" t="s">
        <v>1355</v>
      </c>
      <c r="P156" s="46" t="s">
        <v>1356</v>
      </c>
      <c r="Q156" s="46">
        <v>0</v>
      </c>
      <c r="R156" s="48" t="s">
        <v>132</v>
      </c>
      <c r="S156" s="49">
        <v>0</v>
      </c>
      <c r="T156" s="48" t="s">
        <v>255</v>
      </c>
      <c r="U156" s="50">
        <v>21</v>
      </c>
      <c r="V156" s="89" t="s">
        <v>290</v>
      </c>
    </row>
    <row r="157" spans="2:22">
      <c r="B157" s="46" cm="1">
        <f t="array" aca="1" ref="B157" ca="1">OFFSET(INDIRECT(ADDRESS(ROW(),COLUMN())),0,6)</f>
        <v>160</v>
      </c>
      <c r="C157" s="46">
        <v>1</v>
      </c>
      <c r="D157" s="46"/>
      <c r="E157" s="46"/>
      <c r="F157" s="46"/>
      <c r="G157" s="46">
        <v>1</v>
      </c>
      <c r="H157" s="46">
        <v>160</v>
      </c>
      <c r="I157" s="88" t="s">
        <v>292</v>
      </c>
      <c r="J157" s="46" t="s">
        <v>554</v>
      </c>
      <c r="K157" s="46" t="s">
        <v>551</v>
      </c>
      <c r="L157" s="46" t="s">
        <v>552</v>
      </c>
      <c r="M157" s="46" t="s">
        <v>553</v>
      </c>
      <c r="N157" s="46" t="s">
        <v>859</v>
      </c>
      <c r="O157" s="46" t="s">
        <v>860</v>
      </c>
      <c r="P157" s="46" t="s">
        <v>861</v>
      </c>
      <c r="Q157" s="46">
        <v>0</v>
      </c>
      <c r="R157" s="48" t="s">
        <v>132</v>
      </c>
      <c r="S157" s="49">
        <v>0</v>
      </c>
      <c r="T157" s="48" t="s">
        <v>111</v>
      </c>
      <c r="U157" s="50">
        <v>0</v>
      </c>
      <c r="V157" s="89" t="s">
        <v>261</v>
      </c>
    </row>
    <row r="158" spans="2:22">
      <c r="B158" s="46" cm="1">
        <f t="array" aca="1" ref="B158" ca="1">OFFSET(INDIRECT(ADDRESS(ROW(),COLUMN())),0,6)</f>
        <v>161</v>
      </c>
      <c r="C158" s="46">
        <v>1</v>
      </c>
      <c r="D158" s="46"/>
      <c r="E158" s="46"/>
      <c r="F158" s="46"/>
      <c r="G158" s="46">
        <v>1</v>
      </c>
      <c r="H158" s="46">
        <v>161</v>
      </c>
      <c r="I158" s="88" t="s">
        <v>1565</v>
      </c>
      <c r="J158" s="46" t="s">
        <v>1566</v>
      </c>
      <c r="K158" s="46" t="s">
        <v>1567</v>
      </c>
      <c r="L158" s="46" t="s">
        <v>1568</v>
      </c>
      <c r="M158" s="46" t="s">
        <v>1569</v>
      </c>
      <c r="N158" s="46" t="s">
        <v>1570</v>
      </c>
      <c r="O158" s="46" t="s">
        <v>1571</v>
      </c>
      <c r="P158" s="46" t="s">
        <v>1572</v>
      </c>
      <c r="Q158" s="46">
        <v>0</v>
      </c>
      <c r="R158" s="48" t="s">
        <v>132</v>
      </c>
      <c r="S158" s="49">
        <v>0</v>
      </c>
      <c r="T158" s="48" t="s">
        <v>111</v>
      </c>
      <c r="U158" s="50">
        <v>0</v>
      </c>
      <c r="V158" s="89" t="s">
        <v>261</v>
      </c>
    </row>
    <row r="159" spans="2:22">
      <c r="B159" s="46" cm="1">
        <f t="array" aca="1" ref="B159" ca="1">OFFSET(INDIRECT(ADDRESS(ROW(),COLUMN())),0,6)</f>
        <v>162</v>
      </c>
      <c r="C159" s="46">
        <v>1</v>
      </c>
      <c r="D159" s="46"/>
      <c r="E159" s="46"/>
      <c r="F159" s="46"/>
      <c r="G159" s="46">
        <v>1</v>
      </c>
      <c r="H159" s="46">
        <v>162</v>
      </c>
      <c r="I159" s="88" t="s">
        <v>293</v>
      </c>
      <c r="J159" s="46" t="s">
        <v>558</v>
      </c>
      <c r="K159" s="46" t="s">
        <v>555</v>
      </c>
      <c r="L159" s="46" t="s">
        <v>556</v>
      </c>
      <c r="M159" s="46" t="s">
        <v>557</v>
      </c>
      <c r="N159" s="46" t="s">
        <v>862</v>
      </c>
      <c r="O159" s="46" t="s">
        <v>863</v>
      </c>
      <c r="P159" s="46" t="s">
        <v>864</v>
      </c>
      <c r="Q159" s="46">
        <v>0</v>
      </c>
      <c r="R159" s="48" t="s">
        <v>132</v>
      </c>
      <c r="S159" s="49">
        <v>0</v>
      </c>
      <c r="T159" s="48" t="s">
        <v>111</v>
      </c>
      <c r="U159" s="50">
        <v>0</v>
      </c>
      <c r="V159" s="89" t="s">
        <v>261</v>
      </c>
    </row>
    <row r="160" spans="2:22">
      <c r="B160" s="46" cm="1">
        <f t="array" aca="1" ref="B160" ca="1">OFFSET(INDIRECT(ADDRESS(ROW(),COLUMN())),0,6)</f>
        <v>163</v>
      </c>
      <c r="C160" s="46">
        <v>1</v>
      </c>
      <c r="D160" s="46"/>
      <c r="E160" s="46"/>
      <c r="F160" s="46"/>
      <c r="G160" s="46">
        <v>1</v>
      </c>
      <c r="H160" s="46">
        <v>163</v>
      </c>
      <c r="I160" s="88" t="s">
        <v>294</v>
      </c>
      <c r="J160" s="46" t="s">
        <v>561</v>
      </c>
      <c r="K160" s="46" t="s">
        <v>559</v>
      </c>
      <c r="L160" s="46" t="s">
        <v>559</v>
      </c>
      <c r="M160" s="46" t="s">
        <v>560</v>
      </c>
      <c r="N160" s="46" t="s">
        <v>865</v>
      </c>
      <c r="O160" s="46" t="s">
        <v>866</v>
      </c>
      <c r="P160" s="46" t="s">
        <v>867</v>
      </c>
      <c r="Q160" s="46">
        <v>0</v>
      </c>
      <c r="R160" s="48" t="s">
        <v>132</v>
      </c>
      <c r="S160" s="49">
        <v>0</v>
      </c>
      <c r="T160" s="48" t="s">
        <v>111</v>
      </c>
      <c r="U160" s="50">
        <v>0</v>
      </c>
      <c r="V160" s="89" t="s">
        <v>261</v>
      </c>
    </row>
    <row r="161" spans="2:22">
      <c r="B161" s="46" cm="1">
        <f t="array" aca="1" ref="B161" ca="1">OFFSET(INDIRECT(ADDRESS(ROW(),COLUMN())),0,6)</f>
        <v>164</v>
      </c>
      <c r="C161" s="46">
        <v>1</v>
      </c>
      <c r="D161" s="46"/>
      <c r="E161" s="46"/>
      <c r="F161" s="46"/>
      <c r="G161" s="46">
        <v>1</v>
      </c>
      <c r="H161" s="46">
        <v>164</v>
      </c>
      <c r="I161" s="88" t="s">
        <v>309</v>
      </c>
      <c r="J161" s="46" t="s">
        <v>1134</v>
      </c>
      <c r="K161" s="46" t="s">
        <v>1529</v>
      </c>
      <c r="L161" s="46" t="s">
        <v>1135</v>
      </c>
      <c r="M161" s="46" t="s">
        <v>1136</v>
      </c>
      <c r="N161" s="46" t="s">
        <v>1137</v>
      </c>
      <c r="O161" s="46" t="s">
        <v>1138</v>
      </c>
      <c r="P161" s="46" t="s">
        <v>1139</v>
      </c>
      <c r="Q161" s="46">
        <v>0</v>
      </c>
      <c r="R161" s="48" t="s">
        <v>132</v>
      </c>
      <c r="S161" s="49">
        <v>0</v>
      </c>
      <c r="T161" s="48" t="s">
        <v>111</v>
      </c>
      <c r="U161" s="50">
        <v>0</v>
      </c>
      <c r="V161" s="89" t="s">
        <v>261</v>
      </c>
    </row>
    <row r="162" spans="2:22">
      <c r="B162" s="46" cm="1">
        <f t="array" aca="1" ref="B162" ca="1">OFFSET(INDIRECT(ADDRESS(ROW(),COLUMN())),0,6)</f>
        <v>165</v>
      </c>
      <c r="C162" s="46">
        <v>1</v>
      </c>
      <c r="D162" s="46"/>
      <c r="E162" s="46"/>
      <c r="F162" s="46"/>
      <c r="G162" s="46">
        <v>1</v>
      </c>
      <c r="H162" s="46">
        <v>165</v>
      </c>
      <c r="I162" s="88" t="s">
        <v>223</v>
      </c>
      <c r="J162" s="46" t="s">
        <v>407</v>
      </c>
      <c r="K162" s="46" t="s">
        <v>404</v>
      </c>
      <c r="L162" s="46" t="s">
        <v>405</v>
      </c>
      <c r="M162" s="46" t="s">
        <v>406</v>
      </c>
      <c r="N162" s="46" t="s">
        <v>739</v>
      </c>
      <c r="O162" s="46" t="s">
        <v>740</v>
      </c>
      <c r="P162" s="46" t="s">
        <v>741</v>
      </c>
      <c r="Q162" s="46">
        <v>0</v>
      </c>
      <c r="R162" s="48" t="s">
        <v>132</v>
      </c>
      <c r="S162" s="49">
        <f>VLOOKUP(R162,_표_ChattingMessageType[[ChattingMessageType_Item]:[ChattingMessageType_Enum]],2,FALSE)</f>
        <v>0</v>
      </c>
      <c r="T162" s="48" t="s">
        <v>111</v>
      </c>
      <c r="U162" s="50">
        <f>VLOOKUP(T162,_표_MessageType[[MessageType_Item]:[MessageType_Enum]],3,FALSE)</f>
        <v>0</v>
      </c>
      <c r="V162" s="89" t="s">
        <v>221</v>
      </c>
    </row>
    <row r="163" spans="2:22">
      <c r="B163" s="46" cm="1">
        <f t="array" aca="1" ref="B163" ca="1">OFFSET(INDIRECT(ADDRESS(ROW(),COLUMN())),0,6)</f>
        <v>166</v>
      </c>
      <c r="C163" s="46">
        <v>1</v>
      </c>
      <c r="D163" s="46"/>
      <c r="E163" s="46"/>
      <c r="F163" s="46"/>
      <c r="G163" s="46">
        <v>1</v>
      </c>
      <c r="H163" s="46">
        <v>166</v>
      </c>
      <c r="I163" s="88" t="s">
        <v>177</v>
      </c>
      <c r="J163" s="46" t="s">
        <v>562</v>
      </c>
      <c r="K163" s="46" t="s">
        <v>366</v>
      </c>
      <c r="L163" s="46" t="s">
        <v>367</v>
      </c>
      <c r="M163" s="46" t="s">
        <v>368</v>
      </c>
      <c r="N163" s="46" t="s">
        <v>707</v>
      </c>
      <c r="O163" s="46" t="s">
        <v>708</v>
      </c>
      <c r="P163" s="46" t="s">
        <v>709</v>
      </c>
      <c r="Q163" s="46">
        <v>0</v>
      </c>
      <c r="R163" s="48" t="s">
        <v>132</v>
      </c>
      <c r="S163" s="49">
        <f>VLOOKUP(R163,_표_ChattingMessageType[[ChattingMessageType_Item]:[ChattingMessageType_Enum]],2,FALSE)</f>
        <v>0</v>
      </c>
      <c r="T163" s="48" t="s">
        <v>111</v>
      </c>
      <c r="U163" s="50">
        <f>VLOOKUP(T163,_표_MessageType[[MessageType_Item]:[MessageType_Enum]],3,FALSE)</f>
        <v>0</v>
      </c>
      <c r="V163" s="89" t="s">
        <v>221</v>
      </c>
    </row>
    <row r="164" spans="2:22">
      <c r="B164" s="46" cm="1">
        <f t="array" aca="1" ref="B164" ca="1">OFFSET(INDIRECT(ADDRESS(ROW(),COLUMN())),0,6)</f>
        <v>167</v>
      </c>
      <c r="C164" s="46">
        <v>1</v>
      </c>
      <c r="D164" s="46"/>
      <c r="E164" s="46"/>
      <c r="F164" s="46"/>
      <c r="G164" s="46">
        <v>1</v>
      </c>
      <c r="H164" s="46">
        <v>167</v>
      </c>
      <c r="I164" s="88" t="s">
        <v>224</v>
      </c>
      <c r="J164" s="46" t="s">
        <v>566</v>
      </c>
      <c r="K164" s="46" t="s">
        <v>563</v>
      </c>
      <c r="L164" s="46" t="s">
        <v>564</v>
      </c>
      <c r="M164" s="46" t="s">
        <v>565</v>
      </c>
      <c r="N164" s="46" t="s">
        <v>868</v>
      </c>
      <c r="O164" s="46" t="s">
        <v>869</v>
      </c>
      <c r="P164" s="46" t="s">
        <v>870</v>
      </c>
      <c r="Q164" s="46">
        <v>0</v>
      </c>
      <c r="R164" s="48" t="s">
        <v>132</v>
      </c>
      <c r="S164" s="49">
        <f>VLOOKUP(R164,_표_ChattingMessageType[[ChattingMessageType_Item]:[ChattingMessageType_Enum]],2,FALSE)</f>
        <v>0</v>
      </c>
      <c r="T164" s="48" t="s">
        <v>111</v>
      </c>
      <c r="U164" s="50">
        <f>VLOOKUP(T164,_표_MessageType[[MessageType_Item]:[MessageType_Enum]],3,FALSE)</f>
        <v>0</v>
      </c>
      <c r="V164" s="89" t="s">
        <v>221</v>
      </c>
    </row>
    <row r="165" spans="2:22">
      <c r="B165" s="46" cm="1">
        <f t="array" aca="1" ref="B165" ca="1">OFFSET(INDIRECT(ADDRESS(ROW(),COLUMN())),0,6)</f>
        <v>168</v>
      </c>
      <c r="C165" s="46">
        <v>1</v>
      </c>
      <c r="D165" s="46"/>
      <c r="E165" s="46"/>
      <c r="F165" s="46"/>
      <c r="G165" s="46">
        <v>1</v>
      </c>
      <c r="H165" s="46">
        <v>168</v>
      </c>
      <c r="I165" s="88" t="s">
        <v>227</v>
      </c>
      <c r="J165" s="46" t="s">
        <v>1573</v>
      </c>
      <c r="K165" s="46" t="s">
        <v>1574</v>
      </c>
      <c r="L165" s="46" t="s">
        <v>1575</v>
      </c>
      <c r="M165" s="46" t="s">
        <v>1576</v>
      </c>
      <c r="N165" s="46" t="s">
        <v>1577</v>
      </c>
      <c r="O165" s="46" t="s">
        <v>1578</v>
      </c>
      <c r="P165" s="46" t="s">
        <v>1733</v>
      </c>
      <c r="Q165" s="46">
        <v>0</v>
      </c>
      <c r="R165" s="48" t="s">
        <v>132</v>
      </c>
      <c r="S165" s="49">
        <f>VLOOKUP(R165,_표_ChattingMessageType[[ChattingMessageType_Item]:[ChattingMessageType_Enum]],2,FALSE)</f>
        <v>0</v>
      </c>
      <c r="T165" s="48" t="s">
        <v>111</v>
      </c>
      <c r="U165" s="50">
        <f>VLOOKUP(T165,_표_MessageType[[MessageType_Item]:[MessageType_Enum]],3,FALSE)</f>
        <v>0</v>
      </c>
      <c r="V165" s="89" t="s">
        <v>221</v>
      </c>
    </row>
    <row r="166" spans="2:22">
      <c r="B166" s="46" cm="1">
        <f t="array" aca="1" ref="B166" ca="1">OFFSET(INDIRECT(ADDRESS(ROW(),COLUMN())),0,6)</f>
        <v>169</v>
      </c>
      <c r="C166" s="46">
        <v>1</v>
      </c>
      <c r="D166" s="46"/>
      <c r="E166" s="46"/>
      <c r="F166" s="46"/>
      <c r="G166" s="46">
        <v>1</v>
      </c>
      <c r="H166" s="46">
        <v>169</v>
      </c>
      <c r="I166" s="88" t="s">
        <v>1579</v>
      </c>
      <c r="J166" s="46" t="s">
        <v>1630</v>
      </c>
      <c r="K166" s="46" t="s">
        <v>1631</v>
      </c>
      <c r="L166" s="46" t="s">
        <v>1632</v>
      </c>
      <c r="M166" s="46" t="s">
        <v>1580</v>
      </c>
      <c r="N166" s="46" t="s">
        <v>1633</v>
      </c>
      <c r="O166" s="46" t="s">
        <v>1634</v>
      </c>
      <c r="P166" s="46" t="s">
        <v>1734</v>
      </c>
      <c r="Q166" s="46">
        <v>0</v>
      </c>
      <c r="R166" s="48" t="s">
        <v>132</v>
      </c>
      <c r="S166" s="49">
        <f>VLOOKUP(R166,_표_ChattingMessageType[[ChattingMessageType_Item]:[ChattingMessageType_Enum]],2,FALSE)</f>
        <v>0</v>
      </c>
      <c r="T166" s="48" t="s">
        <v>111</v>
      </c>
      <c r="U166" s="50">
        <f>VLOOKUP(T166,_표_MessageType[[MessageType_Item]:[MessageType_Enum]],3,FALSE)</f>
        <v>0</v>
      </c>
      <c r="V166" s="89" t="s">
        <v>221</v>
      </c>
    </row>
    <row r="167" spans="2:22">
      <c r="B167" s="46" cm="1">
        <f t="array" aca="1" ref="B167" ca="1">OFFSET(INDIRECT(ADDRESS(ROW(),COLUMN())),0,6)</f>
        <v>170</v>
      </c>
      <c r="C167" s="46">
        <v>1</v>
      </c>
      <c r="D167" s="46"/>
      <c r="E167" s="46"/>
      <c r="F167" s="46"/>
      <c r="G167" s="46">
        <v>1</v>
      </c>
      <c r="H167" s="46">
        <v>170</v>
      </c>
      <c r="I167" s="88" t="s">
        <v>263</v>
      </c>
      <c r="J167" s="46" t="s">
        <v>466</v>
      </c>
      <c r="K167" s="46" t="s">
        <v>463</v>
      </c>
      <c r="L167" s="46" t="s">
        <v>464</v>
      </c>
      <c r="M167" s="46" t="s">
        <v>465</v>
      </c>
      <c r="N167" s="46" t="s">
        <v>785</v>
      </c>
      <c r="O167" s="46" t="s">
        <v>786</v>
      </c>
      <c r="P167" s="46" t="s">
        <v>787</v>
      </c>
      <c r="Q167" s="46">
        <v>0</v>
      </c>
      <c r="R167" s="48" t="s">
        <v>132</v>
      </c>
      <c r="S167" s="49">
        <v>0</v>
      </c>
      <c r="T167" s="48" t="s">
        <v>111</v>
      </c>
      <c r="U167" s="50">
        <v>0</v>
      </c>
      <c r="V167" s="89" t="s">
        <v>261</v>
      </c>
    </row>
    <row r="168" spans="2:22">
      <c r="B168" s="46" cm="1">
        <f t="array" aca="1" ref="B168" ca="1">OFFSET(INDIRECT(ADDRESS(ROW(),COLUMN())),0,6)</f>
        <v>171</v>
      </c>
      <c r="C168" s="46">
        <v>1</v>
      </c>
      <c r="D168" s="46"/>
      <c r="E168" s="46"/>
      <c r="F168" s="46"/>
      <c r="G168" s="46">
        <v>1</v>
      </c>
      <c r="H168" s="46">
        <v>171</v>
      </c>
      <c r="I168" s="88" t="s">
        <v>1581</v>
      </c>
      <c r="J168" s="46" t="s">
        <v>1582</v>
      </c>
      <c r="K168" s="46" t="s">
        <v>1583</v>
      </c>
      <c r="L168" s="46" t="s">
        <v>1584</v>
      </c>
      <c r="M168" s="46" t="s">
        <v>1585</v>
      </c>
      <c r="N168" s="46" t="s">
        <v>1586</v>
      </c>
      <c r="O168" s="46" t="s">
        <v>1587</v>
      </c>
      <c r="P168" s="46" t="s">
        <v>1735</v>
      </c>
      <c r="Q168" s="46">
        <v>0</v>
      </c>
      <c r="R168" s="48" t="s">
        <v>132</v>
      </c>
      <c r="S168" s="49">
        <v>0</v>
      </c>
      <c r="T168" s="48" t="s">
        <v>111</v>
      </c>
      <c r="U168" s="50">
        <v>0</v>
      </c>
      <c r="V168" s="89" t="s">
        <v>261</v>
      </c>
    </row>
    <row r="169" spans="2:22">
      <c r="B169" s="46" cm="1">
        <f t="array" aca="1" ref="B169" ca="1">OFFSET(INDIRECT(ADDRESS(ROW(),COLUMN())),0,6)</f>
        <v>172</v>
      </c>
      <c r="C169" s="46">
        <v>1</v>
      </c>
      <c r="D169" s="46"/>
      <c r="E169" s="46"/>
      <c r="F169" s="46"/>
      <c r="G169" s="46">
        <v>1</v>
      </c>
      <c r="H169" s="46">
        <v>172</v>
      </c>
      <c r="I169" s="88" t="s">
        <v>23</v>
      </c>
      <c r="J169" s="46" t="s">
        <v>419</v>
      </c>
      <c r="K169" s="46" t="s">
        <v>417</v>
      </c>
      <c r="L169" s="46" t="s">
        <v>418</v>
      </c>
      <c r="M169" s="46" t="s">
        <v>417</v>
      </c>
      <c r="N169" s="46" t="s">
        <v>751</v>
      </c>
      <c r="O169" s="46" t="s">
        <v>752</v>
      </c>
      <c r="P169" s="46" t="s">
        <v>419</v>
      </c>
      <c r="Q169" s="46">
        <v>0</v>
      </c>
      <c r="R169" s="48" t="s">
        <v>132</v>
      </c>
      <c r="S169" s="49">
        <v>0</v>
      </c>
      <c r="T169" s="48" t="s">
        <v>111</v>
      </c>
      <c r="U169" s="50">
        <v>0</v>
      </c>
      <c r="V169" s="89" t="s">
        <v>261</v>
      </c>
    </row>
    <row r="170" spans="2:22">
      <c r="B170" s="46" cm="1">
        <f t="array" aca="1" ref="B170" ca="1">OFFSET(INDIRECT(ADDRESS(ROW(),COLUMN())),0,6)</f>
        <v>173</v>
      </c>
      <c r="C170" s="46">
        <v>1</v>
      </c>
      <c r="D170" s="46"/>
      <c r="E170" s="46"/>
      <c r="F170" s="46"/>
      <c r="G170" s="46">
        <v>1</v>
      </c>
      <c r="H170" s="46">
        <v>173</v>
      </c>
      <c r="I170" s="88" t="s">
        <v>337</v>
      </c>
      <c r="J170" s="46" t="s">
        <v>1523</v>
      </c>
      <c r="K170" s="46" t="s">
        <v>1524</v>
      </c>
      <c r="L170" s="46" t="s">
        <v>1525</v>
      </c>
      <c r="M170" s="46" t="s">
        <v>1524</v>
      </c>
      <c r="N170" s="46" t="s">
        <v>1526</v>
      </c>
      <c r="O170" s="46" t="s">
        <v>1527</v>
      </c>
      <c r="P170" s="46" t="s">
        <v>1528</v>
      </c>
      <c r="Q170" s="46">
        <v>0</v>
      </c>
      <c r="R170" s="48" t="s">
        <v>132</v>
      </c>
      <c r="S170" s="49">
        <v>0</v>
      </c>
      <c r="T170" s="48" t="s">
        <v>111</v>
      </c>
      <c r="U170" s="50">
        <v>0</v>
      </c>
      <c r="V170" s="89" t="s">
        <v>261</v>
      </c>
    </row>
    <row r="171" spans="2:22">
      <c r="B171" s="46" cm="1">
        <f t="array" aca="1" ref="B171" ca="1">OFFSET(INDIRECT(ADDRESS(ROW(),COLUMN())),0,6)</f>
        <v>174</v>
      </c>
      <c r="C171" s="46">
        <v>1</v>
      </c>
      <c r="D171" s="46"/>
      <c r="E171" s="46"/>
      <c r="F171" s="46"/>
      <c r="G171" s="46">
        <v>1</v>
      </c>
      <c r="H171" s="46">
        <v>174</v>
      </c>
      <c r="I171" s="88" t="s">
        <v>1357</v>
      </c>
      <c r="J171" s="46" t="s">
        <v>1358</v>
      </c>
      <c r="K171" s="46" t="s">
        <v>1359</v>
      </c>
      <c r="L171" s="46" t="s">
        <v>1360</v>
      </c>
      <c r="M171" s="46" t="s">
        <v>1361</v>
      </c>
      <c r="N171" s="46" t="s">
        <v>1362</v>
      </c>
      <c r="O171" s="46" t="s">
        <v>1363</v>
      </c>
      <c r="P171" s="46" t="s">
        <v>1736</v>
      </c>
      <c r="Q171" s="46">
        <v>0</v>
      </c>
      <c r="R171" s="48" t="s">
        <v>132</v>
      </c>
      <c r="S171" s="49">
        <v>0</v>
      </c>
      <c r="T171" s="48" t="s">
        <v>111</v>
      </c>
      <c r="U171" s="50">
        <v>0</v>
      </c>
      <c r="V171" s="89" t="s">
        <v>261</v>
      </c>
    </row>
    <row r="172" spans="2:22">
      <c r="B172" s="46" cm="1">
        <f t="array" aca="1" ref="B172" ca="1">OFFSET(INDIRECT(ADDRESS(ROW(),COLUMN())),0,6)</f>
        <v>175</v>
      </c>
      <c r="C172" s="46">
        <v>1</v>
      </c>
      <c r="D172" s="46"/>
      <c r="E172" s="46"/>
      <c r="F172" s="46"/>
      <c r="G172" s="46">
        <v>1</v>
      </c>
      <c r="H172" s="46">
        <v>175</v>
      </c>
      <c r="I172" s="88" t="s">
        <v>22</v>
      </c>
      <c r="J172" s="46" t="s">
        <v>421</v>
      </c>
      <c r="K172" s="46" t="s">
        <v>420</v>
      </c>
      <c r="L172" s="46" t="s">
        <v>420</v>
      </c>
      <c r="M172" s="46" t="s">
        <v>420</v>
      </c>
      <c r="N172" s="46" t="s">
        <v>753</v>
      </c>
      <c r="O172" s="46" t="s">
        <v>754</v>
      </c>
      <c r="P172" s="46" t="s">
        <v>754</v>
      </c>
      <c r="Q172" s="46">
        <v>0</v>
      </c>
      <c r="R172" s="48" t="s">
        <v>132</v>
      </c>
      <c r="S172" s="49">
        <v>0</v>
      </c>
      <c r="T172" s="48" t="s">
        <v>111</v>
      </c>
      <c r="U172" s="50">
        <v>0</v>
      </c>
      <c r="V172" s="89" t="s">
        <v>261</v>
      </c>
    </row>
    <row r="173" spans="2:22">
      <c r="B173" s="46" cm="1">
        <f t="array" aca="1" ref="B173" ca="1">OFFSET(INDIRECT(ADDRESS(ROW(),COLUMN())),0,6)</f>
        <v>177</v>
      </c>
      <c r="C173" s="46">
        <v>1</v>
      </c>
      <c r="D173" s="46"/>
      <c r="E173" s="46"/>
      <c r="F173" s="46"/>
      <c r="G173" s="46">
        <v>1</v>
      </c>
      <c r="H173" s="46">
        <v>177</v>
      </c>
      <c r="I173" s="88" t="s">
        <v>23</v>
      </c>
      <c r="J173" s="46" t="s">
        <v>419</v>
      </c>
      <c r="K173" s="46" t="s">
        <v>417</v>
      </c>
      <c r="L173" s="46" t="s">
        <v>418</v>
      </c>
      <c r="M173" s="46" t="s">
        <v>417</v>
      </c>
      <c r="N173" s="46" t="s">
        <v>751</v>
      </c>
      <c r="O173" s="46" t="s">
        <v>752</v>
      </c>
      <c r="P173" s="46" t="s">
        <v>419</v>
      </c>
      <c r="Q173" s="46">
        <v>0</v>
      </c>
      <c r="R173" s="48" t="s">
        <v>132</v>
      </c>
      <c r="S173" s="49">
        <v>0</v>
      </c>
      <c r="T173" s="48" t="s">
        <v>111</v>
      </c>
      <c r="U173" s="50">
        <v>0</v>
      </c>
      <c r="V173" s="89" t="s">
        <v>261</v>
      </c>
    </row>
    <row r="174" spans="2:22">
      <c r="B174" s="46" cm="1">
        <f t="array" aca="1" ref="B174" ca="1">OFFSET(INDIRECT(ADDRESS(ROW(),COLUMN())),0,6)</f>
        <v>178</v>
      </c>
      <c r="C174" s="46">
        <v>1</v>
      </c>
      <c r="D174" s="46"/>
      <c r="E174" s="46"/>
      <c r="F174" s="46"/>
      <c r="G174" s="46">
        <v>1</v>
      </c>
      <c r="H174" s="46">
        <v>178</v>
      </c>
      <c r="I174" s="88" t="s">
        <v>225</v>
      </c>
      <c r="J174" s="46" t="s">
        <v>570</v>
      </c>
      <c r="K174" s="46" t="s">
        <v>567</v>
      </c>
      <c r="L174" s="46" t="s">
        <v>568</v>
      </c>
      <c r="M174" s="46" t="s">
        <v>569</v>
      </c>
      <c r="N174" s="46" t="s">
        <v>871</v>
      </c>
      <c r="O174" s="46" t="s">
        <v>872</v>
      </c>
      <c r="P174" s="46" t="s">
        <v>873</v>
      </c>
      <c r="Q174" s="46">
        <v>0</v>
      </c>
      <c r="R174" s="48" t="s">
        <v>132</v>
      </c>
      <c r="S174" s="49">
        <f>VLOOKUP(R174,_표_ChattingMessageType[[ChattingMessageType_Item]:[ChattingMessageType_Enum]],2,FALSE)</f>
        <v>0</v>
      </c>
      <c r="T174" s="48" t="s">
        <v>111</v>
      </c>
      <c r="U174" s="50">
        <f>VLOOKUP(T174,_표_MessageType[[MessageType_Item]:[MessageType_Enum]],3,FALSE)</f>
        <v>0</v>
      </c>
      <c r="V174" s="89" t="s">
        <v>221</v>
      </c>
    </row>
    <row r="175" spans="2:22">
      <c r="B175" s="46" cm="1">
        <f t="array" aca="1" ref="B175" ca="1">OFFSET(INDIRECT(ADDRESS(ROW(),COLUMN())),0,6)</f>
        <v>179</v>
      </c>
      <c r="C175" s="46">
        <v>1</v>
      </c>
      <c r="D175" s="46"/>
      <c r="E175" s="46"/>
      <c r="F175" s="46"/>
      <c r="G175" s="46">
        <v>1</v>
      </c>
      <c r="H175" s="46">
        <v>179</v>
      </c>
      <c r="I175" s="88" t="s">
        <v>1588</v>
      </c>
      <c r="J175" s="46" t="s">
        <v>1589</v>
      </c>
      <c r="K175" s="46" t="s">
        <v>1590</v>
      </c>
      <c r="L175" s="46" t="s">
        <v>1591</v>
      </c>
      <c r="M175" s="46" t="s">
        <v>1592</v>
      </c>
      <c r="N175" s="46" t="s">
        <v>1593</v>
      </c>
      <c r="O175" s="46" t="s">
        <v>1594</v>
      </c>
      <c r="P175" s="46" t="s">
        <v>1737</v>
      </c>
      <c r="Q175" s="46">
        <v>0</v>
      </c>
      <c r="R175" s="48" t="s">
        <v>132</v>
      </c>
      <c r="S175" s="49">
        <v>0</v>
      </c>
      <c r="T175" s="48" t="s">
        <v>111</v>
      </c>
      <c r="U175" s="50">
        <v>0</v>
      </c>
      <c r="V175" s="89" t="s">
        <v>261</v>
      </c>
    </row>
    <row r="176" spans="2:22">
      <c r="B176" s="46" cm="1">
        <f t="array" aca="1" ref="B176" ca="1">OFFSET(INDIRECT(ADDRESS(ROW(),COLUMN())),0,6)</f>
        <v>180</v>
      </c>
      <c r="C176" s="46">
        <v>1</v>
      </c>
      <c r="D176" s="46"/>
      <c r="E176" s="46"/>
      <c r="F176" s="46"/>
      <c r="G176" s="46">
        <v>1</v>
      </c>
      <c r="H176" s="46">
        <v>180</v>
      </c>
      <c r="I176" s="88" t="s">
        <v>1595</v>
      </c>
      <c r="J176" s="46" t="s">
        <v>1596</v>
      </c>
      <c r="K176" s="46" t="s">
        <v>1597</v>
      </c>
      <c r="L176" s="46" t="s">
        <v>1598</v>
      </c>
      <c r="M176" s="46" t="s">
        <v>1599</v>
      </c>
      <c r="N176" s="46" t="s">
        <v>1600</v>
      </c>
      <c r="O176" s="46" t="s">
        <v>1601</v>
      </c>
      <c r="P176" s="46" t="s">
        <v>1738</v>
      </c>
      <c r="Q176" s="46">
        <v>0</v>
      </c>
      <c r="R176" s="48" t="s">
        <v>132</v>
      </c>
      <c r="S176" s="49">
        <v>0</v>
      </c>
      <c r="T176" s="48" t="s">
        <v>111</v>
      </c>
      <c r="U176" s="50">
        <v>0</v>
      </c>
      <c r="V176" s="89" t="s">
        <v>261</v>
      </c>
    </row>
    <row r="177" spans="2:22">
      <c r="B177" s="46" cm="1">
        <f t="array" aca="1" ref="B177" ca="1">OFFSET(INDIRECT(ADDRESS(ROW(),COLUMN())),0,6)</f>
        <v>181</v>
      </c>
      <c r="C177" s="46">
        <v>1</v>
      </c>
      <c r="D177" s="46"/>
      <c r="E177" s="46"/>
      <c r="F177" s="46"/>
      <c r="G177" s="46">
        <v>1</v>
      </c>
      <c r="H177" s="46">
        <v>181</v>
      </c>
      <c r="I177" s="88" t="s">
        <v>1602</v>
      </c>
      <c r="J177" s="46" t="s">
        <v>1603</v>
      </c>
      <c r="K177" s="46" t="s">
        <v>1604</v>
      </c>
      <c r="L177" s="46" t="s">
        <v>1605</v>
      </c>
      <c r="M177" s="46" t="s">
        <v>1606</v>
      </c>
      <c r="N177" s="46" t="s">
        <v>1607</v>
      </c>
      <c r="O177" s="46" t="s">
        <v>1608</v>
      </c>
      <c r="P177" s="46" t="s">
        <v>1739</v>
      </c>
      <c r="Q177" s="46">
        <v>0</v>
      </c>
      <c r="R177" s="48" t="s">
        <v>132</v>
      </c>
      <c r="S177" s="49">
        <v>0</v>
      </c>
      <c r="T177" s="48" t="s">
        <v>111</v>
      </c>
      <c r="U177" s="50">
        <v>0</v>
      </c>
      <c r="V177" s="89" t="s">
        <v>261</v>
      </c>
    </row>
    <row r="178" spans="2:22">
      <c r="B178" s="46" cm="1">
        <f t="array" aca="1" ref="B178" ca="1">OFFSET(INDIRECT(ADDRESS(ROW(),COLUMN())),0,6)</f>
        <v>182</v>
      </c>
      <c r="C178" s="46">
        <v>1</v>
      </c>
      <c r="D178" s="46"/>
      <c r="E178" s="46"/>
      <c r="F178" s="46"/>
      <c r="G178" s="46">
        <v>1</v>
      </c>
      <c r="H178" s="46">
        <v>182</v>
      </c>
      <c r="I178" s="88" t="s">
        <v>295</v>
      </c>
      <c r="J178" s="46" t="s">
        <v>572</v>
      </c>
      <c r="K178" s="46" t="s">
        <v>571</v>
      </c>
      <c r="L178" s="46" t="s">
        <v>571</v>
      </c>
      <c r="M178" s="46" t="s">
        <v>993</v>
      </c>
      <c r="N178" s="46" t="s">
        <v>874</v>
      </c>
      <c r="O178" s="46" t="s">
        <v>875</v>
      </c>
      <c r="P178" s="46" t="s">
        <v>876</v>
      </c>
      <c r="Q178" s="46">
        <v>0</v>
      </c>
      <c r="R178" s="48" t="s">
        <v>132</v>
      </c>
      <c r="S178" s="49">
        <v>0</v>
      </c>
      <c r="T178" s="48" t="s">
        <v>255</v>
      </c>
      <c r="U178" s="50">
        <v>21</v>
      </c>
      <c r="V178" s="89" t="s">
        <v>261</v>
      </c>
    </row>
    <row r="179" spans="2:22">
      <c r="B179" s="46" cm="1">
        <f t="array" aca="1" ref="B179" ca="1">OFFSET(INDIRECT(ADDRESS(ROW(),COLUMN())),0,6)</f>
        <v>183</v>
      </c>
      <c r="C179" s="46">
        <v>1</v>
      </c>
      <c r="D179" s="46"/>
      <c r="E179" s="46"/>
      <c r="F179" s="46"/>
      <c r="G179" s="46">
        <v>1</v>
      </c>
      <c r="H179" s="46">
        <v>183</v>
      </c>
      <c r="I179" s="88" t="s">
        <v>296</v>
      </c>
      <c r="J179" s="46" t="s">
        <v>575</v>
      </c>
      <c r="K179" s="46" t="s">
        <v>573</v>
      </c>
      <c r="L179" s="46" t="s">
        <v>574</v>
      </c>
      <c r="M179" s="46" t="s">
        <v>994</v>
      </c>
      <c r="N179" s="46" t="s">
        <v>877</v>
      </c>
      <c r="O179" s="46" t="s">
        <v>878</v>
      </c>
      <c r="P179" s="46" t="s">
        <v>879</v>
      </c>
      <c r="Q179" s="46">
        <v>0</v>
      </c>
      <c r="R179" s="48" t="s">
        <v>132</v>
      </c>
      <c r="S179" s="49">
        <v>0</v>
      </c>
      <c r="T179" s="48" t="s">
        <v>255</v>
      </c>
      <c r="U179" s="50">
        <v>21</v>
      </c>
      <c r="V179" s="89" t="s">
        <v>261</v>
      </c>
    </row>
    <row r="180" spans="2:22">
      <c r="B180" s="46" cm="1">
        <f t="array" aca="1" ref="B180" ca="1">OFFSET(INDIRECT(ADDRESS(ROW(),COLUMN())),0,6)</f>
        <v>184</v>
      </c>
      <c r="C180" s="46">
        <v>1</v>
      </c>
      <c r="D180" s="46"/>
      <c r="E180" s="46"/>
      <c r="F180" s="46"/>
      <c r="G180" s="46">
        <v>1</v>
      </c>
      <c r="H180" s="46">
        <v>184</v>
      </c>
      <c r="I180" s="88" t="s">
        <v>1740</v>
      </c>
      <c r="J180" s="46" t="s">
        <v>1741</v>
      </c>
      <c r="K180" s="46" t="s">
        <v>1742</v>
      </c>
      <c r="L180" s="46" t="s">
        <v>1743</v>
      </c>
      <c r="M180" s="46" t="s">
        <v>1744</v>
      </c>
      <c r="N180" s="46" t="s">
        <v>1745</v>
      </c>
      <c r="O180" s="46" t="s">
        <v>1746</v>
      </c>
      <c r="P180" s="46" t="s">
        <v>1747</v>
      </c>
      <c r="Q180" s="46">
        <v>0</v>
      </c>
      <c r="R180" s="48" t="s">
        <v>132</v>
      </c>
      <c r="S180" s="49">
        <v>0</v>
      </c>
      <c r="T180" s="48" t="s">
        <v>255</v>
      </c>
      <c r="U180" s="50">
        <v>21</v>
      </c>
      <c r="V180" s="89" t="s">
        <v>261</v>
      </c>
    </row>
    <row r="181" spans="2:22">
      <c r="B181" s="46" cm="1">
        <f t="array" aca="1" ref="B181" ca="1">OFFSET(INDIRECT(ADDRESS(ROW(),COLUMN())),0,6)</f>
        <v>185</v>
      </c>
      <c r="C181" s="46">
        <v>1</v>
      </c>
      <c r="D181" s="46"/>
      <c r="E181" s="46"/>
      <c r="F181" s="46"/>
      <c r="G181" s="46">
        <v>1</v>
      </c>
      <c r="H181" s="46">
        <v>185</v>
      </c>
      <c r="I181" s="88" t="s">
        <v>297</v>
      </c>
      <c r="J181" s="46" t="s">
        <v>578</v>
      </c>
      <c r="K181" s="46" t="s">
        <v>576</v>
      </c>
      <c r="L181" s="46" t="s">
        <v>577</v>
      </c>
      <c r="M181" s="46" t="s">
        <v>995</v>
      </c>
      <c r="N181" s="46" t="s">
        <v>880</v>
      </c>
      <c r="O181" s="46" t="s">
        <v>881</v>
      </c>
      <c r="P181" s="46" t="s">
        <v>882</v>
      </c>
      <c r="Q181" s="46">
        <v>0</v>
      </c>
      <c r="R181" s="48" t="s">
        <v>132</v>
      </c>
      <c r="S181" s="49">
        <v>0</v>
      </c>
      <c r="T181" s="48" t="s">
        <v>255</v>
      </c>
      <c r="U181" s="50">
        <v>21</v>
      </c>
      <c r="V181" s="89" t="s">
        <v>261</v>
      </c>
    </row>
    <row r="182" spans="2:22">
      <c r="B182" s="46" cm="1">
        <f t="array" aca="1" ref="B182" ca="1">OFFSET(INDIRECT(ADDRESS(ROW(),COLUMN())),0,6)</f>
        <v>186</v>
      </c>
      <c r="C182" s="46">
        <v>1</v>
      </c>
      <c r="D182" s="46"/>
      <c r="E182" s="46"/>
      <c r="F182" s="46"/>
      <c r="G182" s="46">
        <v>1</v>
      </c>
      <c r="H182" s="46">
        <v>186</v>
      </c>
      <c r="I182" s="88" t="s">
        <v>298</v>
      </c>
      <c r="J182" s="46" t="s">
        <v>581</v>
      </c>
      <c r="K182" s="46" t="s">
        <v>579</v>
      </c>
      <c r="L182" s="46" t="s">
        <v>580</v>
      </c>
      <c r="M182" s="46" t="s">
        <v>996</v>
      </c>
      <c r="N182" s="46" t="s">
        <v>883</v>
      </c>
      <c r="O182" s="46" t="s">
        <v>884</v>
      </c>
      <c r="P182" s="46" t="s">
        <v>885</v>
      </c>
      <c r="Q182" s="46">
        <v>0</v>
      </c>
      <c r="R182" s="48" t="s">
        <v>132</v>
      </c>
      <c r="S182" s="49">
        <v>0</v>
      </c>
      <c r="T182" s="48" t="s">
        <v>111</v>
      </c>
      <c r="U182" s="50">
        <v>0</v>
      </c>
      <c r="V182" s="89" t="s">
        <v>261</v>
      </c>
    </row>
    <row r="183" spans="2:22">
      <c r="B183" s="46" cm="1">
        <f t="array" aca="1" ref="B183" ca="1">OFFSET(INDIRECT(ADDRESS(ROW(),COLUMN())),0,6)</f>
        <v>187</v>
      </c>
      <c r="C183" s="46">
        <v>1</v>
      </c>
      <c r="D183" s="46"/>
      <c r="E183" s="46"/>
      <c r="F183" s="46"/>
      <c r="G183" s="46">
        <v>1</v>
      </c>
      <c r="H183" s="46">
        <v>187</v>
      </c>
      <c r="I183" s="88" t="s">
        <v>308</v>
      </c>
      <c r="J183" s="46" t="s">
        <v>585</v>
      </c>
      <c r="K183" s="46" t="s">
        <v>582</v>
      </c>
      <c r="L183" s="46" t="s">
        <v>583</v>
      </c>
      <c r="M183" s="46" t="s">
        <v>584</v>
      </c>
      <c r="N183" s="46" t="s">
        <v>886</v>
      </c>
      <c r="O183" s="46" t="s">
        <v>887</v>
      </c>
      <c r="P183" s="46" t="s">
        <v>888</v>
      </c>
      <c r="Q183" s="46">
        <v>0</v>
      </c>
      <c r="R183" s="48" t="s">
        <v>132</v>
      </c>
      <c r="S183" s="49">
        <v>0</v>
      </c>
      <c r="T183" s="48" t="s">
        <v>111</v>
      </c>
      <c r="U183" s="50">
        <v>0</v>
      </c>
      <c r="V183" s="89" t="s">
        <v>261</v>
      </c>
    </row>
    <row r="184" spans="2:22">
      <c r="B184" s="46" cm="1">
        <f t="array" aca="1" ref="B184" ca="1">OFFSET(INDIRECT(ADDRESS(ROW(),COLUMN())),0,6)</f>
        <v>188</v>
      </c>
      <c r="C184" s="46">
        <v>1</v>
      </c>
      <c r="D184" s="46"/>
      <c r="E184" s="46"/>
      <c r="F184" s="46"/>
      <c r="G184" s="46">
        <v>1</v>
      </c>
      <c r="H184" s="46">
        <v>188</v>
      </c>
      <c r="I184" s="111" t="s">
        <v>1635</v>
      </c>
      <c r="J184" s="46" t="s">
        <v>1636</v>
      </c>
      <c r="K184" s="46" t="s">
        <v>1748</v>
      </c>
      <c r="L184" s="46" t="s">
        <v>1637</v>
      </c>
      <c r="M184" s="46" t="s">
        <v>1638</v>
      </c>
      <c r="N184" s="46" t="s">
        <v>1639</v>
      </c>
      <c r="O184" s="46" t="s">
        <v>1640</v>
      </c>
      <c r="P184" s="46" t="s">
        <v>1641</v>
      </c>
      <c r="Q184" s="46">
        <v>0</v>
      </c>
      <c r="R184" s="48" t="s">
        <v>132</v>
      </c>
      <c r="S184" s="49">
        <v>0</v>
      </c>
      <c r="T184" s="48" t="s">
        <v>111</v>
      </c>
      <c r="U184" s="50">
        <v>0</v>
      </c>
      <c r="V184" s="89" t="s">
        <v>261</v>
      </c>
    </row>
    <row r="185" spans="2:22">
      <c r="B185" s="46" cm="1">
        <f t="array" aca="1" ref="B185" ca="1">OFFSET(INDIRECT(ADDRESS(ROW(),COLUMN())),0,6)</f>
        <v>189</v>
      </c>
      <c r="C185" s="46">
        <v>1</v>
      </c>
      <c r="D185" s="46"/>
      <c r="E185" s="46"/>
      <c r="F185" s="46"/>
      <c r="G185" s="46">
        <v>1</v>
      </c>
      <c r="H185" s="46">
        <v>189</v>
      </c>
      <c r="I185" s="88" t="s">
        <v>310</v>
      </c>
      <c r="J185" s="46" t="s">
        <v>588</v>
      </c>
      <c r="K185" s="46" t="s">
        <v>586</v>
      </c>
      <c r="L185" s="46" t="s">
        <v>587</v>
      </c>
      <c r="M185" s="46" t="s">
        <v>997</v>
      </c>
      <c r="N185" s="46" t="s">
        <v>889</v>
      </c>
      <c r="O185" s="46" t="s">
        <v>890</v>
      </c>
      <c r="P185" s="46" t="s">
        <v>891</v>
      </c>
      <c r="Q185" s="46">
        <v>0</v>
      </c>
      <c r="R185" s="48" t="s">
        <v>132</v>
      </c>
      <c r="S185" s="49">
        <v>0</v>
      </c>
      <c r="T185" s="48" t="s">
        <v>111</v>
      </c>
      <c r="U185" s="50">
        <v>0</v>
      </c>
      <c r="V185" s="89" t="s">
        <v>311</v>
      </c>
    </row>
    <row r="186" spans="2:22">
      <c r="B186" s="46" cm="1">
        <f t="array" aca="1" ref="B186" ca="1">OFFSET(INDIRECT(ADDRESS(ROW(),COLUMN())),0,6)</f>
        <v>190</v>
      </c>
      <c r="C186" s="46">
        <v>1</v>
      </c>
      <c r="D186" s="46"/>
      <c r="E186" s="46"/>
      <c r="F186" s="46"/>
      <c r="G186" s="46">
        <v>1</v>
      </c>
      <c r="H186" s="46">
        <v>190</v>
      </c>
      <c r="I186" s="88" t="s">
        <v>326</v>
      </c>
      <c r="J186" s="46" t="s">
        <v>591</v>
      </c>
      <c r="K186" s="46" t="s">
        <v>589</v>
      </c>
      <c r="L186" s="46" t="s">
        <v>590</v>
      </c>
      <c r="M186" s="46" t="s">
        <v>998</v>
      </c>
      <c r="N186" s="46" t="s">
        <v>892</v>
      </c>
      <c r="O186" s="46" t="s">
        <v>893</v>
      </c>
      <c r="P186" s="46" t="s">
        <v>894</v>
      </c>
      <c r="Q186" s="46">
        <v>0</v>
      </c>
      <c r="R186" s="48" t="s">
        <v>132</v>
      </c>
      <c r="S186" s="49">
        <v>0</v>
      </c>
      <c r="T186" s="48" t="s">
        <v>111</v>
      </c>
      <c r="U186" s="50">
        <v>0</v>
      </c>
      <c r="V186" s="89" t="s">
        <v>313</v>
      </c>
    </row>
    <row r="187" spans="2:22">
      <c r="B187" s="46" cm="1">
        <f t="array" aca="1" ref="B187" ca="1">OFFSET(INDIRECT(ADDRESS(ROW(),COLUMN())),0,6)</f>
        <v>191</v>
      </c>
      <c r="C187" s="46">
        <v>1</v>
      </c>
      <c r="D187" s="46"/>
      <c r="E187" s="46"/>
      <c r="F187" s="46"/>
      <c r="G187" s="46">
        <v>1</v>
      </c>
      <c r="H187" s="46">
        <v>191</v>
      </c>
      <c r="I187" s="88" t="s">
        <v>23</v>
      </c>
      <c r="J187" s="46" t="s">
        <v>419</v>
      </c>
      <c r="K187" s="46" t="s">
        <v>417</v>
      </c>
      <c r="L187" s="46" t="s">
        <v>418</v>
      </c>
      <c r="M187" s="46" t="s">
        <v>417</v>
      </c>
      <c r="N187" s="46" t="s">
        <v>751</v>
      </c>
      <c r="O187" s="46" t="s">
        <v>752</v>
      </c>
      <c r="P187" s="46" t="s">
        <v>419</v>
      </c>
      <c r="Q187" s="46">
        <v>0</v>
      </c>
      <c r="R187" s="48" t="s">
        <v>132</v>
      </c>
      <c r="S187" s="49">
        <v>0</v>
      </c>
      <c r="T187" s="48" t="s">
        <v>111</v>
      </c>
      <c r="U187" s="50">
        <v>0</v>
      </c>
      <c r="V187" s="89" t="s">
        <v>313</v>
      </c>
    </row>
    <row r="188" spans="2:22">
      <c r="B188" s="46" cm="1">
        <f t="array" aca="1" ref="B188" ca="1">OFFSET(INDIRECT(ADDRESS(ROW(),COLUMN())),0,6)</f>
        <v>192</v>
      </c>
      <c r="C188" s="46">
        <v>1</v>
      </c>
      <c r="D188" s="46"/>
      <c r="E188" s="46"/>
      <c r="F188" s="46"/>
      <c r="G188" s="46">
        <v>1</v>
      </c>
      <c r="H188" s="46">
        <v>192</v>
      </c>
      <c r="I188" s="88" t="s">
        <v>314</v>
      </c>
      <c r="J188" s="46" t="s">
        <v>595</v>
      </c>
      <c r="K188" s="46" t="s">
        <v>592</v>
      </c>
      <c r="L188" s="46" t="s">
        <v>593</v>
      </c>
      <c r="M188" s="46" t="s">
        <v>594</v>
      </c>
      <c r="N188" s="46" t="s">
        <v>895</v>
      </c>
      <c r="O188" s="46" t="s">
        <v>896</v>
      </c>
      <c r="P188" s="46" t="s">
        <v>896</v>
      </c>
      <c r="Q188" s="46">
        <v>0</v>
      </c>
      <c r="R188" s="48" t="s">
        <v>132</v>
      </c>
      <c r="S188" s="49">
        <v>0</v>
      </c>
      <c r="T188" s="48" t="s">
        <v>111</v>
      </c>
      <c r="U188" s="50">
        <v>0</v>
      </c>
      <c r="V188" s="89" t="s">
        <v>315</v>
      </c>
    </row>
    <row r="189" spans="2:22">
      <c r="B189" s="46" cm="1">
        <f t="array" aca="1" ref="B189" ca="1">OFFSET(INDIRECT(ADDRESS(ROW(),COLUMN())),0,6)</f>
        <v>193</v>
      </c>
      <c r="C189" s="46">
        <v>1</v>
      </c>
      <c r="D189" s="46"/>
      <c r="E189" s="46"/>
      <c r="F189" s="46"/>
      <c r="G189" s="46">
        <v>1</v>
      </c>
      <c r="H189" s="46">
        <v>193</v>
      </c>
      <c r="I189" s="88" t="s">
        <v>321</v>
      </c>
      <c r="J189" s="46" t="s">
        <v>598</v>
      </c>
      <c r="K189" s="46" t="s">
        <v>596</v>
      </c>
      <c r="L189" s="46" t="s">
        <v>597</v>
      </c>
      <c r="M189" s="46" t="s">
        <v>417</v>
      </c>
      <c r="N189" s="46" t="s">
        <v>897</v>
      </c>
      <c r="O189" s="46" t="s">
        <v>898</v>
      </c>
      <c r="P189" s="46" t="s">
        <v>899</v>
      </c>
      <c r="Q189" s="46">
        <v>0</v>
      </c>
      <c r="R189" s="48" t="s">
        <v>132</v>
      </c>
      <c r="S189" s="49">
        <v>0</v>
      </c>
      <c r="T189" s="48" t="s">
        <v>111</v>
      </c>
      <c r="U189" s="50">
        <v>0</v>
      </c>
      <c r="V189" s="89" t="s">
        <v>325</v>
      </c>
    </row>
    <row r="190" spans="2:22">
      <c r="B190" s="46" cm="1">
        <f t="array" aca="1" ref="B190" ca="1">OFFSET(INDIRECT(ADDRESS(ROW(),COLUMN())),0,6)</f>
        <v>194</v>
      </c>
      <c r="C190" s="46">
        <v>1</v>
      </c>
      <c r="D190" s="46"/>
      <c r="E190" s="46"/>
      <c r="F190" s="46"/>
      <c r="G190" s="46">
        <v>1</v>
      </c>
      <c r="H190" s="46">
        <v>194</v>
      </c>
      <c r="I190" s="88" t="s">
        <v>322</v>
      </c>
      <c r="J190" s="46" t="s">
        <v>602</v>
      </c>
      <c r="K190" s="46" t="s">
        <v>599</v>
      </c>
      <c r="L190" s="46" t="s">
        <v>600</v>
      </c>
      <c r="M190" s="46" t="s">
        <v>601</v>
      </c>
      <c r="N190" s="46" t="s">
        <v>900</v>
      </c>
      <c r="O190" s="46" t="s">
        <v>901</v>
      </c>
      <c r="P190" s="46" t="s">
        <v>902</v>
      </c>
      <c r="Q190" s="46">
        <v>0</v>
      </c>
      <c r="R190" s="48" t="s">
        <v>132</v>
      </c>
      <c r="S190" s="49">
        <v>0</v>
      </c>
      <c r="T190" s="48" t="s">
        <v>111</v>
      </c>
      <c r="U190" s="50">
        <v>0</v>
      </c>
      <c r="V190" s="89" t="s">
        <v>325</v>
      </c>
    </row>
    <row r="191" spans="2:22">
      <c r="B191" s="46" cm="1">
        <f t="array" aca="1" ref="B191" ca="1">OFFSET(INDIRECT(ADDRESS(ROW(),COLUMN())),0,6)</f>
        <v>195</v>
      </c>
      <c r="C191" s="46">
        <v>1</v>
      </c>
      <c r="D191" s="46"/>
      <c r="E191" s="46"/>
      <c r="F191" s="46"/>
      <c r="G191" s="46">
        <v>1</v>
      </c>
      <c r="H191" s="46">
        <v>195</v>
      </c>
      <c r="I191" s="88" t="s">
        <v>323</v>
      </c>
      <c r="J191" s="46" t="s">
        <v>421</v>
      </c>
      <c r="K191" s="46" t="s">
        <v>420</v>
      </c>
      <c r="L191" s="46" t="s">
        <v>420</v>
      </c>
      <c r="M191" s="46" t="s">
        <v>420</v>
      </c>
      <c r="N191" s="46" t="s">
        <v>753</v>
      </c>
      <c r="O191" s="46" t="s">
        <v>754</v>
      </c>
      <c r="P191" s="46" t="s">
        <v>754</v>
      </c>
      <c r="Q191" s="46">
        <v>0</v>
      </c>
      <c r="R191" s="48" t="s">
        <v>132</v>
      </c>
      <c r="S191" s="49">
        <v>0</v>
      </c>
      <c r="T191" s="48" t="s">
        <v>111</v>
      </c>
      <c r="U191" s="50">
        <v>0</v>
      </c>
      <c r="V191" s="89" t="s">
        <v>325</v>
      </c>
    </row>
    <row r="192" spans="2:22">
      <c r="B192" s="46" cm="1">
        <f t="array" aca="1" ref="B192" ca="1">OFFSET(INDIRECT(ADDRESS(ROW(),COLUMN())),0,6)</f>
        <v>196</v>
      </c>
      <c r="C192" s="46">
        <v>1</v>
      </c>
      <c r="D192" s="46"/>
      <c r="E192" s="46"/>
      <c r="F192" s="46"/>
      <c r="G192" s="46">
        <v>1</v>
      </c>
      <c r="H192" s="46">
        <v>196</v>
      </c>
      <c r="I192" s="88" t="s">
        <v>324</v>
      </c>
      <c r="J192" s="46" t="s">
        <v>419</v>
      </c>
      <c r="K192" s="46" t="s">
        <v>417</v>
      </c>
      <c r="L192" s="46" t="s">
        <v>418</v>
      </c>
      <c r="M192" s="46" t="s">
        <v>417</v>
      </c>
      <c r="N192" s="46" t="s">
        <v>751</v>
      </c>
      <c r="O192" s="46" t="s">
        <v>752</v>
      </c>
      <c r="P192" s="46" t="s">
        <v>419</v>
      </c>
      <c r="Q192" s="46">
        <v>0</v>
      </c>
      <c r="R192" s="48" t="s">
        <v>132</v>
      </c>
      <c r="S192" s="49">
        <v>0</v>
      </c>
      <c r="T192" s="48" t="s">
        <v>111</v>
      </c>
      <c r="U192" s="50">
        <v>0</v>
      </c>
      <c r="V192" s="89" t="s">
        <v>325</v>
      </c>
    </row>
    <row r="193" spans="2:22" ht="12.75" thickBot="1">
      <c r="B193" s="46" cm="1">
        <f t="array" aca="1" ref="B193" ca="1">OFFSET(INDIRECT(ADDRESS(ROW(),COLUMN())),0,6)</f>
        <v>197</v>
      </c>
      <c r="C193" s="46">
        <v>1</v>
      </c>
      <c r="D193" s="46"/>
      <c r="E193" s="46"/>
      <c r="F193" s="46"/>
      <c r="G193" s="46">
        <v>1</v>
      </c>
      <c r="H193" s="46">
        <v>197</v>
      </c>
      <c r="I193" s="88" t="s">
        <v>328</v>
      </c>
      <c r="J193" s="46" t="s">
        <v>604</v>
      </c>
      <c r="K193" s="46" t="s">
        <v>684</v>
      </c>
      <c r="L193" s="46" t="s">
        <v>603</v>
      </c>
      <c r="M193" s="46" t="s">
        <v>999</v>
      </c>
      <c r="N193" s="46" t="s">
        <v>903</v>
      </c>
      <c r="O193" s="46" t="s">
        <v>904</v>
      </c>
      <c r="P193" s="46" t="s">
        <v>905</v>
      </c>
      <c r="Q193" s="46">
        <v>0</v>
      </c>
      <c r="R193" s="48" t="s">
        <v>132</v>
      </c>
      <c r="S193" s="49">
        <v>0</v>
      </c>
      <c r="T193" s="48" t="s">
        <v>111</v>
      </c>
      <c r="U193" s="50">
        <v>0</v>
      </c>
      <c r="V193" s="89" t="s">
        <v>327</v>
      </c>
    </row>
    <row r="194" spans="2:22" ht="12.75" thickBot="1">
      <c r="B194" s="62" cm="1">
        <f t="array" aca="1" ref="B194" ca="1">OFFSET(INDIRECT(ADDRESS(ROW(),COLUMN())),0,6)</f>
        <v>198</v>
      </c>
      <c r="C194" s="82">
        <v>1</v>
      </c>
      <c r="D194" s="82"/>
      <c r="E194" s="82"/>
      <c r="F194" s="82"/>
      <c r="G194" s="46">
        <v>1</v>
      </c>
      <c r="H194" s="63">
        <v>198</v>
      </c>
      <c r="I194" s="90" t="s">
        <v>332</v>
      </c>
      <c r="J194" s="63" t="s">
        <v>606</v>
      </c>
      <c r="K194" s="63" t="s">
        <v>687</v>
      </c>
      <c r="L194" s="63" t="s">
        <v>605</v>
      </c>
      <c r="M194" s="63" t="s">
        <v>1000</v>
      </c>
      <c r="N194" s="63" t="s">
        <v>967</v>
      </c>
      <c r="O194" s="63" t="s">
        <v>968</v>
      </c>
      <c r="P194" s="63" t="s">
        <v>969</v>
      </c>
      <c r="Q194" s="63">
        <v>0</v>
      </c>
      <c r="R194" s="63" t="s">
        <v>132</v>
      </c>
      <c r="S194" s="63">
        <v>0</v>
      </c>
      <c r="T194" s="63" t="s">
        <v>111</v>
      </c>
      <c r="U194" s="63">
        <v>0</v>
      </c>
      <c r="V194" s="91" t="s">
        <v>329</v>
      </c>
    </row>
    <row r="195" spans="2:22" ht="12.75" thickBot="1">
      <c r="B195" s="39" cm="1">
        <f t="array" aca="1" ref="B195" ca="1">OFFSET(INDIRECT(ADDRESS(ROW(),COLUMN())),0,6)</f>
        <v>199</v>
      </c>
      <c r="C195" s="39">
        <v>1</v>
      </c>
      <c r="D195" s="39"/>
      <c r="E195" s="39"/>
      <c r="F195" s="39"/>
      <c r="G195" s="46">
        <v>1</v>
      </c>
      <c r="H195" s="39">
        <v>199</v>
      </c>
      <c r="I195" s="38" t="s">
        <v>330</v>
      </c>
      <c r="J195" s="39" t="s">
        <v>608</v>
      </c>
      <c r="K195" s="39" t="s">
        <v>688</v>
      </c>
      <c r="L195" s="39" t="s">
        <v>607</v>
      </c>
      <c r="M195" s="39" t="s">
        <v>1001</v>
      </c>
      <c r="N195" s="39" t="s">
        <v>970</v>
      </c>
      <c r="O195" s="39" t="s">
        <v>971</v>
      </c>
      <c r="P195" s="39" t="s">
        <v>972</v>
      </c>
      <c r="Q195" s="39">
        <v>0</v>
      </c>
      <c r="R195" s="39" t="s">
        <v>132</v>
      </c>
      <c r="S195" s="39">
        <v>0</v>
      </c>
      <c r="T195" s="39" t="s">
        <v>111</v>
      </c>
      <c r="U195" s="39">
        <v>0</v>
      </c>
      <c r="V195" s="38" t="s">
        <v>331</v>
      </c>
    </row>
    <row r="196" spans="2:22" ht="12.75" thickBot="1">
      <c r="B196" s="64" cm="1">
        <f t="array" aca="1" ref="B196" ca="1">OFFSET(INDIRECT(ADDRESS(ROW(),COLUMN())),0,6)</f>
        <v>1001</v>
      </c>
      <c r="C196" s="65">
        <v>1</v>
      </c>
      <c r="D196" s="65"/>
      <c r="E196" s="65"/>
      <c r="F196" s="65"/>
      <c r="G196" s="46">
        <v>1</v>
      </c>
      <c r="H196" s="65">
        <v>1001</v>
      </c>
      <c r="I196" s="92" t="s">
        <v>1813</v>
      </c>
      <c r="J196" s="92" t="str">
        <f>I196</f>
        <v>The Triumphant Tiger Demon King summons the Spell Stone of Weakness.</v>
      </c>
      <c r="K196" s="92" t="str">
        <f>I196</f>
        <v>The Triumphant Tiger Demon King summons the Spell Stone of Weakness.</v>
      </c>
      <c r="L196" s="92" t="str">
        <f>I196</f>
        <v>The Triumphant Tiger Demon King summons the Spell Stone of Weakness.</v>
      </c>
      <c r="M196" s="92" t="str">
        <f>I196</f>
        <v>The Triumphant Tiger Demon King summons the Spell Stone of Weakness.</v>
      </c>
      <c r="N196" s="92" t="str">
        <f>I196</f>
        <v>The Triumphant Tiger Demon King summons the Spell Stone of Weakness.</v>
      </c>
      <c r="O196" s="92" t="str">
        <f>I196</f>
        <v>The Triumphant Tiger Demon King summons the Spell Stone of Weakness.</v>
      </c>
      <c r="P196" s="92" t="str">
        <f>I196</f>
        <v>The Triumphant Tiger Demon King summons the Spell Stone of Weakness.</v>
      </c>
      <c r="Q196" s="65">
        <v>0</v>
      </c>
      <c r="R196" s="65" t="s">
        <v>132</v>
      </c>
      <c r="S196" s="65">
        <v>0</v>
      </c>
      <c r="T196" s="65" t="s">
        <v>111</v>
      </c>
      <c r="U196" s="65">
        <v>0</v>
      </c>
      <c r="V196" s="93" t="s">
        <v>336</v>
      </c>
    </row>
    <row r="197" spans="2:22">
      <c r="B197" s="66" cm="1">
        <f t="array" aca="1" ref="B197" ca="1">OFFSET(INDIRECT(ADDRESS(ROW(),COLUMN())),0,6)</f>
        <v>1002</v>
      </c>
      <c r="C197" s="67">
        <v>1</v>
      </c>
      <c r="D197" s="67"/>
      <c r="E197" s="67"/>
      <c r="F197" s="67"/>
      <c r="G197" s="46">
        <v>1</v>
      </c>
      <c r="H197" s="67">
        <v>1002</v>
      </c>
      <c r="I197" s="94" t="s">
        <v>337</v>
      </c>
      <c r="J197" s="68" t="s">
        <v>456</v>
      </c>
      <c r="K197" s="68" t="s">
        <v>455</v>
      </c>
      <c r="L197" s="68" t="s">
        <v>454</v>
      </c>
      <c r="M197" s="68" t="s">
        <v>455</v>
      </c>
      <c r="N197" s="68" t="s">
        <v>973</v>
      </c>
      <c r="O197" s="68" t="s">
        <v>777</v>
      </c>
      <c r="P197" s="68" t="s">
        <v>778</v>
      </c>
      <c r="Q197" s="68">
        <v>0</v>
      </c>
      <c r="R197" s="69" t="s">
        <v>132</v>
      </c>
      <c r="S197" s="70">
        <v>0</v>
      </c>
      <c r="T197" s="69" t="s">
        <v>111</v>
      </c>
      <c r="U197" s="71">
        <v>0</v>
      </c>
      <c r="V197" s="95" t="s">
        <v>339</v>
      </c>
    </row>
    <row r="198" spans="2:22">
      <c r="B198" s="72" cm="1">
        <f t="array" aca="1" ref="B198" ca="1">OFFSET(INDIRECT(ADDRESS(ROW(),COLUMN())),0,6)</f>
        <v>1003</v>
      </c>
      <c r="C198" s="39">
        <v>1</v>
      </c>
      <c r="D198" s="39"/>
      <c r="E198" s="39"/>
      <c r="F198" s="39"/>
      <c r="G198" s="46">
        <v>1</v>
      </c>
      <c r="H198" s="39">
        <v>1003</v>
      </c>
      <c r="I198" s="38" t="s">
        <v>338</v>
      </c>
      <c r="J198" s="46" t="s">
        <v>611</v>
      </c>
      <c r="K198" s="46" t="s">
        <v>609</v>
      </c>
      <c r="L198" s="46" t="s">
        <v>610</v>
      </c>
      <c r="M198" s="46" t="s">
        <v>1002</v>
      </c>
      <c r="N198" s="46" t="s">
        <v>974</v>
      </c>
      <c r="O198" s="46" t="s">
        <v>975</v>
      </c>
      <c r="P198" s="46" t="s">
        <v>976</v>
      </c>
      <c r="Q198" s="46">
        <v>0</v>
      </c>
      <c r="R198" s="48" t="s">
        <v>132</v>
      </c>
      <c r="S198" s="49">
        <v>0</v>
      </c>
      <c r="T198" s="48" t="s">
        <v>111</v>
      </c>
      <c r="U198" s="50">
        <v>0</v>
      </c>
      <c r="V198" s="96" t="s">
        <v>340</v>
      </c>
    </row>
    <row r="199" spans="2:22" ht="12.75" thickBot="1">
      <c r="B199" s="73" cm="1">
        <f t="array" aca="1" ref="B199" ca="1">OFFSET(INDIRECT(ADDRESS(ROW(),COLUMN())),0,6)</f>
        <v>1004</v>
      </c>
      <c r="C199" s="74">
        <v>1</v>
      </c>
      <c r="D199" s="74"/>
      <c r="E199" s="74"/>
      <c r="F199" s="74"/>
      <c r="G199" s="46">
        <v>1</v>
      </c>
      <c r="H199" s="74">
        <v>1004</v>
      </c>
      <c r="I199" s="97" t="s">
        <v>342</v>
      </c>
      <c r="J199" s="75" t="s">
        <v>1749</v>
      </c>
      <c r="K199" s="75" t="s">
        <v>1750</v>
      </c>
      <c r="L199" s="75" t="s">
        <v>1751</v>
      </c>
      <c r="M199" s="75" t="s">
        <v>1752</v>
      </c>
      <c r="N199" s="75" t="s">
        <v>1753</v>
      </c>
      <c r="O199" s="75" t="s">
        <v>1754</v>
      </c>
      <c r="P199" s="75" t="s">
        <v>1755</v>
      </c>
      <c r="Q199" s="75">
        <v>0</v>
      </c>
      <c r="R199" s="76" t="s">
        <v>132</v>
      </c>
      <c r="S199" s="77">
        <v>0</v>
      </c>
      <c r="T199" s="76" t="s">
        <v>111</v>
      </c>
      <c r="U199" s="78">
        <v>0</v>
      </c>
      <c r="V199" s="98" t="s">
        <v>341</v>
      </c>
    </row>
    <row r="200" spans="2:22" ht="12.75" thickBot="1">
      <c r="B200" s="39">
        <v>1005</v>
      </c>
      <c r="C200" s="39">
        <v>1</v>
      </c>
      <c r="D200" s="39"/>
      <c r="E200" s="39"/>
      <c r="F200" s="39"/>
      <c r="G200" s="46">
        <v>1</v>
      </c>
      <c r="H200" s="39">
        <v>1005</v>
      </c>
      <c r="I200" s="38" t="s">
        <v>1814</v>
      </c>
      <c r="J200" s="38" t="str">
        <f>I200</f>
        <v>Use your physical attacks to bypass its strong spell defense.</v>
      </c>
      <c r="K200" s="38" t="str">
        <f>I200</f>
        <v>Use your physical attacks to bypass its strong spell defense.</v>
      </c>
      <c r="L200" s="38" t="str">
        <f>I200</f>
        <v>Use your physical attacks to bypass its strong spell defense.</v>
      </c>
      <c r="M200" s="38" t="str">
        <f>I200</f>
        <v>Use your physical attacks to bypass its strong spell defense.</v>
      </c>
      <c r="N200" s="38" t="str">
        <f>I200</f>
        <v>Use your physical attacks to bypass its strong spell defense.</v>
      </c>
      <c r="O200" s="38" t="str">
        <f>I200</f>
        <v>Use your physical attacks to bypass its strong spell defense.</v>
      </c>
      <c r="P200" s="38" t="str">
        <f>I200</f>
        <v>Use your physical attacks to bypass its strong spell defense.</v>
      </c>
      <c r="Q200" s="39">
        <v>0</v>
      </c>
      <c r="R200" s="76" t="s">
        <v>132</v>
      </c>
      <c r="S200" s="77">
        <v>0</v>
      </c>
      <c r="T200" s="76" t="s">
        <v>111</v>
      </c>
      <c r="U200" s="78">
        <v>0</v>
      </c>
      <c r="V200" s="38" t="s">
        <v>1010</v>
      </c>
    </row>
    <row r="201" spans="2:22">
      <c r="B201" s="39" cm="1">
        <f t="array" aca="1" ref="B201" ca="1">OFFSET(INDIRECT(ADDRESS(ROW(),COLUMN())),0,6)</f>
        <v>200</v>
      </c>
      <c r="C201" s="39">
        <v>1</v>
      </c>
      <c r="D201" s="39"/>
      <c r="E201" s="39"/>
      <c r="F201" s="39"/>
      <c r="G201" s="46">
        <v>1</v>
      </c>
      <c r="H201" s="39">
        <v>200</v>
      </c>
      <c r="I201" s="38" t="s">
        <v>333</v>
      </c>
      <c r="J201" s="39" t="s">
        <v>1609</v>
      </c>
      <c r="K201" s="39" t="s">
        <v>1610</v>
      </c>
      <c r="L201" s="39" t="s">
        <v>1611</v>
      </c>
      <c r="M201" s="39" t="s">
        <v>1612</v>
      </c>
      <c r="N201" s="39" t="s">
        <v>1613</v>
      </c>
      <c r="O201" s="39" t="s">
        <v>1614</v>
      </c>
      <c r="P201" s="39" t="s">
        <v>1614</v>
      </c>
      <c r="Q201" s="39">
        <v>0</v>
      </c>
      <c r="R201" s="39" t="s">
        <v>132</v>
      </c>
      <c r="S201" s="39">
        <v>0</v>
      </c>
      <c r="T201" s="39" t="s">
        <v>111</v>
      </c>
      <c r="U201" s="39">
        <v>0</v>
      </c>
      <c r="V201" s="38" t="s">
        <v>334</v>
      </c>
    </row>
    <row r="202" spans="2:22">
      <c r="B202" s="39" cm="1">
        <f t="array" aca="1" ref="B202" ca="1">OFFSET(INDIRECT(ADDRESS(ROW(),COLUMN())),0,6)</f>
        <v>239</v>
      </c>
      <c r="C202" s="39">
        <v>1</v>
      </c>
      <c r="D202" s="39"/>
      <c r="E202" s="39"/>
      <c r="F202" s="39"/>
      <c r="G202" s="46">
        <v>1</v>
      </c>
      <c r="H202" s="39">
        <v>239</v>
      </c>
      <c r="I202" s="38" t="s">
        <v>343</v>
      </c>
      <c r="J202" s="39" t="s">
        <v>614</v>
      </c>
      <c r="K202" s="39" t="s">
        <v>612</v>
      </c>
      <c r="L202" s="39" t="s">
        <v>613</v>
      </c>
      <c r="M202" s="39" t="s">
        <v>1003</v>
      </c>
      <c r="N202" s="39" t="s">
        <v>977</v>
      </c>
      <c r="O202" s="39" t="s">
        <v>978</v>
      </c>
      <c r="P202" s="39" t="s">
        <v>979</v>
      </c>
      <c r="Q202" s="39">
        <v>0</v>
      </c>
      <c r="R202" s="39" t="s">
        <v>132</v>
      </c>
      <c r="S202" s="39">
        <v>0</v>
      </c>
      <c r="T202" s="39" t="s">
        <v>111</v>
      </c>
      <c r="U202" s="39">
        <v>0</v>
      </c>
    </row>
    <row r="203" spans="2:22">
      <c r="B203" s="39" cm="1">
        <f t="array" aca="1" ref="B203" ca="1">OFFSET(INDIRECT(ADDRESS(ROW(),COLUMN())),0,6)</f>
        <v>240</v>
      </c>
      <c r="C203" s="39">
        <v>1</v>
      </c>
      <c r="D203" s="39"/>
      <c r="E203" s="39"/>
      <c r="F203" s="39"/>
      <c r="G203" s="46">
        <v>1</v>
      </c>
      <c r="H203" s="39">
        <v>240</v>
      </c>
      <c r="I203" s="38" t="s">
        <v>344</v>
      </c>
      <c r="J203" s="39" t="s">
        <v>617</v>
      </c>
      <c r="K203" s="39" t="s">
        <v>615</v>
      </c>
      <c r="L203" s="39" t="s">
        <v>616</v>
      </c>
      <c r="M203" s="39" t="s">
        <v>1004</v>
      </c>
      <c r="N203" s="39" t="s">
        <v>980</v>
      </c>
      <c r="O203" s="39" t="s">
        <v>981</v>
      </c>
      <c r="P203" s="39" t="s">
        <v>982</v>
      </c>
      <c r="Q203" s="39">
        <v>0</v>
      </c>
      <c r="R203" s="39" t="s">
        <v>132</v>
      </c>
      <c r="S203" s="39">
        <v>0</v>
      </c>
      <c r="T203" s="39" t="s">
        <v>111</v>
      </c>
      <c r="U203" s="39">
        <v>0</v>
      </c>
    </row>
    <row r="204" spans="2:22" ht="12.75" thickBot="1">
      <c r="B204" s="39" cm="1">
        <f t="array" aca="1" ref="B204" ca="1">OFFSET(INDIRECT(ADDRESS(ROW(),COLUMN())),0,6)</f>
        <v>241</v>
      </c>
      <c r="C204" s="39">
        <v>1</v>
      </c>
      <c r="D204" s="39"/>
      <c r="E204" s="39"/>
      <c r="F204" s="39"/>
      <c r="G204" s="100">
        <v>1</v>
      </c>
      <c r="H204" s="39">
        <v>241</v>
      </c>
      <c r="I204" s="38" t="s">
        <v>354</v>
      </c>
      <c r="J204" s="39" t="s">
        <v>1025</v>
      </c>
      <c r="K204" s="39" t="s">
        <v>1026</v>
      </c>
      <c r="L204" s="39" t="s">
        <v>1027</v>
      </c>
      <c r="M204" s="39" t="s">
        <v>668</v>
      </c>
      <c r="N204" s="39" t="s">
        <v>1028</v>
      </c>
      <c r="O204" s="39" t="s">
        <v>1029</v>
      </c>
      <c r="P204" s="39" t="s">
        <v>1030</v>
      </c>
      <c r="Q204" s="39">
        <v>0</v>
      </c>
      <c r="R204" s="39" t="s">
        <v>132</v>
      </c>
      <c r="S204" s="39">
        <v>0</v>
      </c>
      <c r="T204" s="39" t="s">
        <v>111</v>
      </c>
      <c r="U204" s="39">
        <v>0</v>
      </c>
      <c r="V204" s="38" t="s">
        <v>1024</v>
      </c>
    </row>
    <row r="205" spans="2:22" ht="12.75" thickBot="1">
      <c r="B205" s="107" cm="1">
        <f t="array" aca="1" ref="B205" ca="1">OFFSET(INDIRECT(ADDRESS(ROW(),COLUMN())),0,6)</f>
        <v>242</v>
      </c>
      <c r="C205" s="108">
        <v>1</v>
      </c>
      <c r="D205" s="108" t="s">
        <v>1013</v>
      </c>
      <c r="E205" s="108">
        <v>0</v>
      </c>
      <c r="F205" s="108" t="s">
        <v>1014</v>
      </c>
      <c r="G205" s="108">
        <v>1</v>
      </c>
      <c r="H205" s="108">
        <v>242</v>
      </c>
      <c r="I205" s="109" t="s">
        <v>1015</v>
      </c>
      <c r="J205" s="108" t="s">
        <v>1020</v>
      </c>
      <c r="K205" s="108" t="s">
        <v>1017</v>
      </c>
      <c r="L205" s="108" t="s">
        <v>1018</v>
      </c>
      <c r="M205" s="108" t="s">
        <v>1019</v>
      </c>
      <c r="N205" s="108" t="s">
        <v>1021</v>
      </c>
      <c r="O205" s="108" t="s">
        <v>1022</v>
      </c>
      <c r="P205" s="108" t="s">
        <v>1023</v>
      </c>
      <c r="Q205" s="108">
        <v>0</v>
      </c>
      <c r="R205" s="108" t="s">
        <v>132</v>
      </c>
      <c r="S205" s="108">
        <v>0</v>
      </c>
      <c r="T205" s="108" t="s">
        <v>111</v>
      </c>
      <c r="U205" s="108">
        <v>0</v>
      </c>
      <c r="V205" s="110" t="s">
        <v>1016</v>
      </c>
    </row>
    <row r="206" spans="2:22">
      <c r="B206" s="101" cm="1">
        <f t="array" aca="1" ref="B206" ca="1">OFFSET(INDIRECT(ADDRESS(ROW(),COLUMN())),0,6)</f>
        <v>10094</v>
      </c>
      <c r="C206" s="101">
        <v>1</v>
      </c>
      <c r="D206" s="101"/>
      <c r="E206" s="101"/>
      <c r="F206" s="101"/>
      <c r="G206" s="101">
        <v>1</v>
      </c>
      <c r="H206" s="101">
        <v>10094</v>
      </c>
      <c r="I206" s="102" t="s">
        <v>123</v>
      </c>
      <c r="J206" s="101" t="s">
        <v>620</v>
      </c>
      <c r="K206" s="101" t="s">
        <v>618</v>
      </c>
      <c r="L206" s="101" t="s">
        <v>619</v>
      </c>
      <c r="M206" s="101" t="s">
        <v>1005</v>
      </c>
      <c r="N206" s="101" t="s">
        <v>906</v>
      </c>
      <c r="O206" s="101" t="s">
        <v>907</v>
      </c>
      <c r="P206" s="101" t="s">
        <v>908</v>
      </c>
      <c r="Q206" s="101">
        <v>0</v>
      </c>
      <c r="R206" s="103" t="s">
        <v>132</v>
      </c>
      <c r="S206" s="104">
        <f>VLOOKUP(R206,_표_ChattingMessageType[[ChattingMessageType_Item]:[ChattingMessageType_Enum]],2,FALSE)</f>
        <v>0</v>
      </c>
      <c r="T206" s="103" t="s">
        <v>111</v>
      </c>
      <c r="U206" s="105">
        <f>VLOOKUP(T206,_표_MessageType[[MessageType_Item]:[MessageType_Enum]],3,FALSE)</f>
        <v>0</v>
      </c>
      <c r="V206" s="106" t="s">
        <v>53</v>
      </c>
    </row>
    <row r="207" spans="2:22">
      <c r="B207" s="46" cm="1">
        <f t="array" aca="1" ref="B207" ca="1">OFFSET(INDIRECT(ADDRESS(ROW(),COLUMN())),0,6)</f>
        <v>10095</v>
      </c>
      <c r="C207" s="46">
        <v>1</v>
      </c>
      <c r="D207" s="46"/>
      <c r="E207" s="46"/>
      <c r="F207" s="46"/>
      <c r="G207" s="46">
        <v>1</v>
      </c>
      <c r="H207" s="46">
        <v>10095</v>
      </c>
      <c r="I207" s="88" t="s">
        <v>124</v>
      </c>
      <c r="J207" s="46" t="s">
        <v>624</v>
      </c>
      <c r="K207" s="46" t="s">
        <v>621</v>
      </c>
      <c r="L207" s="46" t="s">
        <v>622</v>
      </c>
      <c r="M207" s="46" t="s">
        <v>623</v>
      </c>
      <c r="N207" s="46" t="s">
        <v>909</v>
      </c>
      <c r="O207" s="46" t="s">
        <v>910</v>
      </c>
      <c r="P207" s="46" t="s">
        <v>911</v>
      </c>
      <c r="Q207" s="46">
        <v>0</v>
      </c>
      <c r="R207" s="48" t="s">
        <v>132</v>
      </c>
      <c r="S207" s="49">
        <f>VLOOKUP(R207,_표_ChattingMessageType[[ChattingMessageType_Item]:[ChattingMessageType_Enum]],2,FALSE)</f>
        <v>0</v>
      </c>
      <c r="T207" s="48" t="s">
        <v>111</v>
      </c>
      <c r="U207" s="50">
        <f>VLOOKUP(T207,_표_MessageType[[MessageType_Item]:[MessageType_Enum]],3,FALSE)</f>
        <v>0</v>
      </c>
      <c r="V207" s="89" t="s">
        <v>53</v>
      </c>
    </row>
    <row r="208" spans="2:22">
      <c r="B208" s="46" cm="1">
        <f t="array" aca="1" ref="B208" ca="1">OFFSET(INDIRECT(ADDRESS(ROW(),COLUMN())),0,6)</f>
        <v>10097</v>
      </c>
      <c r="C208" s="46">
        <v>1</v>
      </c>
      <c r="D208" s="46"/>
      <c r="E208" s="46"/>
      <c r="F208" s="46"/>
      <c r="G208" s="46">
        <v>1</v>
      </c>
      <c r="H208" s="46">
        <v>10097</v>
      </c>
      <c r="I208" s="88" t="s">
        <v>125</v>
      </c>
      <c r="J208" s="46" t="s">
        <v>628</v>
      </c>
      <c r="K208" s="46" t="s">
        <v>625</v>
      </c>
      <c r="L208" s="46" t="s">
        <v>626</v>
      </c>
      <c r="M208" s="46" t="s">
        <v>627</v>
      </c>
      <c r="N208" s="46" t="s">
        <v>912</v>
      </c>
      <c r="O208" s="46" t="s">
        <v>913</v>
      </c>
      <c r="P208" s="46" t="s">
        <v>914</v>
      </c>
      <c r="Q208" s="46">
        <v>0</v>
      </c>
      <c r="R208" s="48" t="s">
        <v>132</v>
      </c>
      <c r="S208" s="49">
        <f>VLOOKUP(R208,_표_ChattingMessageType[[ChattingMessageType_Item]:[ChattingMessageType_Enum]],2,FALSE)</f>
        <v>0</v>
      </c>
      <c r="T208" s="48" t="s">
        <v>111</v>
      </c>
      <c r="U208" s="50">
        <f>VLOOKUP(T208,_표_MessageType[[MessageType_Item]:[MessageType_Enum]],3,FALSE)</f>
        <v>0</v>
      </c>
      <c r="V208" s="89" t="s">
        <v>53</v>
      </c>
    </row>
    <row r="209" spans="2:22">
      <c r="B209" s="46" cm="1">
        <f t="array" aca="1" ref="B209" ca="1">OFFSET(INDIRECT(ADDRESS(ROW(),COLUMN())),0,6)</f>
        <v>101024</v>
      </c>
      <c r="C209" s="46">
        <v>1</v>
      </c>
      <c r="D209" s="46"/>
      <c r="E209" s="46"/>
      <c r="F209" s="46"/>
      <c r="G209" s="46">
        <v>1</v>
      </c>
      <c r="H209" s="46">
        <v>101024</v>
      </c>
      <c r="I209" s="88" t="s">
        <v>299</v>
      </c>
      <c r="J209" s="46" t="s">
        <v>632</v>
      </c>
      <c r="K209" s="46" t="s">
        <v>629</v>
      </c>
      <c r="L209" s="46" t="s">
        <v>630</v>
      </c>
      <c r="M209" s="46" t="s">
        <v>631</v>
      </c>
      <c r="N209" s="46" t="s">
        <v>915</v>
      </c>
      <c r="O209" s="46" t="s">
        <v>916</v>
      </c>
      <c r="P209" s="46" t="s">
        <v>917</v>
      </c>
      <c r="Q209" s="46">
        <v>0</v>
      </c>
      <c r="R209" s="48" t="s">
        <v>132</v>
      </c>
      <c r="S209" s="49">
        <v>0</v>
      </c>
      <c r="T209" s="48" t="s">
        <v>111</v>
      </c>
      <c r="U209" s="50">
        <v>0</v>
      </c>
      <c r="V209" s="89" t="s">
        <v>300</v>
      </c>
    </row>
    <row r="210" spans="2:22">
      <c r="B210" s="46" cm="1">
        <f t="array" aca="1" ref="B210" ca="1">OFFSET(INDIRECT(ADDRESS(ROW(),COLUMN())),0,6)</f>
        <v>102001</v>
      </c>
      <c r="C210" s="46">
        <v>1</v>
      </c>
      <c r="D210" s="46"/>
      <c r="E210" s="46"/>
      <c r="F210" s="46"/>
      <c r="G210" s="46">
        <v>1</v>
      </c>
      <c r="H210" s="46">
        <v>102001</v>
      </c>
      <c r="I210" s="88" t="s">
        <v>337</v>
      </c>
      <c r="J210" s="46" t="s">
        <v>1523</v>
      </c>
      <c r="K210" s="46" t="s">
        <v>1524</v>
      </c>
      <c r="L210" s="46" t="s">
        <v>1525</v>
      </c>
      <c r="M210" s="46" t="s">
        <v>1524</v>
      </c>
      <c r="N210" s="46" t="s">
        <v>1526</v>
      </c>
      <c r="O210" s="46" t="s">
        <v>1527</v>
      </c>
      <c r="P210" s="46" t="s">
        <v>1528</v>
      </c>
      <c r="Q210" s="46">
        <v>0</v>
      </c>
      <c r="R210" s="48" t="s">
        <v>132</v>
      </c>
      <c r="S210" s="49">
        <v>0</v>
      </c>
      <c r="T210" s="48" t="s">
        <v>111</v>
      </c>
      <c r="U210" s="50">
        <v>0</v>
      </c>
      <c r="V210" s="89" t="s">
        <v>301</v>
      </c>
    </row>
    <row r="211" spans="2:22">
      <c r="B211" s="46" cm="1">
        <f t="array" aca="1" ref="B211" ca="1">OFFSET(INDIRECT(ADDRESS(ROW(),COLUMN())),0,6)</f>
        <v>1020001</v>
      </c>
      <c r="C211" s="46">
        <v>1</v>
      </c>
      <c r="D211" s="46"/>
      <c r="E211" s="46"/>
      <c r="F211" s="46"/>
      <c r="G211" s="46">
        <v>1</v>
      </c>
      <c r="H211" s="46">
        <v>1020001</v>
      </c>
      <c r="I211" s="88" t="s">
        <v>1756</v>
      </c>
      <c r="J211" s="46" t="s">
        <v>1757</v>
      </c>
      <c r="K211" s="46" t="s">
        <v>1758</v>
      </c>
      <c r="L211" s="46" t="s">
        <v>1759</v>
      </c>
      <c r="M211" s="46" t="s">
        <v>1760</v>
      </c>
      <c r="N211" s="46" t="s">
        <v>1761</v>
      </c>
      <c r="O211" s="46" t="s">
        <v>1762</v>
      </c>
      <c r="P211" s="46" t="s">
        <v>1763</v>
      </c>
      <c r="Q211" s="46">
        <v>0</v>
      </c>
      <c r="R211" s="48" t="s">
        <v>134</v>
      </c>
      <c r="S211" s="49">
        <v>4</v>
      </c>
      <c r="T211" s="48" t="s">
        <v>111</v>
      </c>
      <c r="U211" s="50">
        <v>0</v>
      </c>
      <c r="V211" s="89" t="s">
        <v>302</v>
      </c>
    </row>
    <row r="212" spans="2:22">
      <c r="B212" s="46" cm="1">
        <f t="array" aca="1" ref="B212" ca="1">OFFSET(INDIRECT(ADDRESS(ROW(),COLUMN())),0,6)</f>
        <v>1020002</v>
      </c>
      <c r="C212" s="46">
        <v>1</v>
      </c>
      <c r="D212" s="46"/>
      <c r="E212" s="46"/>
      <c r="F212" s="46"/>
      <c r="G212" s="46">
        <v>1</v>
      </c>
      <c r="H212" s="46">
        <v>1020002</v>
      </c>
      <c r="I212" s="88" t="s">
        <v>226</v>
      </c>
      <c r="J212" s="46" t="s">
        <v>691</v>
      </c>
      <c r="K212" s="46" t="s">
        <v>633</v>
      </c>
      <c r="L212" s="46" t="s">
        <v>634</v>
      </c>
      <c r="M212" s="46" t="s">
        <v>1006</v>
      </c>
      <c r="N212" s="46" t="s">
        <v>918</v>
      </c>
      <c r="O212" s="46" t="s">
        <v>919</v>
      </c>
      <c r="P212" s="46" t="s">
        <v>920</v>
      </c>
      <c r="Q212" s="46">
        <v>0</v>
      </c>
      <c r="R212" s="48" t="s">
        <v>134</v>
      </c>
      <c r="S212" s="49">
        <f>VLOOKUP(R212,_표_ChattingMessageType[[ChattingMessageType_Item]:[ChattingMessageType_Enum]],2,FALSE)</f>
        <v>4</v>
      </c>
      <c r="T212" s="48" t="s">
        <v>111</v>
      </c>
      <c r="U212" s="50">
        <f>VLOOKUP(T212,_표_MessageType[[MessageType_Item]:[MessageType_Enum]],3,FALSE)</f>
        <v>0</v>
      </c>
      <c r="V212" s="89" t="s">
        <v>49</v>
      </c>
    </row>
    <row r="213" spans="2:22">
      <c r="B213" s="46" cm="1">
        <f t="array" aca="1" ref="B213" ca="1">OFFSET(INDIRECT(ADDRESS(ROW(),COLUMN())),0,6)</f>
        <v>1020003</v>
      </c>
      <c r="C213" s="46">
        <v>1</v>
      </c>
      <c r="D213" s="46"/>
      <c r="E213" s="46"/>
      <c r="F213" s="46"/>
      <c r="G213" s="46">
        <v>1</v>
      </c>
      <c r="H213" s="46">
        <v>1020003</v>
      </c>
      <c r="I213" s="88" t="s">
        <v>50</v>
      </c>
      <c r="J213" s="46" t="s">
        <v>638</v>
      </c>
      <c r="K213" s="46" t="s">
        <v>635</v>
      </c>
      <c r="L213" s="46" t="s">
        <v>636</v>
      </c>
      <c r="M213" s="46" t="s">
        <v>637</v>
      </c>
      <c r="N213" s="46" t="s">
        <v>921</v>
      </c>
      <c r="O213" s="46" t="s">
        <v>922</v>
      </c>
      <c r="P213" s="46" t="s">
        <v>923</v>
      </c>
      <c r="Q213" s="46">
        <v>0</v>
      </c>
      <c r="R213" s="48" t="s">
        <v>134</v>
      </c>
      <c r="S213" s="49">
        <f>VLOOKUP(R213,_표_ChattingMessageType[[ChattingMessageType_Item]:[ChattingMessageType_Enum]],2,FALSE)</f>
        <v>4</v>
      </c>
      <c r="T213" s="48" t="s">
        <v>111</v>
      </c>
      <c r="U213" s="50">
        <f>VLOOKUP(T213,_표_MessageType[[MessageType_Item]:[MessageType_Enum]],3,FALSE)</f>
        <v>0</v>
      </c>
      <c r="V213" s="89" t="s">
        <v>49</v>
      </c>
    </row>
    <row r="214" spans="2:22">
      <c r="B214" s="46" cm="1">
        <f t="array" aca="1" ref="B214" ca="1">OFFSET(INDIRECT(ADDRESS(ROW(),COLUMN())),0,6)</f>
        <v>1020004</v>
      </c>
      <c r="C214" s="46">
        <v>1</v>
      </c>
      <c r="D214" s="46"/>
      <c r="E214" s="46"/>
      <c r="F214" s="46"/>
      <c r="G214" s="46">
        <v>1</v>
      </c>
      <c r="H214" s="46">
        <v>1020004</v>
      </c>
      <c r="I214" s="88" t="s">
        <v>1364</v>
      </c>
      <c r="J214" s="46" t="s">
        <v>1365</v>
      </c>
      <c r="K214" s="46" t="s">
        <v>1366</v>
      </c>
      <c r="L214" s="46" t="s">
        <v>1764</v>
      </c>
      <c r="M214" s="46" t="s">
        <v>1364</v>
      </c>
      <c r="N214" s="46" t="s">
        <v>1365</v>
      </c>
      <c r="O214" s="46" t="s">
        <v>1365</v>
      </c>
      <c r="P214" s="46" t="s">
        <v>1623</v>
      </c>
      <c r="Q214" s="46">
        <v>0</v>
      </c>
      <c r="R214" s="48" t="s">
        <v>134</v>
      </c>
      <c r="S214" s="49">
        <v>4</v>
      </c>
      <c r="T214" s="48" t="s">
        <v>111</v>
      </c>
      <c r="U214" s="50">
        <v>0</v>
      </c>
      <c r="V214" s="89" t="s">
        <v>302</v>
      </c>
    </row>
    <row r="215" spans="2:22">
      <c r="B215" s="46" cm="1">
        <f t="array" aca="1" ref="B215" ca="1">OFFSET(INDIRECT(ADDRESS(ROW(),COLUMN())),0,6)</f>
        <v>1020005</v>
      </c>
      <c r="C215" s="46">
        <v>1</v>
      </c>
      <c r="D215" s="46"/>
      <c r="E215" s="46"/>
      <c r="F215" s="46"/>
      <c r="G215" s="46">
        <v>1</v>
      </c>
      <c r="H215" s="46">
        <v>1020005</v>
      </c>
      <c r="I215" s="88" t="s">
        <v>303</v>
      </c>
      <c r="J215" s="46" t="s">
        <v>640</v>
      </c>
      <c r="K215" s="46" t="s">
        <v>685</v>
      </c>
      <c r="L215" s="46" t="s">
        <v>639</v>
      </c>
      <c r="M215" s="46" t="s">
        <v>1007</v>
      </c>
      <c r="N215" s="46" t="s">
        <v>924</v>
      </c>
      <c r="O215" s="46" t="s">
        <v>925</v>
      </c>
      <c r="P215" s="46" t="s">
        <v>926</v>
      </c>
      <c r="Q215" s="46">
        <v>0</v>
      </c>
      <c r="R215" s="48" t="s">
        <v>134</v>
      </c>
      <c r="S215" s="49">
        <v>4</v>
      </c>
      <c r="T215" s="48" t="s">
        <v>111</v>
      </c>
      <c r="U215" s="50">
        <v>0</v>
      </c>
      <c r="V215" s="89" t="s">
        <v>304</v>
      </c>
    </row>
    <row r="216" spans="2:22">
      <c r="B216" s="46" cm="1">
        <f t="array" aca="1" ref="B216" ca="1">OFFSET(INDIRECT(ADDRESS(ROW(),COLUMN())),0,6)</f>
        <v>1020019</v>
      </c>
      <c r="C216" s="46">
        <v>1</v>
      </c>
      <c r="D216" s="46"/>
      <c r="E216" s="46"/>
      <c r="F216" s="46"/>
      <c r="G216" s="46">
        <v>1</v>
      </c>
      <c r="H216" s="51">
        <v>1020019</v>
      </c>
      <c r="I216" s="99" t="s">
        <v>217</v>
      </c>
      <c r="J216" s="46" t="s">
        <v>1367</v>
      </c>
      <c r="K216" s="46" t="s">
        <v>1368</v>
      </c>
      <c r="L216" s="46" t="s">
        <v>1369</v>
      </c>
      <c r="M216" s="46" t="s">
        <v>1370</v>
      </c>
      <c r="N216" s="46" t="s">
        <v>1371</v>
      </c>
      <c r="O216" s="46" t="s">
        <v>1372</v>
      </c>
      <c r="P216" s="46" t="s">
        <v>1373</v>
      </c>
      <c r="Q216" s="46">
        <v>0</v>
      </c>
      <c r="R216" s="48" t="s">
        <v>134</v>
      </c>
      <c r="S216" s="49">
        <f>VLOOKUP(R216,_표_ChattingMessageType[[ChattingMessageType_Item]:[ChattingMessageType_Enum]],2,FALSE)</f>
        <v>4</v>
      </c>
      <c r="T216" s="48" t="s">
        <v>111</v>
      </c>
      <c r="U216" s="50">
        <f>VLOOKUP(T216,_표_MessageType[[MessageType_Item]:[MessageType_Enum]],3,FALSE)</f>
        <v>0</v>
      </c>
      <c r="V216" s="89" t="s">
        <v>49</v>
      </c>
    </row>
    <row r="217" spans="2:22">
      <c r="B217" s="46" cm="1">
        <f t="array" aca="1" ref="B217" ca="1">OFFSET(INDIRECT(ADDRESS(ROW(),COLUMN())),0,6)</f>
        <v>1020020</v>
      </c>
      <c r="C217" s="46">
        <v>1</v>
      </c>
      <c r="D217" s="46"/>
      <c r="E217" s="46"/>
      <c r="F217" s="46"/>
      <c r="G217" s="46">
        <v>1</v>
      </c>
      <c r="H217" s="51">
        <v>1020020</v>
      </c>
      <c r="I217" s="99" t="s">
        <v>187</v>
      </c>
      <c r="J217" s="46" t="s">
        <v>644</v>
      </c>
      <c r="K217" s="46" t="s">
        <v>641</v>
      </c>
      <c r="L217" s="46" t="s">
        <v>642</v>
      </c>
      <c r="M217" s="46" t="s">
        <v>643</v>
      </c>
      <c r="N217" s="46" t="s">
        <v>927</v>
      </c>
      <c r="O217" s="46" t="s">
        <v>928</v>
      </c>
      <c r="P217" s="46" t="s">
        <v>929</v>
      </c>
      <c r="Q217" s="46">
        <v>0</v>
      </c>
      <c r="R217" s="48" t="s">
        <v>134</v>
      </c>
      <c r="S217" s="49">
        <f>VLOOKUP(R217,_표_ChattingMessageType[[ChattingMessageType_Item]:[ChattingMessageType_Enum]],2,FALSE)</f>
        <v>4</v>
      </c>
      <c r="T217" s="48" t="s">
        <v>111</v>
      </c>
      <c r="U217" s="50">
        <f>VLOOKUP(T217,_표_MessageType[[MessageType_Item]:[MessageType_Enum]],3,FALSE)</f>
        <v>0</v>
      </c>
      <c r="V217" s="89" t="s">
        <v>49</v>
      </c>
    </row>
    <row r="218" spans="2:22">
      <c r="B218" s="46" cm="1">
        <f t="array" aca="1" ref="B218" ca="1">OFFSET(INDIRECT(ADDRESS(ROW(),COLUMN())),0,6)</f>
        <v>1020021</v>
      </c>
      <c r="C218" s="46">
        <v>1</v>
      </c>
      <c r="D218" s="46"/>
      <c r="E218" s="46"/>
      <c r="F218" s="46"/>
      <c r="G218" s="46">
        <v>1</v>
      </c>
      <c r="H218" s="51">
        <v>1020021</v>
      </c>
      <c r="I218" s="99" t="s">
        <v>218</v>
      </c>
      <c r="J218" s="46" t="s">
        <v>1374</v>
      </c>
      <c r="K218" s="46" t="s">
        <v>1375</v>
      </c>
      <c r="L218" s="46" t="s">
        <v>1376</v>
      </c>
      <c r="M218" s="46" t="s">
        <v>1377</v>
      </c>
      <c r="N218" s="46" t="s">
        <v>1378</v>
      </c>
      <c r="O218" s="46" t="s">
        <v>1379</v>
      </c>
      <c r="P218" s="46" t="s">
        <v>1380</v>
      </c>
      <c r="Q218" s="46">
        <v>0</v>
      </c>
      <c r="R218" s="48" t="s">
        <v>134</v>
      </c>
      <c r="S218" s="49">
        <f>VLOOKUP(R218,_표_ChattingMessageType[[ChattingMessageType_Item]:[ChattingMessageType_Enum]],2,FALSE)</f>
        <v>4</v>
      </c>
      <c r="T218" s="48" t="s">
        <v>111</v>
      </c>
      <c r="U218" s="50">
        <f>VLOOKUP(T218,_표_MessageType[[MessageType_Item]:[MessageType_Enum]],3,FALSE)</f>
        <v>0</v>
      </c>
      <c r="V218" s="89" t="s">
        <v>49</v>
      </c>
    </row>
    <row r="219" spans="2:22">
      <c r="B219" s="46" cm="1">
        <f t="array" aca="1" ref="B219" ca="1">OFFSET(INDIRECT(ADDRESS(ROW(),COLUMN())),0,6)</f>
        <v>1020022</v>
      </c>
      <c r="C219" s="46">
        <v>1</v>
      </c>
      <c r="D219" s="46"/>
      <c r="E219" s="46"/>
      <c r="F219" s="46"/>
      <c r="G219" s="46">
        <v>1</v>
      </c>
      <c r="H219" s="51">
        <v>1020022</v>
      </c>
      <c r="I219" s="99" t="s">
        <v>188</v>
      </c>
      <c r="J219" s="46" t="s">
        <v>1381</v>
      </c>
      <c r="K219" s="46" t="s">
        <v>1382</v>
      </c>
      <c r="L219" s="46" t="s">
        <v>1383</v>
      </c>
      <c r="M219" s="46" t="s">
        <v>1384</v>
      </c>
      <c r="N219" s="46" t="s">
        <v>1385</v>
      </c>
      <c r="O219" s="46" t="s">
        <v>1386</v>
      </c>
      <c r="P219" s="46" t="s">
        <v>1387</v>
      </c>
      <c r="Q219" s="46">
        <v>0</v>
      </c>
      <c r="R219" s="48" t="s">
        <v>134</v>
      </c>
      <c r="S219" s="49">
        <f>VLOOKUP(R219,_표_ChattingMessageType[[ChattingMessageType_Item]:[ChattingMessageType_Enum]],2,FALSE)</f>
        <v>4</v>
      </c>
      <c r="T219" s="48" t="s">
        <v>111</v>
      </c>
      <c r="U219" s="50">
        <f>VLOOKUP(T219,_표_MessageType[[MessageType_Item]:[MessageType_Enum]],3,FALSE)</f>
        <v>0</v>
      </c>
      <c r="V219" s="89" t="s">
        <v>49</v>
      </c>
    </row>
    <row r="220" spans="2:22">
      <c r="B220" s="46" cm="1">
        <f t="array" aca="1" ref="B220" ca="1">OFFSET(INDIRECT(ADDRESS(ROW(),COLUMN())),0,6)</f>
        <v>1020023</v>
      </c>
      <c r="C220" s="46">
        <v>1</v>
      </c>
      <c r="D220" s="46"/>
      <c r="E220" s="46"/>
      <c r="F220" s="46"/>
      <c r="G220" s="46">
        <v>1</v>
      </c>
      <c r="H220" s="51">
        <v>1020023</v>
      </c>
      <c r="I220" s="99" t="s">
        <v>219</v>
      </c>
      <c r="J220" s="46" t="s">
        <v>1388</v>
      </c>
      <c r="K220" s="46" t="s">
        <v>1389</v>
      </c>
      <c r="L220" s="46" t="s">
        <v>1390</v>
      </c>
      <c r="M220" s="46" t="s">
        <v>1391</v>
      </c>
      <c r="N220" s="46" t="s">
        <v>1392</v>
      </c>
      <c r="O220" s="46" t="s">
        <v>1393</v>
      </c>
      <c r="P220" s="46" t="s">
        <v>1394</v>
      </c>
      <c r="Q220" s="46">
        <v>0</v>
      </c>
      <c r="R220" s="48" t="s">
        <v>134</v>
      </c>
      <c r="S220" s="49">
        <f>VLOOKUP(R220,_표_ChattingMessageType[[ChattingMessageType_Item]:[ChattingMessageType_Enum]],2,FALSE)</f>
        <v>4</v>
      </c>
      <c r="T220" s="48" t="s">
        <v>111</v>
      </c>
      <c r="U220" s="50">
        <f>VLOOKUP(T220,_표_MessageType[[MessageType_Item]:[MessageType_Enum]],3,FALSE)</f>
        <v>0</v>
      </c>
      <c r="V220" s="89" t="s">
        <v>49</v>
      </c>
    </row>
    <row r="221" spans="2:22">
      <c r="B221" s="46" cm="1">
        <f t="array" aca="1" ref="B221" ca="1">OFFSET(INDIRECT(ADDRESS(ROW(),COLUMN())),0,6)</f>
        <v>1020024</v>
      </c>
      <c r="C221" s="46">
        <v>1</v>
      </c>
      <c r="D221" s="46"/>
      <c r="E221" s="46"/>
      <c r="F221" s="46"/>
      <c r="G221" s="46">
        <v>1</v>
      </c>
      <c r="H221" s="51">
        <v>1020024</v>
      </c>
      <c r="I221" s="99" t="s">
        <v>189</v>
      </c>
      <c r="J221" s="46" t="s">
        <v>647</v>
      </c>
      <c r="K221" s="46" t="s">
        <v>686</v>
      </c>
      <c r="L221" s="46" t="s">
        <v>645</v>
      </c>
      <c r="M221" s="46" t="s">
        <v>646</v>
      </c>
      <c r="N221" s="46" t="s">
        <v>930</v>
      </c>
      <c r="O221" s="46" t="s">
        <v>931</v>
      </c>
      <c r="P221" s="46" t="s">
        <v>932</v>
      </c>
      <c r="Q221" s="46">
        <v>0</v>
      </c>
      <c r="R221" s="48" t="s">
        <v>134</v>
      </c>
      <c r="S221" s="49">
        <f>VLOOKUP(R221,_표_ChattingMessageType[[ChattingMessageType_Item]:[ChattingMessageType_Enum]],2,FALSE)</f>
        <v>4</v>
      </c>
      <c r="T221" s="48" t="s">
        <v>111</v>
      </c>
      <c r="U221" s="50">
        <f>VLOOKUP(T221,_표_MessageType[[MessageType_Item]:[MessageType_Enum]],3,FALSE)</f>
        <v>0</v>
      </c>
      <c r="V221" s="89" t="s">
        <v>49</v>
      </c>
    </row>
    <row r="222" spans="2:22">
      <c r="B222" s="46" cm="1">
        <f t="array" aca="1" ref="B222" ca="1">OFFSET(INDIRECT(ADDRESS(ROW(),COLUMN())),0,6)</f>
        <v>1020025</v>
      </c>
      <c r="C222" s="46">
        <v>1</v>
      </c>
      <c r="D222" s="46"/>
      <c r="E222" s="46"/>
      <c r="F222" s="46"/>
      <c r="G222" s="46">
        <v>1</v>
      </c>
      <c r="H222" s="51">
        <v>1020025</v>
      </c>
      <c r="I222" s="99" t="s">
        <v>220</v>
      </c>
      <c r="J222" s="46" t="s">
        <v>1395</v>
      </c>
      <c r="K222" s="46" t="s">
        <v>1396</v>
      </c>
      <c r="L222" s="46" t="s">
        <v>1397</v>
      </c>
      <c r="M222" s="46" t="s">
        <v>1398</v>
      </c>
      <c r="N222" s="46" t="s">
        <v>1399</v>
      </c>
      <c r="O222" s="46" t="s">
        <v>1400</v>
      </c>
      <c r="P222" s="46" t="s">
        <v>1401</v>
      </c>
      <c r="Q222" s="46">
        <v>0</v>
      </c>
      <c r="R222" s="48" t="s">
        <v>134</v>
      </c>
      <c r="S222" s="49">
        <f>VLOOKUP(R222,_표_ChattingMessageType[[ChattingMessageType_Item]:[ChattingMessageType_Enum]],2,FALSE)</f>
        <v>4</v>
      </c>
      <c r="T222" s="48" t="s">
        <v>111</v>
      </c>
      <c r="U222" s="50">
        <f>VLOOKUP(T222,_표_MessageType[[MessageType_Item]:[MessageType_Enum]],3,FALSE)</f>
        <v>0</v>
      </c>
      <c r="V222" s="89" t="s">
        <v>49</v>
      </c>
    </row>
    <row r="223" spans="2:22">
      <c r="B223" s="46" cm="1">
        <f t="array" aca="1" ref="B223" ca="1">OFFSET(INDIRECT(ADDRESS(ROW(),COLUMN())),0,6)</f>
        <v>1020026</v>
      </c>
      <c r="C223" s="46">
        <v>1</v>
      </c>
      <c r="D223" s="46"/>
      <c r="E223" s="46"/>
      <c r="F223" s="46"/>
      <c r="G223" s="46">
        <v>1</v>
      </c>
      <c r="H223" s="51">
        <v>1020026</v>
      </c>
      <c r="I223" s="99" t="s">
        <v>190</v>
      </c>
      <c r="J223" s="46" t="s">
        <v>651</v>
      </c>
      <c r="K223" s="46" t="s">
        <v>648</v>
      </c>
      <c r="L223" s="46" t="s">
        <v>649</v>
      </c>
      <c r="M223" s="46" t="s">
        <v>650</v>
      </c>
      <c r="N223" s="46" t="s">
        <v>933</v>
      </c>
      <c r="O223" s="46" t="s">
        <v>934</v>
      </c>
      <c r="P223" s="46" t="s">
        <v>935</v>
      </c>
      <c r="Q223" s="46">
        <v>0</v>
      </c>
      <c r="R223" s="48" t="s">
        <v>134</v>
      </c>
      <c r="S223" s="49">
        <f>VLOOKUP(R223,_표_ChattingMessageType[[ChattingMessageType_Item]:[ChattingMessageType_Enum]],2,FALSE)</f>
        <v>4</v>
      </c>
      <c r="T223" s="48" t="s">
        <v>111</v>
      </c>
      <c r="U223" s="50">
        <f>VLOOKUP(T223,_표_MessageType[[MessageType_Item]:[MessageType_Enum]],3,FALSE)</f>
        <v>0</v>
      </c>
      <c r="V223" s="89" t="s">
        <v>49</v>
      </c>
    </row>
    <row r="224" spans="2:22">
      <c r="B224" s="46" cm="1">
        <f t="array" aca="1" ref="B224" ca="1">OFFSET(INDIRECT(ADDRESS(ROW(),COLUMN())),0,6)</f>
        <v>1020027</v>
      </c>
      <c r="C224" s="46">
        <v>1</v>
      </c>
      <c r="D224" s="46"/>
      <c r="E224" s="46"/>
      <c r="F224" s="46"/>
      <c r="G224" s="46">
        <v>1</v>
      </c>
      <c r="H224" s="51">
        <v>1020027</v>
      </c>
      <c r="I224" s="99" t="s">
        <v>679</v>
      </c>
      <c r="J224" s="46" t="s">
        <v>697</v>
      </c>
      <c r="K224" s="46" t="s">
        <v>694</v>
      </c>
      <c r="L224" s="46" t="s">
        <v>695</v>
      </c>
      <c r="M224" s="46" t="s">
        <v>696</v>
      </c>
      <c r="N224" s="46" t="s">
        <v>964</v>
      </c>
      <c r="O224" s="46" t="s">
        <v>965</v>
      </c>
      <c r="P224" s="46" t="s">
        <v>966</v>
      </c>
      <c r="Q224" s="46">
        <v>0</v>
      </c>
      <c r="R224" s="48" t="s">
        <v>132</v>
      </c>
      <c r="S224" s="49">
        <f>VLOOKUP(R224,_표_ChattingMessageType[[ChattingMessageType_Item]:[ChattingMessageType_Enum]],2,FALSE)</f>
        <v>0</v>
      </c>
      <c r="T224" s="48" t="s">
        <v>111</v>
      </c>
      <c r="U224" s="50">
        <f>VLOOKUP(T224,_표_MessageType[[MessageType_Item]:[MessageType_Enum]],3,FALSE)</f>
        <v>0</v>
      </c>
      <c r="V224" s="89" t="s">
        <v>49</v>
      </c>
    </row>
    <row r="225" spans="2:22">
      <c r="B225" s="46" cm="1">
        <f t="array" aca="1" ref="B225" ca="1">OFFSET(INDIRECT(ADDRESS(ROW(),COLUMN())),0,6)</f>
        <v>1020028</v>
      </c>
      <c r="C225" s="46">
        <v>1</v>
      </c>
      <c r="D225" s="46"/>
      <c r="E225" s="46"/>
      <c r="F225" s="46"/>
      <c r="G225" s="46">
        <v>1</v>
      </c>
      <c r="H225" s="51">
        <v>1020028</v>
      </c>
      <c r="I225" s="99" t="s">
        <v>1765</v>
      </c>
      <c r="J225" s="46" t="s">
        <v>1766</v>
      </c>
      <c r="K225" s="46" t="s">
        <v>1767</v>
      </c>
      <c r="L225" s="46" t="s">
        <v>1768</v>
      </c>
      <c r="M225" s="46" t="s">
        <v>1769</v>
      </c>
      <c r="N225" s="46" t="s">
        <v>1770</v>
      </c>
      <c r="O225" s="46" t="s">
        <v>1771</v>
      </c>
      <c r="P225" s="46" t="s">
        <v>1772</v>
      </c>
      <c r="Q225" s="46">
        <v>0</v>
      </c>
      <c r="R225" s="48" t="s">
        <v>132</v>
      </c>
      <c r="S225" s="49">
        <f>VLOOKUP(R225,_표_ChattingMessageType[[ChattingMessageType_Item]:[ChattingMessageType_Enum]],2,FALSE)</f>
        <v>0</v>
      </c>
      <c r="T225" s="48" t="s">
        <v>111</v>
      </c>
      <c r="U225" s="50">
        <f>VLOOKUP(T225,_표_MessageType[[MessageType_Item]:[MessageType_Enum]],3,FALSE)</f>
        <v>0</v>
      </c>
      <c r="V225" s="89" t="s">
        <v>49</v>
      </c>
    </row>
    <row r="226" spans="2:22">
      <c r="B226" s="46" cm="1">
        <f t="array" aca="1" ref="B226" ca="1">OFFSET(INDIRECT(ADDRESS(ROW(),COLUMN())),0,6)</f>
        <v>1020029</v>
      </c>
      <c r="C226" s="46">
        <v>1</v>
      </c>
      <c r="D226" s="46"/>
      <c r="E226" s="46"/>
      <c r="F226" s="46"/>
      <c r="G226" s="46">
        <v>1</v>
      </c>
      <c r="H226" s="51">
        <v>1020029</v>
      </c>
      <c r="I226" s="99" t="s">
        <v>1773</v>
      </c>
      <c r="J226" s="46" t="s">
        <v>1774</v>
      </c>
      <c r="K226" s="46" t="s">
        <v>1775</v>
      </c>
      <c r="L226" s="46" t="s">
        <v>1776</v>
      </c>
      <c r="M226" s="46" t="s">
        <v>1777</v>
      </c>
      <c r="N226" s="46" t="s">
        <v>1778</v>
      </c>
      <c r="O226" s="46" t="s">
        <v>1779</v>
      </c>
      <c r="P226" s="46" t="s">
        <v>1780</v>
      </c>
      <c r="Q226" s="46">
        <v>0</v>
      </c>
      <c r="R226" s="48" t="s">
        <v>132</v>
      </c>
      <c r="S226" s="49">
        <f>VLOOKUP(R226,_표_ChattingMessageType[[ChattingMessageType_Item]:[ChattingMessageType_Enum]],2,FALSE)</f>
        <v>0</v>
      </c>
      <c r="T226" s="48" t="s">
        <v>111</v>
      </c>
      <c r="U226" s="50">
        <f>VLOOKUP(T226,_표_MessageType[[MessageType_Item]:[MessageType_Enum]],3,FALSE)</f>
        <v>0</v>
      </c>
      <c r="V226" s="89" t="s">
        <v>49</v>
      </c>
    </row>
    <row r="227" spans="2:22">
      <c r="B227" s="46" cm="1">
        <f t="array" aca="1" ref="B227" ca="1">OFFSET(INDIRECT(ADDRESS(ROW(),COLUMN())),0,6)</f>
        <v>1020030</v>
      </c>
      <c r="C227" s="46">
        <v>1</v>
      </c>
      <c r="D227" s="46"/>
      <c r="E227" s="46"/>
      <c r="F227" s="46"/>
      <c r="G227" s="46">
        <v>1</v>
      </c>
      <c r="H227" s="51">
        <v>1020030</v>
      </c>
      <c r="I227" s="99" t="s">
        <v>1781</v>
      </c>
      <c r="J227" s="46" t="s">
        <v>1782</v>
      </c>
      <c r="K227" s="46" t="s">
        <v>1783</v>
      </c>
      <c r="L227" s="46" t="s">
        <v>1784</v>
      </c>
      <c r="M227" s="46" t="s">
        <v>1785</v>
      </c>
      <c r="N227" s="46" t="s">
        <v>1786</v>
      </c>
      <c r="O227" s="46" t="s">
        <v>1787</v>
      </c>
      <c r="P227" s="46" t="s">
        <v>1788</v>
      </c>
      <c r="Q227" s="46">
        <v>0</v>
      </c>
      <c r="R227" s="48" t="s">
        <v>132</v>
      </c>
      <c r="S227" s="49">
        <f>VLOOKUP(R227,_표_ChattingMessageType[[ChattingMessageType_Item]:[ChattingMessageType_Enum]],2,FALSE)</f>
        <v>0</v>
      </c>
      <c r="T227" s="48" t="s">
        <v>111</v>
      </c>
      <c r="U227" s="50">
        <f>VLOOKUP(T227,_표_MessageType[[MessageType_Item]:[MessageType_Enum]],3,FALSE)</f>
        <v>0</v>
      </c>
      <c r="V227" s="89" t="s">
        <v>49</v>
      </c>
    </row>
    <row r="228" spans="2:22">
      <c r="B228" s="46" cm="1">
        <f t="array" aca="1" ref="B228" ca="1">OFFSET(INDIRECT(ADDRESS(ROW(),COLUMN())),0,6)</f>
        <v>1082003</v>
      </c>
      <c r="C228" s="46">
        <v>1</v>
      </c>
      <c r="D228" s="46"/>
      <c r="E228" s="46"/>
      <c r="F228" s="46"/>
      <c r="G228" s="46">
        <v>1</v>
      </c>
      <c r="H228" s="46">
        <v>1082003</v>
      </c>
      <c r="I228" s="88" t="s">
        <v>208</v>
      </c>
      <c r="J228" s="46" t="s">
        <v>654</v>
      </c>
      <c r="K228" s="46" t="s">
        <v>652</v>
      </c>
      <c r="L228" s="46" t="s">
        <v>652</v>
      </c>
      <c r="M228" s="46" t="s">
        <v>653</v>
      </c>
      <c r="N228" s="46" t="s">
        <v>936</v>
      </c>
      <c r="O228" s="46" t="s">
        <v>937</v>
      </c>
      <c r="P228" s="46" t="s">
        <v>938</v>
      </c>
      <c r="Q228" s="46">
        <v>0</v>
      </c>
      <c r="R228" s="48" t="s">
        <v>132</v>
      </c>
      <c r="S228" s="49">
        <f>VLOOKUP(R228,_표_ChattingMessageType[[ChattingMessageType_Item]:[ChattingMessageType_Enum]],2,FALSE)</f>
        <v>0</v>
      </c>
      <c r="T228" s="48" t="s">
        <v>111</v>
      </c>
      <c r="U228" s="50">
        <f>VLOOKUP(T228,_표_MessageType[[MessageType_Item]:[MessageType_Enum]],3,FALSE)</f>
        <v>0</v>
      </c>
      <c r="V228" s="89"/>
    </row>
    <row r="229" spans="2:22">
      <c r="B229" s="46" cm="1">
        <f t="array" aca="1" ref="B229" ca="1">OFFSET(INDIRECT(ADDRESS(ROW(),COLUMN())),0,6)</f>
        <v>1082004</v>
      </c>
      <c r="C229" s="46">
        <v>1</v>
      </c>
      <c r="D229" s="46"/>
      <c r="E229" s="46"/>
      <c r="F229" s="46"/>
      <c r="G229" s="46">
        <v>1</v>
      </c>
      <c r="H229" s="46">
        <v>1082004</v>
      </c>
      <c r="I229" s="88" t="s">
        <v>209</v>
      </c>
      <c r="J229" s="46" t="s">
        <v>1789</v>
      </c>
      <c r="K229" s="46" t="s">
        <v>1790</v>
      </c>
      <c r="L229" s="46" t="s">
        <v>1791</v>
      </c>
      <c r="M229" s="46" t="s">
        <v>1792</v>
      </c>
      <c r="N229" s="46" t="s">
        <v>1793</v>
      </c>
      <c r="O229" s="46" t="s">
        <v>1794</v>
      </c>
      <c r="P229" s="46" t="s">
        <v>1795</v>
      </c>
      <c r="Q229" s="46">
        <v>0</v>
      </c>
      <c r="R229" s="48" t="s">
        <v>132</v>
      </c>
      <c r="S229" s="49">
        <f>VLOOKUP(R229,_표_ChattingMessageType[[ChattingMessageType_Item]:[ChattingMessageType_Enum]],2,FALSE)</f>
        <v>0</v>
      </c>
      <c r="T229" s="48" t="s">
        <v>111</v>
      </c>
      <c r="U229" s="50">
        <f>VLOOKUP(T229,_표_MessageType[[MessageType_Item]:[MessageType_Enum]],3,FALSE)</f>
        <v>0</v>
      </c>
      <c r="V229" s="89"/>
    </row>
    <row r="230" spans="2:22">
      <c r="B230" s="46" cm="1">
        <f t="array" aca="1" ref="B230" ca="1">OFFSET(INDIRECT(ADDRESS(ROW(),COLUMN())),0,6)</f>
        <v>1082005</v>
      </c>
      <c r="C230" s="46">
        <v>1</v>
      </c>
      <c r="D230" s="46"/>
      <c r="E230" s="46"/>
      <c r="F230" s="46"/>
      <c r="G230" s="46">
        <v>1</v>
      </c>
      <c r="H230" s="46">
        <v>1082005</v>
      </c>
      <c r="I230" s="88" t="s">
        <v>210</v>
      </c>
      <c r="J230" s="46" t="s">
        <v>1615</v>
      </c>
      <c r="K230" s="46" t="s">
        <v>1616</v>
      </c>
      <c r="L230" s="46" t="s">
        <v>1617</v>
      </c>
      <c r="M230" s="46" t="s">
        <v>1618</v>
      </c>
      <c r="N230" s="46" t="s">
        <v>1619</v>
      </c>
      <c r="O230" s="46" t="s">
        <v>1620</v>
      </c>
      <c r="P230" s="46" t="s">
        <v>1621</v>
      </c>
      <c r="Q230" s="46">
        <v>0</v>
      </c>
      <c r="R230" s="48" t="s">
        <v>132</v>
      </c>
      <c r="S230" s="49">
        <f>VLOOKUP(R230,_표_ChattingMessageType[[ChattingMessageType_Item]:[ChattingMessageType_Enum]],2,FALSE)</f>
        <v>0</v>
      </c>
      <c r="T230" s="48" t="s">
        <v>111</v>
      </c>
      <c r="U230" s="50">
        <f>VLOOKUP(T230,_표_MessageType[[MessageType_Item]:[MessageType_Enum]],3,FALSE)</f>
        <v>0</v>
      </c>
      <c r="V230" s="89"/>
    </row>
    <row r="231" spans="2:22">
      <c r="B231" s="46" cm="1">
        <f t="array" aca="1" ref="B231" ca="1">OFFSET(INDIRECT(ADDRESS(ROW(),COLUMN())),0,6)</f>
        <v>1082006</v>
      </c>
      <c r="C231" s="46">
        <v>1</v>
      </c>
      <c r="D231" s="46"/>
      <c r="E231" s="46"/>
      <c r="F231" s="46"/>
      <c r="G231" s="46">
        <v>1</v>
      </c>
      <c r="H231" s="46">
        <v>1082006</v>
      </c>
      <c r="I231" s="88" t="s">
        <v>212</v>
      </c>
      <c r="J231" s="46" t="s">
        <v>1796</v>
      </c>
      <c r="K231" s="46" t="s">
        <v>1797</v>
      </c>
      <c r="L231" s="46" t="s">
        <v>1798</v>
      </c>
      <c r="M231" s="46" t="s">
        <v>1799</v>
      </c>
      <c r="N231" s="46" t="s">
        <v>1800</v>
      </c>
      <c r="O231" s="46" t="s">
        <v>1801</v>
      </c>
      <c r="P231" s="46" t="s">
        <v>1802</v>
      </c>
      <c r="Q231" s="46">
        <v>0</v>
      </c>
      <c r="R231" s="48" t="s">
        <v>132</v>
      </c>
      <c r="S231" s="49">
        <f>VLOOKUP(R231,_표_ChattingMessageType[[ChattingMessageType_Item]:[ChattingMessageType_Enum]],2,FALSE)</f>
        <v>0</v>
      </c>
      <c r="T231" s="48" t="s">
        <v>111</v>
      </c>
      <c r="U231" s="50">
        <f>VLOOKUP(T231,_표_MessageType[[MessageType_Item]:[MessageType_Enum]],3,FALSE)</f>
        <v>0</v>
      </c>
      <c r="V231" s="89"/>
    </row>
    <row r="232" spans="2:22">
      <c r="B232" s="46" cm="1">
        <f t="array" aca="1" ref="B232" ca="1">OFFSET(INDIRECT(ADDRESS(ROW(),COLUMN())),0,6)</f>
        <v>1082007</v>
      </c>
      <c r="C232" s="46">
        <v>1</v>
      </c>
      <c r="D232" s="46"/>
      <c r="E232" s="46"/>
      <c r="F232" s="46"/>
      <c r="G232" s="46">
        <v>1</v>
      </c>
      <c r="H232" s="46">
        <v>1082007</v>
      </c>
      <c r="I232" s="88" t="s">
        <v>213</v>
      </c>
      <c r="J232" s="46" t="s">
        <v>692</v>
      </c>
      <c r="K232" s="46" t="s">
        <v>655</v>
      </c>
      <c r="L232" s="46" t="s">
        <v>656</v>
      </c>
      <c r="M232" s="46" t="s">
        <v>1008</v>
      </c>
      <c r="N232" s="46" t="s">
        <v>939</v>
      </c>
      <c r="O232" s="46" t="s">
        <v>940</v>
      </c>
      <c r="P232" s="46" t="s">
        <v>941</v>
      </c>
      <c r="Q232" s="46">
        <v>0</v>
      </c>
      <c r="R232" s="48" t="s">
        <v>132</v>
      </c>
      <c r="S232" s="49">
        <f>VLOOKUP(R232,_표_ChattingMessageType[[ChattingMessageType_Item]:[ChattingMessageType_Enum]],2,FALSE)</f>
        <v>0</v>
      </c>
      <c r="T232" s="48" t="s">
        <v>111</v>
      </c>
      <c r="U232" s="50">
        <f>VLOOKUP(T232,_표_MessageType[[MessageType_Item]:[MessageType_Enum]],3,FALSE)</f>
        <v>0</v>
      </c>
      <c r="V232" s="89"/>
    </row>
    <row r="233" spans="2:22">
      <c r="B233" s="46" cm="1">
        <f t="array" aca="1" ref="B233" ca="1">OFFSET(INDIRECT(ADDRESS(ROW(),COLUMN())),0,6)</f>
        <v>1082008</v>
      </c>
      <c r="C233" s="46">
        <v>1</v>
      </c>
      <c r="D233" s="46"/>
      <c r="E233" s="46"/>
      <c r="F233" s="46"/>
      <c r="G233" s="46">
        <v>1</v>
      </c>
      <c r="H233" s="46">
        <v>1082008</v>
      </c>
      <c r="I233" s="88" t="s">
        <v>211</v>
      </c>
      <c r="J233" s="46" t="s">
        <v>659</v>
      </c>
      <c r="K233" s="46" t="s">
        <v>657</v>
      </c>
      <c r="L233" s="46" t="s">
        <v>658</v>
      </c>
      <c r="M233" s="46" t="s">
        <v>1009</v>
      </c>
      <c r="N233" s="46" t="s">
        <v>942</v>
      </c>
      <c r="O233" s="46" t="s">
        <v>943</v>
      </c>
      <c r="P233" s="46" t="s">
        <v>944</v>
      </c>
      <c r="Q233" s="46">
        <v>0</v>
      </c>
      <c r="R233" s="48" t="s">
        <v>132</v>
      </c>
      <c r="S233" s="49">
        <f>VLOOKUP(R233,_표_ChattingMessageType[[ChattingMessageType_Item]:[ChattingMessageType_Enum]],2,FALSE)</f>
        <v>0</v>
      </c>
      <c r="T233" s="48" t="s">
        <v>111</v>
      </c>
      <c r="U233" s="50">
        <f>VLOOKUP(T233,_표_MessageType[[MessageType_Item]:[MessageType_Enum]],3,FALSE)</f>
        <v>0</v>
      </c>
      <c r="V233" s="89"/>
    </row>
    <row r="234" spans="2:22">
      <c r="B234" s="46" cm="1">
        <f t="array" aca="1" ref="B234" ca="1">OFFSET(INDIRECT(ADDRESS(ROW(),COLUMN())),0,6)</f>
        <v>1700006</v>
      </c>
      <c r="C234" s="46">
        <v>1</v>
      </c>
      <c r="D234" s="46"/>
      <c r="E234" s="46"/>
      <c r="F234" s="46"/>
      <c r="G234" s="46">
        <v>1</v>
      </c>
      <c r="H234" s="46">
        <v>1700006</v>
      </c>
      <c r="I234" s="88" t="s">
        <v>305</v>
      </c>
      <c r="J234" s="46" t="s">
        <v>663</v>
      </c>
      <c r="K234" s="46" t="s">
        <v>660</v>
      </c>
      <c r="L234" s="46" t="s">
        <v>661</v>
      </c>
      <c r="M234" s="46" t="s">
        <v>662</v>
      </c>
      <c r="N234" s="46" t="s">
        <v>945</v>
      </c>
      <c r="O234" s="46" t="s">
        <v>946</v>
      </c>
      <c r="P234" s="46" t="s">
        <v>947</v>
      </c>
      <c r="Q234" s="46">
        <v>0</v>
      </c>
      <c r="R234" s="48" t="s">
        <v>132</v>
      </c>
      <c r="S234" s="49">
        <v>0</v>
      </c>
      <c r="T234" s="48" t="s">
        <v>111</v>
      </c>
      <c r="U234" s="50">
        <v>0</v>
      </c>
      <c r="V234" s="89" t="s">
        <v>306</v>
      </c>
    </row>
    <row r="235" spans="2:22">
      <c r="B235" s="46" cm="1">
        <f t="array" aca="1" ref="B235" ca="1">OFFSET(INDIRECT(ADDRESS(ROW(),COLUMN())),0,6)</f>
        <v>1700007</v>
      </c>
      <c r="C235" s="46">
        <v>1</v>
      </c>
      <c r="D235" s="46"/>
      <c r="E235" s="46"/>
      <c r="F235" s="46"/>
      <c r="G235" s="46">
        <v>1</v>
      </c>
      <c r="H235" s="46">
        <v>1700007</v>
      </c>
      <c r="I235" s="88" t="s">
        <v>307</v>
      </c>
      <c r="J235" s="46" t="s">
        <v>667</v>
      </c>
      <c r="K235" s="46" t="s">
        <v>664</v>
      </c>
      <c r="L235" s="46" t="s">
        <v>665</v>
      </c>
      <c r="M235" s="46" t="s">
        <v>666</v>
      </c>
      <c r="N235" s="46" t="s">
        <v>948</v>
      </c>
      <c r="O235" s="46" t="s">
        <v>949</v>
      </c>
      <c r="P235" s="46" t="s">
        <v>949</v>
      </c>
      <c r="Q235" s="46">
        <v>0</v>
      </c>
      <c r="R235" s="48" t="s">
        <v>132</v>
      </c>
      <c r="S235" s="49">
        <v>0</v>
      </c>
      <c r="T235" s="48" t="s">
        <v>111</v>
      </c>
      <c r="U235" s="50">
        <v>0</v>
      </c>
      <c r="V235" s="89" t="s">
        <v>306</v>
      </c>
    </row>
    <row r="236" spans="2:22">
      <c r="B236" s="46" cm="1">
        <f t="array" aca="1" ref="B236" ca="1">OFFSET(INDIRECT(ADDRESS(ROW(),COLUMN())),0,6)</f>
        <v>201</v>
      </c>
      <c r="C236" s="46">
        <v>1</v>
      </c>
      <c r="D236" s="46"/>
      <c r="E236" s="46"/>
      <c r="F236" s="46"/>
      <c r="G236" s="46">
        <v>1</v>
      </c>
      <c r="H236" s="46">
        <v>201</v>
      </c>
      <c r="I236" s="88" t="s">
        <v>1402</v>
      </c>
      <c r="J236" s="46" t="s">
        <v>1403</v>
      </c>
      <c r="K236" s="46" t="s">
        <v>1622</v>
      </c>
      <c r="L236" s="46" t="s">
        <v>1803</v>
      </c>
      <c r="M236" s="81" t="s">
        <v>1404</v>
      </c>
      <c r="N236" s="46" t="s">
        <v>1405</v>
      </c>
      <c r="O236" s="46" t="s">
        <v>1804</v>
      </c>
      <c r="P236" s="46" t="s">
        <v>1406</v>
      </c>
      <c r="Q236" s="46">
        <v>0</v>
      </c>
      <c r="R236" s="48" t="s">
        <v>132</v>
      </c>
      <c r="S236" s="49">
        <v>0</v>
      </c>
      <c r="T236" s="48" t="s">
        <v>111</v>
      </c>
      <c r="U236" s="50">
        <v>0</v>
      </c>
      <c r="V236" s="89" t="s">
        <v>670</v>
      </c>
    </row>
    <row r="237" spans="2:22">
      <c r="B237" s="46" cm="1">
        <f t="array" aca="1" ref="B237" ca="1">OFFSET(INDIRECT(ADDRESS(ROW(),COLUMN())),0,6)</f>
        <v>202</v>
      </c>
      <c r="C237" s="46">
        <v>1</v>
      </c>
      <c r="D237" s="46"/>
      <c r="E237" s="46"/>
      <c r="F237" s="46"/>
      <c r="G237" s="46">
        <v>1</v>
      </c>
      <c r="H237" s="46">
        <v>202</v>
      </c>
      <c r="I237" s="88" t="s">
        <v>23</v>
      </c>
      <c r="J237" s="46" t="s">
        <v>693</v>
      </c>
      <c r="K237" s="46" t="s">
        <v>417</v>
      </c>
      <c r="L237" s="46" t="s">
        <v>671</v>
      </c>
      <c r="M237" s="81" t="s">
        <v>417</v>
      </c>
      <c r="N237" s="46" t="s">
        <v>751</v>
      </c>
      <c r="O237" s="46" t="s">
        <v>752</v>
      </c>
      <c r="P237" s="46" t="s">
        <v>419</v>
      </c>
      <c r="Q237" s="46">
        <v>0</v>
      </c>
      <c r="R237" s="48" t="s">
        <v>132</v>
      </c>
      <c r="S237" s="49">
        <v>0</v>
      </c>
      <c r="T237" s="48" t="s">
        <v>111</v>
      </c>
      <c r="U237" s="50">
        <v>0</v>
      </c>
      <c r="V237" s="89" t="s">
        <v>670</v>
      </c>
    </row>
    <row r="238" spans="2:22">
      <c r="B238" s="46" cm="1">
        <f t="array" aca="1" ref="B238" ca="1">OFFSET(INDIRECT(ADDRESS(ROW(),COLUMN())),0,6)</f>
        <v>203</v>
      </c>
      <c r="C238" s="46">
        <v>1</v>
      </c>
      <c r="D238" s="46"/>
      <c r="E238" s="46"/>
      <c r="F238" s="46"/>
      <c r="G238" s="46">
        <v>1</v>
      </c>
      <c r="H238" s="46">
        <v>203</v>
      </c>
      <c r="I238" s="88" t="s">
        <v>22</v>
      </c>
      <c r="J238" s="46" t="s">
        <v>421</v>
      </c>
      <c r="K238" s="46" t="s">
        <v>420</v>
      </c>
      <c r="L238" s="46" t="s">
        <v>420</v>
      </c>
      <c r="M238" s="46" t="s">
        <v>420</v>
      </c>
      <c r="N238" s="46" t="s">
        <v>753</v>
      </c>
      <c r="O238" s="46" t="s">
        <v>754</v>
      </c>
      <c r="P238" s="46" t="s">
        <v>754</v>
      </c>
      <c r="Q238" s="46">
        <v>0</v>
      </c>
      <c r="R238" s="48" t="s">
        <v>132</v>
      </c>
      <c r="S238" s="49">
        <f>VLOOKUP(R238,_표_ChattingMessageType[[ChattingMessageType_Item]:[ChattingMessageType_Enum]],2,FALSE)</f>
        <v>0</v>
      </c>
      <c r="T238" s="48" t="s">
        <v>111</v>
      </c>
      <c r="U238" s="50">
        <f>VLOOKUP(T238,_표_MessageType[[MessageType_Item]:[MessageType_Enum]],3,FALSE)</f>
        <v>0</v>
      </c>
      <c r="V238" s="89" t="s">
        <v>670</v>
      </c>
    </row>
    <row r="239" spans="2:22">
      <c r="B239" s="46" cm="1">
        <f t="array" aca="1" ref="B239" ca="1">OFFSET(INDIRECT(ADDRESS(ROW(),COLUMN())),0,6)</f>
        <v>204</v>
      </c>
      <c r="C239" s="46">
        <v>1</v>
      </c>
      <c r="D239" s="46"/>
      <c r="E239" s="46"/>
      <c r="F239" s="46"/>
      <c r="G239" s="46">
        <v>1</v>
      </c>
      <c r="H239" s="46">
        <v>204</v>
      </c>
      <c r="I239" s="88" t="s">
        <v>1012</v>
      </c>
      <c r="J239" s="46" t="s">
        <v>1805</v>
      </c>
      <c r="K239" s="46" t="s">
        <v>1806</v>
      </c>
      <c r="L239" s="46" t="s">
        <v>1807</v>
      </c>
      <c r="M239" s="46" t="s">
        <v>1808</v>
      </c>
      <c r="N239" s="46" t="s">
        <v>1809</v>
      </c>
      <c r="O239" s="46" t="s">
        <v>1787</v>
      </c>
      <c r="P239" s="46" t="s">
        <v>1810</v>
      </c>
      <c r="Q239" s="46">
        <v>0</v>
      </c>
      <c r="R239" s="48" t="s">
        <v>132</v>
      </c>
      <c r="S239" s="49">
        <f>VLOOKUP(R239,_표_ChattingMessageType[[ChattingMessageType_Item]:[ChattingMessageType_Enum]],2,FALSE)</f>
        <v>0</v>
      </c>
      <c r="T239" s="48" t="s">
        <v>111</v>
      </c>
      <c r="U239" s="50">
        <f>VLOOKUP(T239,_표_MessageType[[MessageType_Item]:[MessageType_Enum]],3,FALSE)</f>
        <v>0</v>
      </c>
      <c r="V239" s="89" t="s">
        <v>1011</v>
      </c>
    </row>
    <row r="240" spans="2:22">
      <c r="B240" s="46" cm="1">
        <f t="array" aca="1" ref="B240" ca="1">OFFSET(INDIRECT(ADDRESS(ROW(),COLUMN())),0,6)</f>
        <v>10081</v>
      </c>
      <c r="C240" s="46">
        <v>1</v>
      </c>
      <c r="D240" s="46"/>
      <c r="E240" s="46"/>
      <c r="F240" s="46"/>
      <c r="G240" s="46">
        <v>1</v>
      </c>
      <c r="H240" s="46">
        <v>10081</v>
      </c>
      <c r="I240" s="88" t="s">
        <v>1811</v>
      </c>
      <c r="J240" s="88" t="str">
        <f>I240</f>
        <v>Treacherous Nefarioxen and Aberrant Creatures are swarming in.</v>
      </c>
      <c r="K240" s="88" t="str">
        <f>I240</f>
        <v>Treacherous Nefarioxen and Aberrant Creatures are swarming in.</v>
      </c>
      <c r="L240" s="88" t="str">
        <f>I240</f>
        <v>Treacherous Nefarioxen and Aberrant Creatures are swarming in.</v>
      </c>
      <c r="M240" s="88" t="str">
        <f>I240</f>
        <v>Treacherous Nefarioxen and Aberrant Creatures are swarming in.</v>
      </c>
      <c r="N240" s="88" t="str">
        <f>I240</f>
        <v>Treacherous Nefarioxen and Aberrant Creatures are swarming in.</v>
      </c>
      <c r="O240" s="88" t="str">
        <f>I240</f>
        <v>Treacherous Nefarioxen and Aberrant Creatures are swarming in.</v>
      </c>
      <c r="P240" s="88" t="str">
        <f>I240</f>
        <v>Treacherous Nefarioxen and Aberrant Creatures are swarming in.</v>
      </c>
      <c r="Q240" s="46">
        <v>0</v>
      </c>
      <c r="R240" s="48" t="s">
        <v>132</v>
      </c>
      <c r="S240" s="49">
        <f>VLOOKUP(R240,_표_ChattingMessageType[[ChattingMessageType_Item]:[ChattingMessageType_Enum]],2,FALSE)</f>
        <v>0</v>
      </c>
      <c r="T240" s="48" t="s">
        <v>111</v>
      </c>
      <c r="U240" s="50">
        <f>VLOOKUP(T240,_표_MessageType[[MessageType_Item]:[MessageType_Enum]],3,FALSE)</f>
        <v>0</v>
      </c>
      <c r="V240" s="89"/>
    </row>
    <row r="241" spans="2:22">
      <c r="B241" s="46" cm="1">
        <f t="array" aca="1" ref="B241" ca="1">OFFSET(INDIRECT(ADDRESS(ROW(),COLUMN())),0,6)</f>
        <v>1020018</v>
      </c>
      <c r="C241" s="46">
        <v>1</v>
      </c>
      <c r="D241" s="46"/>
      <c r="E241" s="46"/>
      <c r="F241" s="46"/>
      <c r="G241" s="46">
        <v>1</v>
      </c>
      <c r="H241" s="46">
        <v>1020018</v>
      </c>
      <c r="I241" s="88" t="s">
        <v>1815</v>
      </c>
      <c r="J241" s="88" t="str">
        <f>I241</f>
        <v>Yeticlops Boss absorbs the energy of the dead and recovers HP.</v>
      </c>
      <c r="K241" s="88" t="str">
        <f>I241</f>
        <v>Yeticlops Boss absorbs the energy of the dead and recovers HP.</v>
      </c>
      <c r="L241" s="88" t="str">
        <f>I241</f>
        <v>Yeticlops Boss absorbs the energy of the dead and recovers HP.</v>
      </c>
      <c r="M241" s="88" t="str">
        <f>I241</f>
        <v>Yeticlops Boss absorbs the energy of the dead and recovers HP.</v>
      </c>
      <c r="N241" s="88" t="str">
        <f>I241</f>
        <v>Yeticlops Boss absorbs the energy of the dead and recovers HP.</v>
      </c>
      <c r="O241" s="88" t="str">
        <f>I241</f>
        <v>Yeticlops Boss absorbs the energy of the dead and recovers HP.</v>
      </c>
      <c r="P241" s="88" t="str">
        <f>I241</f>
        <v>Yeticlops Boss absorbs the energy of the dead and recovers HP.</v>
      </c>
      <c r="Q241" s="46">
        <v>0</v>
      </c>
      <c r="R241" s="48" t="s">
        <v>132</v>
      </c>
      <c r="S241" s="49">
        <f>VLOOKUP(R241,_표_ChattingMessageType[[ChattingMessageType_Item]:[ChattingMessageType_Enum]],2,FALSE)</f>
        <v>0</v>
      </c>
      <c r="T241" s="48" t="s">
        <v>111</v>
      </c>
      <c r="U241" s="50">
        <f>VLOOKUP(T241,_표_MessageType[[MessageType_Item]:[MessageType_Enum]],3,FALSE)</f>
        <v>0</v>
      </c>
      <c r="V241" s="89"/>
    </row>
    <row r="242" spans="2:22">
      <c r="B242" s="46" cm="1">
        <f t="array" aca="1" ref="B242" ca="1">OFFSET(INDIRECT(ADDRESS(ROW(),COLUMN())),0,6)</f>
        <v>1082002</v>
      </c>
      <c r="C242" s="46">
        <v>1</v>
      </c>
      <c r="D242" s="46"/>
      <c r="E242" s="46"/>
      <c r="F242" s="46"/>
      <c r="G242" s="46">
        <v>1</v>
      </c>
      <c r="H242" s="46">
        <v>1082002</v>
      </c>
      <c r="I242" s="88" t="s">
        <v>1816</v>
      </c>
      <c r="J242" s="88" t="str">
        <f>I242</f>
        <v>Azure Flame Emperor becomes frenzied, and evil energy explodes.</v>
      </c>
      <c r="K242" s="88" t="str">
        <f>I242</f>
        <v>Azure Flame Emperor becomes frenzied, and evil energy explodes.</v>
      </c>
      <c r="L242" s="88" t="str">
        <f>I242</f>
        <v>Azure Flame Emperor becomes frenzied, and evil energy explodes.</v>
      </c>
      <c r="M242" s="88" t="str">
        <f>I242</f>
        <v>Azure Flame Emperor becomes frenzied, and evil energy explodes.</v>
      </c>
      <c r="N242" s="88" t="str">
        <f>I242</f>
        <v>Azure Flame Emperor becomes frenzied, and evil energy explodes.</v>
      </c>
      <c r="O242" s="88" t="str">
        <f>I242</f>
        <v>Azure Flame Emperor becomes frenzied, and evil energy explodes.</v>
      </c>
      <c r="P242" s="88" t="str">
        <f>I242</f>
        <v>Azure Flame Emperor becomes frenzied, and evil energy explodes.</v>
      </c>
      <c r="Q242" s="46">
        <v>0</v>
      </c>
      <c r="R242" s="48" t="s">
        <v>132</v>
      </c>
      <c r="S242" s="49">
        <f>VLOOKUP(R242,_표_ChattingMessageType[[ChattingMessageType_Item]:[ChattingMessageType_Enum]],2,FALSE)</f>
        <v>0</v>
      </c>
      <c r="T242" s="48" t="s">
        <v>111</v>
      </c>
      <c r="U242" s="50">
        <f>VLOOKUP(T242,_표_MessageType[[MessageType_Item]:[MessageType_Enum]],3,FALSE)</f>
        <v>0</v>
      </c>
      <c r="V242" s="89"/>
    </row>
  </sheetData>
  <autoFilter ref="A4:P242" xr:uid="{246DF56D-BD40-49F5-9EBB-DD0BAE1ED1A4}"/>
  <dataConsolidate/>
  <phoneticPr fontId="2" type="noConversion"/>
  <conditionalFormatting sqref="H243:H1048576 H1:H4">
    <cfRule type="duplicateValues" dxfId="70" priority="22920"/>
  </conditionalFormatting>
  <conditionalFormatting sqref="H243:H1048576 H1:H4">
    <cfRule type="duplicateValues" dxfId="69" priority="22923"/>
  </conditionalFormatting>
  <conditionalFormatting sqref="H243:H1048576">
    <cfRule type="duplicateValues" dxfId="68" priority="22926"/>
  </conditionalFormatting>
  <conditionalFormatting sqref="H243:H1048576">
    <cfRule type="duplicateValues" dxfId="67" priority="22929"/>
  </conditionalFormatting>
  <conditionalFormatting sqref="H64:H66">
    <cfRule type="duplicateValues" dxfId="66" priority="91"/>
  </conditionalFormatting>
  <conditionalFormatting sqref="H64:H66">
    <cfRule type="duplicateValues" dxfId="65" priority="92"/>
  </conditionalFormatting>
  <conditionalFormatting sqref="H64:H66">
    <cfRule type="duplicateValues" dxfId="64" priority="89"/>
  </conditionalFormatting>
  <conditionalFormatting sqref="H64:H66">
    <cfRule type="duplicateValues" dxfId="63" priority="88"/>
  </conditionalFormatting>
  <conditionalFormatting sqref="H162:H163">
    <cfRule type="duplicateValues" dxfId="62" priority="81"/>
  </conditionalFormatting>
  <conditionalFormatting sqref="H162:H163">
    <cfRule type="duplicateValues" dxfId="61" priority="82"/>
  </conditionalFormatting>
  <conditionalFormatting sqref="H162:H163">
    <cfRule type="duplicateValues" dxfId="60" priority="79"/>
  </conditionalFormatting>
  <conditionalFormatting sqref="H162:H163">
    <cfRule type="duplicateValues" dxfId="59" priority="78"/>
  </conditionalFormatting>
  <conditionalFormatting sqref="H215:H216">
    <cfRule type="duplicateValues" dxfId="58" priority="71"/>
  </conditionalFormatting>
  <conditionalFormatting sqref="H215:H216">
    <cfRule type="duplicateValues" dxfId="57" priority="72"/>
  </conditionalFormatting>
  <conditionalFormatting sqref="H215:H216">
    <cfRule type="duplicateValues" dxfId="56" priority="69"/>
  </conditionalFormatting>
  <conditionalFormatting sqref="H215:H216">
    <cfRule type="duplicateValues" dxfId="55" priority="68"/>
  </conditionalFormatting>
  <conditionalFormatting sqref="H217">
    <cfRule type="duplicateValues" dxfId="54" priority="66"/>
  </conditionalFormatting>
  <conditionalFormatting sqref="H217">
    <cfRule type="duplicateValues" dxfId="53" priority="67"/>
  </conditionalFormatting>
  <conditionalFormatting sqref="H217">
    <cfRule type="duplicateValues" dxfId="52" priority="64"/>
  </conditionalFormatting>
  <conditionalFormatting sqref="H217">
    <cfRule type="duplicateValues" dxfId="51" priority="63"/>
  </conditionalFormatting>
  <conditionalFormatting sqref="H218:H219">
    <cfRule type="duplicateValues" dxfId="50" priority="61"/>
  </conditionalFormatting>
  <conditionalFormatting sqref="H218:H219">
    <cfRule type="duplicateValues" dxfId="49" priority="62"/>
  </conditionalFormatting>
  <conditionalFormatting sqref="H218:H219">
    <cfRule type="duplicateValues" dxfId="48" priority="59"/>
  </conditionalFormatting>
  <conditionalFormatting sqref="H218:H219">
    <cfRule type="duplicateValues" dxfId="47" priority="58"/>
  </conditionalFormatting>
  <conditionalFormatting sqref="H220">
    <cfRule type="duplicateValues" dxfId="46" priority="56"/>
  </conditionalFormatting>
  <conditionalFormatting sqref="H220">
    <cfRule type="duplicateValues" dxfId="45" priority="57"/>
  </conditionalFormatting>
  <conditionalFormatting sqref="H220">
    <cfRule type="duplicateValues" dxfId="44" priority="54"/>
  </conditionalFormatting>
  <conditionalFormatting sqref="H220">
    <cfRule type="duplicateValues" dxfId="43" priority="53"/>
  </conditionalFormatting>
  <conditionalFormatting sqref="H221">
    <cfRule type="duplicateValues" dxfId="42" priority="51"/>
  </conditionalFormatting>
  <conditionalFormatting sqref="H221">
    <cfRule type="duplicateValues" dxfId="41" priority="52"/>
  </conditionalFormatting>
  <conditionalFormatting sqref="H221">
    <cfRule type="duplicateValues" dxfId="40" priority="49"/>
  </conditionalFormatting>
  <conditionalFormatting sqref="H221">
    <cfRule type="duplicateValues" dxfId="39" priority="48"/>
  </conditionalFormatting>
  <conditionalFormatting sqref="H222:H227">
    <cfRule type="duplicateValues" dxfId="38" priority="46"/>
  </conditionalFormatting>
  <conditionalFormatting sqref="H222:H227">
    <cfRule type="duplicateValues" dxfId="37" priority="47"/>
  </conditionalFormatting>
  <conditionalFormatting sqref="H222:H227">
    <cfRule type="duplicateValues" dxfId="36" priority="44"/>
  </conditionalFormatting>
  <conditionalFormatting sqref="H222:H227">
    <cfRule type="duplicateValues" dxfId="35" priority="43"/>
  </conditionalFormatting>
  <conditionalFormatting sqref="H228:H230">
    <cfRule type="duplicateValues" dxfId="34" priority="41"/>
  </conditionalFormatting>
  <conditionalFormatting sqref="H228:H230">
    <cfRule type="duplicateValues" dxfId="33" priority="42"/>
  </conditionalFormatting>
  <conditionalFormatting sqref="H228:H230">
    <cfRule type="duplicateValues" dxfId="32" priority="39"/>
  </conditionalFormatting>
  <conditionalFormatting sqref="H228:H230">
    <cfRule type="duplicateValues" dxfId="31" priority="38"/>
  </conditionalFormatting>
  <conditionalFormatting sqref="H231:H232">
    <cfRule type="duplicateValues" dxfId="30" priority="36"/>
  </conditionalFormatting>
  <conditionalFormatting sqref="H231:H232">
    <cfRule type="duplicateValues" dxfId="29" priority="37"/>
  </conditionalFormatting>
  <conditionalFormatting sqref="H231:H232">
    <cfRule type="duplicateValues" dxfId="28" priority="34"/>
  </conditionalFormatting>
  <conditionalFormatting sqref="H231:H232">
    <cfRule type="duplicateValues" dxfId="27" priority="33"/>
  </conditionalFormatting>
  <conditionalFormatting sqref="H233">
    <cfRule type="duplicateValues" dxfId="26" priority="31"/>
  </conditionalFormatting>
  <conditionalFormatting sqref="H233">
    <cfRule type="duplicateValues" dxfId="25" priority="32"/>
  </conditionalFormatting>
  <conditionalFormatting sqref="H233">
    <cfRule type="duplicateValues" dxfId="24" priority="29"/>
  </conditionalFormatting>
  <conditionalFormatting sqref="H233">
    <cfRule type="duplicateValues" dxfId="23" priority="28"/>
  </conditionalFormatting>
  <conditionalFormatting sqref="H234:H235">
    <cfRule type="duplicateValues" dxfId="22" priority="26"/>
  </conditionalFormatting>
  <conditionalFormatting sqref="H234:H235">
    <cfRule type="duplicateValues" dxfId="21" priority="27"/>
  </conditionalFormatting>
  <conditionalFormatting sqref="H234:H235">
    <cfRule type="duplicateValues" dxfId="20" priority="24"/>
  </conditionalFormatting>
  <conditionalFormatting sqref="H234:H235">
    <cfRule type="duplicateValues" dxfId="19" priority="23"/>
  </conditionalFormatting>
  <conditionalFormatting sqref="H5:H37">
    <cfRule type="duplicateValues" dxfId="18" priority="22934"/>
  </conditionalFormatting>
  <conditionalFormatting sqref="H5:H37">
    <cfRule type="duplicateValues" dxfId="17" priority="22935"/>
  </conditionalFormatting>
  <conditionalFormatting sqref="H38:H63">
    <cfRule type="duplicateValues" dxfId="16" priority="22940"/>
  </conditionalFormatting>
  <conditionalFormatting sqref="H38:H63">
    <cfRule type="duplicateValues" dxfId="15" priority="22941"/>
  </conditionalFormatting>
  <conditionalFormatting sqref="H67:H161">
    <cfRule type="duplicateValues" dxfId="14" priority="22946"/>
  </conditionalFormatting>
  <conditionalFormatting sqref="H67:H161">
    <cfRule type="duplicateValues" dxfId="13" priority="22947"/>
  </conditionalFormatting>
  <conditionalFormatting sqref="H164:H214">
    <cfRule type="duplicateValues" dxfId="12" priority="22961"/>
  </conditionalFormatting>
  <conditionalFormatting sqref="H164:H214">
    <cfRule type="duplicateValues" dxfId="11" priority="22963"/>
  </conditionalFormatting>
  <conditionalFormatting sqref="H236">
    <cfRule type="duplicateValues" dxfId="10" priority="17"/>
  </conditionalFormatting>
  <conditionalFormatting sqref="H237">
    <cfRule type="duplicateValues" dxfId="9" priority="15"/>
  </conditionalFormatting>
  <conditionalFormatting sqref="H238">
    <cfRule type="duplicateValues" dxfId="8" priority="13"/>
  </conditionalFormatting>
  <conditionalFormatting sqref="H238">
    <cfRule type="duplicateValues" dxfId="7" priority="14"/>
  </conditionalFormatting>
  <conditionalFormatting sqref="B5:B238">
    <cfRule type="duplicateValues" dxfId="6" priority="10"/>
  </conditionalFormatting>
  <conditionalFormatting sqref="H243:H1048576 H1:H238">
    <cfRule type="duplicateValues" dxfId="5" priority="9"/>
  </conditionalFormatting>
  <conditionalFormatting sqref="B243:B1048576 B1:B238">
    <cfRule type="duplicateValues" dxfId="4" priority="8"/>
  </conditionalFormatting>
  <conditionalFormatting sqref="H239:H242">
    <cfRule type="duplicateValues" dxfId="3" priority="22968"/>
  </conditionalFormatting>
  <conditionalFormatting sqref="H239:H242">
    <cfRule type="duplicateValues" dxfId="2" priority="22969"/>
  </conditionalFormatting>
  <conditionalFormatting sqref="B239:B242">
    <cfRule type="duplicateValues" dxfId="1" priority="22970"/>
  </conditionalFormatting>
  <conditionalFormatting sqref="H239:H242">
    <cfRule type="duplicateValues" dxfId="0" priority="22971"/>
  </conditionalFormatting>
  <dataValidations disablePrompts="1" count="2">
    <dataValidation type="list" allowBlank="1" showInputMessage="1" showErrorMessage="1" sqref="R5:R242" xr:uid="{00000000-0002-0000-0100-000000000000}">
      <formula1>_리스트_ChattingMessageType_Item</formula1>
    </dataValidation>
    <dataValidation type="list" allowBlank="1" showInputMessage="1" showErrorMessage="1" sqref="T5:T242" xr:uid="{00000000-0002-0000-0100-000001000000}">
      <formula1>_리스트_MessageType_Item</formula1>
    </dataValidation>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2049" r:id="rId4" name="JsonFileCreate">
          <controlPr autoLine="0" r:id="rId5">
            <anchor moveWithCells="1">
              <from>
                <xdr:col>0</xdr:col>
                <xdr:colOff>9525</xdr:colOff>
                <xdr:row>0</xdr:row>
                <xdr:rowOff>0</xdr:rowOff>
              </from>
              <to>
                <xdr:col>4</xdr:col>
                <xdr:colOff>409575</xdr:colOff>
                <xdr:row>0</xdr:row>
                <xdr:rowOff>381000</xdr:rowOff>
              </to>
            </anchor>
          </controlPr>
        </control>
      </mc:Choice>
      <mc:Fallback>
        <control shapeId="2049" r:id="rId4" name="JsonFileCreate"/>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G130"/>
  <sheetViews>
    <sheetView showGridLines="0" workbookViewId="0">
      <pane ySplit="3" topLeftCell="A100" activePane="bottomLeft" state="frozen"/>
      <selection pane="bottomLeft" activeCell="C24" sqref="C24"/>
    </sheetView>
  </sheetViews>
  <sheetFormatPr defaultRowHeight="16.5"/>
  <cols>
    <col min="1" max="1" width="3.625" customWidth="1"/>
    <col min="2" max="2" width="35.875" customWidth="1"/>
    <col min="3" max="3" width="9.5" bestFit="1" customWidth="1"/>
  </cols>
  <sheetData>
    <row r="2" spans="2:6">
      <c r="B2" t="s">
        <v>60</v>
      </c>
    </row>
    <row r="3" spans="2:6">
      <c r="B3" s="3"/>
      <c r="C3" s="120" t="s">
        <v>24</v>
      </c>
      <c r="D3" s="121"/>
      <c r="E3" s="121" t="s">
        <v>25</v>
      </c>
      <c r="F3" s="121"/>
    </row>
    <row r="4" spans="2:6">
      <c r="B4" s="3"/>
      <c r="C4" s="4" t="s">
        <v>26</v>
      </c>
      <c r="D4" s="5" t="s">
        <v>27</v>
      </c>
      <c r="E4" s="5" t="s">
        <v>28</v>
      </c>
      <c r="F4" s="5" t="s">
        <v>27</v>
      </c>
    </row>
    <row r="5" spans="2:6">
      <c r="B5" s="6" t="s">
        <v>29</v>
      </c>
      <c r="C5" s="23">
        <v>10001</v>
      </c>
      <c r="D5" s="24">
        <f>E5-1</f>
        <v>20000</v>
      </c>
      <c r="E5" s="24">
        <f>C5+10000</f>
        <v>20001</v>
      </c>
      <c r="F5" s="24">
        <v>30000</v>
      </c>
    </row>
    <row r="6" spans="2:6">
      <c r="B6" s="25" t="s">
        <v>89</v>
      </c>
      <c r="C6" s="22">
        <v>101000</v>
      </c>
      <c r="D6" s="22">
        <v>101999</v>
      </c>
      <c r="E6" s="22" t="s">
        <v>90</v>
      </c>
      <c r="F6" s="22" t="s">
        <v>90</v>
      </c>
    </row>
    <row r="7" spans="2:6">
      <c r="B7" s="25" t="s">
        <v>91</v>
      </c>
      <c r="C7" s="22">
        <v>102000</v>
      </c>
      <c r="D7" s="22">
        <v>102999</v>
      </c>
      <c r="E7" s="22"/>
      <c r="F7" s="22"/>
    </row>
    <row r="8" spans="2:6">
      <c r="B8" s="6" t="s">
        <v>80</v>
      </c>
      <c r="C8" s="7">
        <v>1001001</v>
      </c>
      <c r="D8" s="8">
        <v>1002000</v>
      </c>
      <c r="E8" s="8">
        <f>C8+1000000</f>
        <v>2001001</v>
      </c>
      <c r="F8" s="8">
        <v>2002000</v>
      </c>
    </row>
    <row r="9" spans="2:6">
      <c r="B9" s="6" t="s">
        <v>31</v>
      </c>
      <c r="C9" s="7">
        <f>C8+1000</f>
        <v>1002001</v>
      </c>
      <c r="D9" s="8">
        <v>1003000</v>
      </c>
      <c r="E9" s="8">
        <f t="shared" ref="E9:E17" si="0">C9+1000000</f>
        <v>2002001</v>
      </c>
      <c r="F9" s="8">
        <f>F8+1000</f>
        <v>2003000</v>
      </c>
    </row>
    <row r="10" spans="2:6">
      <c r="B10" s="6" t="s">
        <v>32</v>
      </c>
      <c r="C10" s="7">
        <f t="shared" ref="C10:C21" si="1">C9+1000</f>
        <v>1003001</v>
      </c>
      <c r="D10" s="8">
        <v>1004000</v>
      </c>
      <c r="E10" s="8">
        <f t="shared" si="0"/>
        <v>2003001</v>
      </c>
      <c r="F10" s="8">
        <f t="shared" ref="F10:F21" si="2">F9+1000</f>
        <v>2004000</v>
      </c>
    </row>
    <row r="11" spans="2:6">
      <c r="B11" s="6" t="s">
        <v>33</v>
      </c>
      <c r="C11" s="7">
        <f t="shared" si="1"/>
        <v>1004001</v>
      </c>
      <c r="D11" s="8">
        <v>1005000</v>
      </c>
      <c r="E11" s="8">
        <f t="shared" si="0"/>
        <v>2004001</v>
      </c>
      <c r="F11" s="8">
        <f t="shared" si="2"/>
        <v>2005000</v>
      </c>
    </row>
    <row r="12" spans="2:6">
      <c r="B12" s="6" t="s">
        <v>42</v>
      </c>
      <c r="C12" s="7">
        <f t="shared" si="1"/>
        <v>1005001</v>
      </c>
      <c r="D12" s="8">
        <v>1006000</v>
      </c>
      <c r="E12" s="8">
        <f t="shared" si="0"/>
        <v>2005001</v>
      </c>
      <c r="F12" s="8">
        <f t="shared" si="2"/>
        <v>2006000</v>
      </c>
    </row>
    <row r="13" spans="2:6">
      <c r="B13" s="6" t="s">
        <v>36</v>
      </c>
      <c r="C13" s="7">
        <f>C12+1000</f>
        <v>1006001</v>
      </c>
      <c r="D13" s="8">
        <v>1007000</v>
      </c>
      <c r="E13" s="8">
        <f t="shared" si="0"/>
        <v>2006001</v>
      </c>
      <c r="F13" s="8">
        <f t="shared" si="2"/>
        <v>2007000</v>
      </c>
    </row>
    <row r="14" spans="2:6">
      <c r="B14" s="6" t="s">
        <v>34</v>
      </c>
      <c r="C14" s="7">
        <f t="shared" si="1"/>
        <v>1007001</v>
      </c>
      <c r="D14" s="8">
        <v>1008000</v>
      </c>
      <c r="E14" s="8">
        <f t="shared" si="0"/>
        <v>2007001</v>
      </c>
      <c r="F14" s="8">
        <f t="shared" si="2"/>
        <v>2008000</v>
      </c>
    </row>
    <row r="15" spans="2:6">
      <c r="B15" s="6" t="s">
        <v>30</v>
      </c>
      <c r="C15" s="7">
        <f t="shared" si="1"/>
        <v>1008001</v>
      </c>
      <c r="D15" s="8">
        <v>1009000</v>
      </c>
      <c r="E15" s="8">
        <f t="shared" si="0"/>
        <v>2008001</v>
      </c>
      <c r="F15" s="8">
        <f t="shared" si="2"/>
        <v>2009000</v>
      </c>
    </row>
    <row r="16" spans="2:6">
      <c r="B16" s="6" t="s">
        <v>35</v>
      </c>
      <c r="C16" s="7">
        <f t="shared" si="1"/>
        <v>1009001</v>
      </c>
      <c r="D16" s="8">
        <v>1010000</v>
      </c>
      <c r="E16" s="8">
        <f t="shared" si="0"/>
        <v>2009001</v>
      </c>
      <c r="F16" s="8">
        <f t="shared" si="2"/>
        <v>2010000</v>
      </c>
    </row>
    <row r="17" spans="2:6">
      <c r="B17" s="6" t="s">
        <v>41</v>
      </c>
      <c r="C17" s="7">
        <f t="shared" si="1"/>
        <v>1010001</v>
      </c>
      <c r="D17" s="8">
        <v>1011000</v>
      </c>
      <c r="E17" s="8">
        <f t="shared" si="0"/>
        <v>2010001</v>
      </c>
      <c r="F17" s="8">
        <f t="shared" si="2"/>
        <v>2011000</v>
      </c>
    </row>
    <row r="18" spans="2:6">
      <c r="B18" s="6" t="s">
        <v>38</v>
      </c>
      <c r="C18" s="7">
        <f t="shared" si="1"/>
        <v>1011001</v>
      </c>
      <c r="D18" s="8">
        <v>1012000</v>
      </c>
      <c r="E18" s="8">
        <f t="shared" ref="E18" si="3">C18+1000000</f>
        <v>2011001</v>
      </c>
      <c r="F18" s="8">
        <f t="shared" si="2"/>
        <v>2012000</v>
      </c>
    </row>
    <row r="19" spans="2:6">
      <c r="B19" s="6" t="s">
        <v>39</v>
      </c>
      <c r="C19" s="7">
        <f t="shared" si="1"/>
        <v>1012001</v>
      </c>
      <c r="D19" s="8">
        <v>1013000</v>
      </c>
      <c r="E19" s="8">
        <f t="shared" ref="E19:E20" si="4">C19+1000000</f>
        <v>2012001</v>
      </c>
      <c r="F19" s="8">
        <f t="shared" si="2"/>
        <v>2013000</v>
      </c>
    </row>
    <row r="20" spans="2:6">
      <c r="B20" s="6" t="s">
        <v>40</v>
      </c>
      <c r="C20" s="7">
        <f t="shared" si="1"/>
        <v>1013001</v>
      </c>
      <c r="D20" s="8">
        <v>1014000</v>
      </c>
      <c r="E20" s="8">
        <f t="shared" si="4"/>
        <v>2013001</v>
      </c>
      <c r="F20" s="8">
        <f t="shared" si="2"/>
        <v>2014000</v>
      </c>
    </row>
    <row r="21" spans="2:6">
      <c r="B21" s="10" t="s">
        <v>43</v>
      </c>
      <c r="C21" s="7">
        <f t="shared" si="1"/>
        <v>1014001</v>
      </c>
      <c r="D21" s="8">
        <v>1015000</v>
      </c>
      <c r="E21" s="8">
        <f t="shared" ref="E21" si="5">C21+1000000</f>
        <v>2014001</v>
      </c>
      <c r="F21" s="8">
        <f t="shared" si="2"/>
        <v>2015000</v>
      </c>
    </row>
    <row r="22" spans="2:6">
      <c r="B22" s="6" t="s">
        <v>127</v>
      </c>
      <c r="C22" s="2">
        <v>1015001</v>
      </c>
      <c r="D22" s="2">
        <v>1016000</v>
      </c>
      <c r="E22" s="2">
        <v>2015001</v>
      </c>
      <c r="F22" s="2">
        <v>2016000</v>
      </c>
    </row>
    <row r="23" spans="2:6">
      <c r="B23" s="6" t="s">
        <v>44</v>
      </c>
      <c r="C23" s="2">
        <v>1016001</v>
      </c>
      <c r="D23" s="2">
        <v>1017000</v>
      </c>
      <c r="E23" s="2">
        <v>2016001</v>
      </c>
      <c r="F23" s="2">
        <v>2017000</v>
      </c>
    </row>
    <row r="24" spans="2:6">
      <c r="B24" s="6" t="s">
        <v>109</v>
      </c>
      <c r="C24" s="2">
        <v>1017001</v>
      </c>
      <c r="D24" s="2">
        <v>1018000</v>
      </c>
      <c r="E24" s="2">
        <v>2017001</v>
      </c>
      <c r="F24" s="2">
        <v>2018000</v>
      </c>
    </row>
    <row r="25" spans="2:6">
      <c r="B25" s="6" t="s">
        <v>45</v>
      </c>
      <c r="C25" s="2">
        <f t="shared" ref="C25:F26" si="6">C24+1000</f>
        <v>1018001</v>
      </c>
      <c r="D25" s="2">
        <f t="shared" si="6"/>
        <v>1019000</v>
      </c>
      <c r="E25" s="2">
        <f t="shared" si="6"/>
        <v>2018001</v>
      </c>
      <c r="F25" s="2">
        <f t="shared" si="6"/>
        <v>2019000</v>
      </c>
    </row>
    <row r="26" spans="2:6">
      <c r="B26" s="6" t="s">
        <v>48</v>
      </c>
      <c r="C26" s="2">
        <f t="shared" si="6"/>
        <v>1019001</v>
      </c>
      <c r="D26" s="2">
        <f t="shared" si="6"/>
        <v>1020000</v>
      </c>
      <c r="E26" s="2">
        <f t="shared" si="6"/>
        <v>2019001</v>
      </c>
      <c r="F26" s="2">
        <f t="shared" si="6"/>
        <v>2020000</v>
      </c>
    </row>
    <row r="27" spans="2:6">
      <c r="B27" s="6" t="s">
        <v>107</v>
      </c>
      <c r="C27" s="2">
        <v>1020001</v>
      </c>
      <c r="D27" s="2">
        <v>1030000</v>
      </c>
      <c r="E27" s="2">
        <v>2020001</v>
      </c>
      <c r="F27" s="2">
        <v>2021000</v>
      </c>
    </row>
    <row r="28" spans="2:6">
      <c r="B28" s="6" t="s">
        <v>61</v>
      </c>
      <c r="C28" s="19">
        <f t="shared" ref="C28:F29" si="7">C27+1000</f>
        <v>1021001</v>
      </c>
      <c r="D28" s="19">
        <f t="shared" si="7"/>
        <v>1031000</v>
      </c>
      <c r="E28" s="19">
        <f t="shared" si="7"/>
        <v>2021001</v>
      </c>
      <c r="F28" s="19">
        <f t="shared" si="7"/>
        <v>2022000</v>
      </c>
    </row>
    <row r="29" spans="2:6">
      <c r="B29" s="6" t="s">
        <v>62</v>
      </c>
      <c r="C29" s="19">
        <f t="shared" si="7"/>
        <v>1022001</v>
      </c>
      <c r="D29" s="19">
        <f t="shared" si="7"/>
        <v>1032000</v>
      </c>
      <c r="E29" s="19">
        <f t="shared" si="7"/>
        <v>2022001</v>
      </c>
      <c r="F29" s="19">
        <f t="shared" si="7"/>
        <v>2023000</v>
      </c>
    </row>
    <row r="30" spans="2:6">
      <c r="B30" s="6" t="s">
        <v>63</v>
      </c>
      <c r="C30" s="19">
        <f t="shared" ref="C30:C37" si="8">C29+1000</f>
        <v>1023001</v>
      </c>
      <c r="D30" s="19">
        <f t="shared" ref="D30:D37" si="9">D29+1000</f>
        <v>1033000</v>
      </c>
      <c r="E30" s="19">
        <f t="shared" ref="E30:E37" si="10">E29+1000</f>
        <v>2023001</v>
      </c>
      <c r="F30" s="19">
        <f t="shared" ref="F30:F37" si="11">F29+1000</f>
        <v>2024000</v>
      </c>
    </row>
    <row r="31" spans="2:6">
      <c r="B31" s="6" t="s">
        <v>64</v>
      </c>
      <c r="C31" s="19">
        <f t="shared" si="8"/>
        <v>1024001</v>
      </c>
      <c r="D31" s="19">
        <f t="shared" si="9"/>
        <v>1034000</v>
      </c>
      <c r="E31" s="19">
        <f t="shared" si="10"/>
        <v>2024001</v>
      </c>
      <c r="F31" s="19">
        <f t="shared" si="11"/>
        <v>2025000</v>
      </c>
    </row>
    <row r="32" spans="2:6">
      <c r="B32" s="6" t="s">
        <v>65</v>
      </c>
      <c r="C32" s="19">
        <f t="shared" si="8"/>
        <v>1025001</v>
      </c>
      <c r="D32" s="19">
        <f t="shared" si="9"/>
        <v>1035000</v>
      </c>
      <c r="E32" s="19">
        <f t="shared" si="10"/>
        <v>2025001</v>
      </c>
      <c r="F32" s="19">
        <f t="shared" si="11"/>
        <v>2026000</v>
      </c>
    </row>
    <row r="33" spans="2:7">
      <c r="B33" s="6" t="s">
        <v>83</v>
      </c>
      <c r="C33" s="19">
        <f t="shared" si="8"/>
        <v>1026001</v>
      </c>
      <c r="D33" s="19">
        <f t="shared" si="9"/>
        <v>1036000</v>
      </c>
      <c r="E33" s="19">
        <f t="shared" si="10"/>
        <v>2026001</v>
      </c>
      <c r="F33" s="19">
        <f t="shared" si="11"/>
        <v>2027000</v>
      </c>
    </row>
    <row r="34" spans="2:7">
      <c r="B34" s="6" t="s">
        <v>84</v>
      </c>
      <c r="C34" s="2">
        <f t="shared" si="8"/>
        <v>1027001</v>
      </c>
      <c r="D34" s="2">
        <f t="shared" si="9"/>
        <v>1037000</v>
      </c>
      <c r="E34" s="2">
        <f t="shared" si="10"/>
        <v>2027001</v>
      </c>
      <c r="F34" s="2">
        <f t="shared" si="11"/>
        <v>2028000</v>
      </c>
    </row>
    <row r="35" spans="2:7">
      <c r="B35" s="6" t="s">
        <v>85</v>
      </c>
      <c r="C35" s="19">
        <f t="shared" si="8"/>
        <v>1028001</v>
      </c>
      <c r="D35" s="19">
        <f t="shared" si="9"/>
        <v>1038000</v>
      </c>
      <c r="E35" s="19">
        <f t="shared" si="10"/>
        <v>2028001</v>
      </c>
      <c r="F35" s="19">
        <f t="shared" si="11"/>
        <v>2029000</v>
      </c>
    </row>
    <row r="36" spans="2:7">
      <c r="B36" s="6" t="s">
        <v>92</v>
      </c>
      <c r="C36" s="19">
        <f t="shared" si="8"/>
        <v>1029001</v>
      </c>
      <c r="D36" s="19">
        <f t="shared" si="9"/>
        <v>1039000</v>
      </c>
      <c r="E36" s="19">
        <f t="shared" si="10"/>
        <v>2029001</v>
      </c>
      <c r="F36" s="19">
        <f t="shared" si="11"/>
        <v>2030000</v>
      </c>
    </row>
    <row r="37" spans="2:7">
      <c r="B37" s="6" t="s">
        <v>93</v>
      </c>
      <c r="C37" s="19">
        <f t="shared" si="8"/>
        <v>1030001</v>
      </c>
      <c r="D37" s="19">
        <f t="shared" si="9"/>
        <v>1040000</v>
      </c>
      <c r="E37" s="19">
        <f t="shared" si="10"/>
        <v>2030001</v>
      </c>
      <c r="F37" s="19">
        <f t="shared" si="11"/>
        <v>2031000</v>
      </c>
    </row>
    <row r="38" spans="2:7">
      <c r="B38" s="6" t="s">
        <v>106</v>
      </c>
      <c r="C38" s="19">
        <f>C37+1000</f>
        <v>1031001</v>
      </c>
      <c r="D38" s="19">
        <f>D37+1000</f>
        <v>1041000</v>
      </c>
      <c r="E38" s="19">
        <f>E37+1000</f>
        <v>2031001</v>
      </c>
      <c r="F38" s="19">
        <f>F37+1000</f>
        <v>2032000</v>
      </c>
      <c r="G38" s="13"/>
    </row>
    <row r="39" spans="2:7">
      <c r="B39" s="6" t="s">
        <v>108</v>
      </c>
      <c r="C39" s="19">
        <f t="shared" ref="C39:C40" si="12">C38+1000</f>
        <v>1032001</v>
      </c>
      <c r="D39" s="19">
        <f t="shared" ref="D39:D40" si="13">D38+1000</f>
        <v>1042000</v>
      </c>
      <c r="E39" s="19">
        <f t="shared" ref="E39:E40" si="14">E38+1000</f>
        <v>2032001</v>
      </c>
      <c r="F39" s="19">
        <f t="shared" ref="F39:F40" si="15">F38+1000</f>
        <v>2033000</v>
      </c>
      <c r="G39" s="13"/>
    </row>
    <row r="40" spans="2:7">
      <c r="B40" s="6" t="s">
        <v>113</v>
      </c>
      <c r="C40" s="19">
        <f t="shared" si="12"/>
        <v>1033001</v>
      </c>
      <c r="D40" s="19">
        <f t="shared" si="13"/>
        <v>1043000</v>
      </c>
      <c r="E40" s="19">
        <f t="shared" si="14"/>
        <v>2033001</v>
      </c>
      <c r="F40" s="19">
        <f t="shared" si="15"/>
        <v>2034000</v>
      </c>
      <c r="G40" s="13"/>
    </row>
    <row r="41" spans="2:7">
      <c r="B41" s="6" t="s">
        <v>114</v>
      </c>
      <c r="C41" s="2">
        <f t="shared" ref="C41:C45" si="16">C40+1000</f>
        <v>1034001</v>
      </c>
      <c r="D41" s="2">
        <f t="shared" ref="D41:D45" si="17">D40+1000</f>
        <v>1044000</v>
      </c>
      <c r="E41" s="2">
        <f t="shared" ref="E41:E45" si="18">E40+1000</f>
        <v>2034001</v>
      </c>
      <c r="F41" s="2">
        <f t="shared" ref="F41:F45" si="19">F40+1000</f>
        <v>2035000</v>
      </c>
      <c r="G41" s="13"/>
    </row>
    <row r="42" spans="2:7">
      <c r="B42" s="6" t="s">
        <v>116</v>
      </c>
      <c r="C42" s="2">
        <f t="shared" si="16"/>
        <v>1035001</v>
      </c>
      <c r="D42" s="2">
        <f t="shared" si="17"/>
        <v>1045000</v>
      </c>
      <c r="E42" s="2">
        <f t="shared" si="18"/>
        <v>2035001</v>
      </c>
      <c r="F42" s="2">
        <f t="shared" si="19"/>
        <v>2036000</v>
      </c>
      <c r="G42" s="13"/>
    </row>
    <row r="43" spans="2:7">
      <c r="B43" s="6" t="s">
        <v>117</v>
      </c>
      <c r="C43" s="9">
        <f t="shared" si="16"/>
        <v>1036001</v>
      </c>
      <c r="D43" s="9">
        <f t="shared" si="17"/>
        <v>1046000</v>
      </c>
      <c r="E43" s="9">
        <f t="shared" si="18"/>
        <v>2036001</v>
      </c>
      <c r="F43" s="9">
        <f t="shared" si="19"/>
        <v>2037000</v>
      </c>
      <c r="G43" s="13"/>
    </row>
    <row r="44" spans="2:7">
      <c r="B44" s="6" t="s">
        <v>118</v>
      </c>
      <c r="C44" s="9">
        <f t="shared" si="16"/>
        <v>1037001</v>
      </c>
      <c r="D44" s="9">
        <f t="shared" si="17"/>
        <v>1047000</v>
      </c>
      <c r="E44" s="9">
        <f t="shared" si="18"/>
        <v>2037001</v>
      </c>
      <c r="F44" s="9">
        <f t="shared" si="19"/>
        <v>2038000</v>
      </c>
      <c r="G44" s="13"/>
    </row>
    <row r="45" spans="2:7">
      <c r="B45" s="10" t="s">
        <v>115</v>
      </c>
      <c r="C45" s="18">
        <f t="shared" si="16"/>
        <v>1038001</v>
      </c>
      <c r="D45" s="18">
        <f t="shared" si="17"/>
        <v>1048000</v>
      </c>
      <c r="E45" s="18">
        <f t="shared" si="18"/>
        <v>2038001</v>
      </c>
      <c r="F45" s="18">
        <f t="shared" si="19"/>
        <v>2039000</v>
      </c>
      <c r="G45" s="13"/>
    </row>
    <row r="46" spans="2:7">
      <c r="B46" s="10" t="s">
        <v>110</v>
      </c>
      <c r="C46" s="18">
        <f t="shared" ref="C46:C56" si="20">C45+1000</f>
        <v>1039001</v>
      </c>
      <c r="D46" s="18">
        <f t="shared" ref="D46:D56" si="21">D45+1000</f>
        <v>1049000</v>
      </c>
      <c r="E46" s="18">
        <f t="shared" ref="E46:E56" si="22">E45+1000</f>
        <v>2039001</v>
      </c>
      <c r="F46" s="18">
        <f t="shared" ref="F46:F56" si="23">F45+1000</f>
        <v>2040000</v>
      </c>
      <c r="G46" s="13"/>
    </row>
    <row r="47" spans="2:7">
      <c r="B47" s="10" t="s">
        <v>54</v>
      </c>
      <c r="C47" s="18">
        <f t="shared" si="20"/>
        <v>1040001</v>
      </c>
      <c r="D47" s="18">
        <f t="shared" si="21"/>
        <v>1050000</v>
      </c>
      <c r="E47" s="18">
        <f t="shared" si="22"/>
        <v>2040001</v>
      </c>
      <c r="F47" s="18">
        <f t="shared" si="23"/>
        <v>2041000</v>
      </c>
      <c r="G47" s="13"/>
    </row>
    <row r="48" spans="2:7">
      <c r="B48" s="10" t="s">
        <v>46</v>
      </c>
      <c r="C48" s="18">
        <f t="shared" si="20"/>
        <v>1041001</v>
      </c>
      <c r="D48" s="18">
        <f t="shared" si="21"/>
        <v>1051000</v>
      </c>
      <c r="E48" s="18">
        <f t="shared" si="22"/>
        <v>2041001</v>
      </c>
      <c r="F48" s="18">
        <f t="shared" si="23"/>
        <v>2042000</v>
      </c>
      <c r="G48" s="13"/>
    </row>
    <row r="49" spans="2:7">
      <c r="B49" s="10" t="s">
        <v>119</v>
      </c>
      <c r="C49" s="26">
        <f t="shared" si="20"/>
        <v>1042001</v>
      </c>
      <c r="D49" s="26">
        <f t="shared" si="21"/>
        <v>1052000</v>
      </c>
      <c r="E49" s="26">
        <f t="shared" si="22"/>
        <v>2042001</v>
      </c>
      <c r="F49" s="26">
        <f t="shared" si="23"/>
        <v>2043000</v>
      </c>
      <c r="G49" s="13"/>
    </row>
    <row r="50" spans="2:7">
      <c r="B50" s="10" t="s">
        <v>37</v>
      </c>
      <c r="C50" s="18">
        <f t="shared" si="20"/>
        <v>1043001</v>
      </c>
      <c r="D50" s="18">
        <f t="shared" si="21"/>
        <v>1053000</v>
      </c>
      <c r="E50" s="18">
        <f t="shared" si="22"/>
        <v>2043001</v>
      </c>
      <c r="F50" s="18">
        <f t="shared" si="23"/>
        <v>2044000</v>
      </c>
      <c r="G50" s="13"/>
    </row>
    <row r="51" spans="2:7">
      <c r="B51" s="10" t="s">
        <v>93</v>
      </c>
      <c r="C51" s="18">
        <f t="shared" si="20"/>
        <v>1044001</v>
      </c>
      <c r="D51" s="18">
        <f t="shared" si="21"/>
        <v>1054000</v>
      </c>
      <c r="E51" s="18">
        <f t="shared" si="22"/>
        <v>2044001</v>
      </c>
      <c r="F51" s="18">
        <f t="shared" si="23"/>
        <v>2045000</v>
      </c>
      <c r="G51" s="13"/>
    </row>
    <row r="52" spans="2:7">
      <c r="B52" s="10" t="s">
        <v>206</v>
      </c>
      <c r="C52" s="19">
        <f t="shared" si="20"/>
        <v>1045001</v>
      </c>
      <c r="D52" s="19">
        <f t="shared" si="21"/>
        <v>1055000</v>
      </c>
      <c r="E52" s="19">
        <f t="shared" si="22"/>
        <v>2045001</v>
      </c>
      <c r="F52" s="19">
        <f t="shared" si="23"/>
        <v>2046000</v>
      </c>
      <c r="G52" s="13"/>
    </row>
    <row r="53" spans="2:7">
      <c r="B53" s="10" t="s">
        <v>121</v>
      </c>
      <c r="C53" s="19">
        <f t="shared" si="20"/>
        <v>1046001</v>
      </c>
      <c r="D53" s="19">
        <f t="shared" si="21"/>
        <v>1056000</v>
      </c>
      <c r="E53" s="19">
        <f t="shared" si="22"/>
        <v>2046001</v>
      </c>
      <c r="F53" s="19">
        <f t="shared" si="23"/>
        <v>2047000</v>
      </c>
      <c r="G53" s="13"/>
    </row>
    <row r="54" spans="2:7">
      <c r="B54" s="10" t="s">
        <v>126</v>
      </c>
      <c r="C54" s="19">
        <f t="shared" si="20"/>
        <v>1047001</v>
      </c>
      <c r="D54" s="19">
        <f t="shared" si="21"/>
        <v>1057000</v>
      </c>
      <c r="E54" s="19">
        <f t="shared" si="22"/>
        <v>2047001</v>
      </c>
      <c r="F54" s="19">
        <f t="shared" si="23"/>
        <v>2048000</v>
      </c>
      <c r="G54" s="13"/>
    </row>
    <row r="55" spans="2:7">
      <c r="B55" s="10" t="s">
        <v>161</v>
      </c>
      <c r="C55" s="28">
        <f t="shared" si="20"/>
        <v>1048001</v>
      </c>
      <c r="D55" s="28">
        <f t="shared" si="21"/>
        <v>1058000</v>
      </c>
      <c r="E55" s="28">
        <f t="shared" si="22"/>
        <v>2048001</v>
      </c>
      <c r="F55" s="28">
        <f t="shared" si="23"/>
        <v>2049000</v>
      </c>
      <c r="G55" s="13"/>
    </row>
    <row r="56" spans="2:7">
      <c r="B56" s="10" t="s">
        <v>130</v>
      </c>
      <c r="C56" s="19">
        <f t="shared" si="20"/>
        <v>1049001</v>
      </c>
      <c r="D56" s="19">
        <f t="shared" si="21"/>
        <v>1059000</v>
      </c>
      <c r="E56" s="19">
        <f t="shared" si="22"/>
        <v>2049001</v>
      </c>
      <c r="F56" s="19">
        <f t="shared" si="23"/>
        <v>2050000</v>
      </c>
      <c r="G56" s="13"/>
    </row>
    <row r="57" spans="2:7">
      <c r="B57" s="10" t="s">
        <v>95</v>
      </c>
      <c r="C57" s="19">
        <f>C56+1000</f>
        <v>1050001</v>
      </c>
      <c r="D57" s="19">
        <f>D56+1000</f>
        <v>1060000</v>
      </c>
      <c r="E57" s="19">
        <f>E56+1000</f>
        <v>2050001</v>
      </c>
      <c r="F57" s="19">
        <f>F56+1000</f>
        <v>2051000</v>
      </c>
    </row>
    <row r="58" spans="2:7">
      <c r="B58" s="10" t="s">
        <v>129</v>
      </c>
      <c r="C58" s="2">
        <f t="shared" ref="C58:C66" si="24">C57+1000</f>
        <v>1051001</v>
      </c>
      <c r="D58" s="2">
        <f t="shared" ref="D58:D66" si="25">D57+1000</f>
        <v>1061000</v>
      </c>
      <c r="E58" s="2">
        <f t="shared" ref="E58:E66" si="26">E57+1000</f>
        <v>2051001</v>
      </c>
      <c r="F58" s="2">
        <f t="shared" ref="F58:F66" si="27">F57+1000</f>
        <v>2052000</v>
      </c>
      <c r="G58" s="13"/>
    </row>
    <row r="59" spans="2:7">
      <c r="B59" s="10" t="s">
        <v>163</v>
      </c>
      <c r="C59" s="2">
        <f t="shared" si="24"/>
        <v>1052001</v>
      </c>
      <c r="D59" s="2">
        <f t="shared" si="25"/>
        <v>1062000</v>
      </c>
      <c r="E59" s="2">
        <f t="shared" si="26"/>
        <v>2052001</v>
      </c>
      <c r="F59" s="2">
        <f t="shared" si="27"/>
        <v>2053000</v>
      </c>
      <c r="G59" s="13"/>
    </row>
    <row r="60" spans="2:7">
      <c r="B60" s="10" t="s">
        <v>166</v>
      </c>
      <c r="C60" s="2">
        <f t="shared" si="24"/>
        <v>1053001</v>
      </c>
      <c r="D60" s="2">
        <f t="shared" si="25"/>
        <v>1063000</v>
      </c>
      <c r="E60" s="2">
        <f t="shared" si="26"/>
        <v>2053001</v>
      </c>
      <c r="F60" s="2">
        <f t="shared" si="27"/>
        <v>2054000</v>
      </c>
      <c r="G60" s="13">
        <v>1052999</v>
      </c>
    </row>
    <row r="61" spans="2:7">
      <c r="B61" s="10" t="s">
        <v>168</v>
      </c>
      <c r="C61" s="2">
        <f t="shared" si="24"/>
        <v>1054001</v>
      </c>
      <c r="D61" s="2">
        <f t="shared" si="25"/>
        <v>1064000</v>
      </c>
      <c r="E61" s="2">
        <f t="shared" si="26"/>
        <v>2054001</v>
      </c>
      <c r="F61" s="2">
        <f t="shared" si="27"/>
        <v>2055000</v>
      </c>
      <c r="G61" s="13"/>
    </row>
    <row r="62" spans="2:7">
      <c r="B62" s="10" t="s">
        <v>174</v>
      </c>
      <c r="C62" s="2">
        <f t="shared" si="24"/>
        <v>1055001</v>
      </c>
      <c r="D62" s="2">
        <f t="shared" si="25"/>
        <v>1065000</v>
      </c>
      <c r="E62" s="2">
        <f t="shared" si="26"/>
        <v>2055001</v>
      </c>
      <c r="F62" s="2">
        <f t="shared" si="27"/>
        <v>2056000</v>
      </c>
      <c r="G62" s="13"/>
    </row>
    <row r="63" spans="2:7">
      <c r="B63" s="53" t="s">
        <v>183</v>
      </c>
      <c r="C63" s="52">
        <f t="shared" si="24"/>
        <v>1056001</v>
      </c>
      <c r="D63" s="52">
        <f t="shared" si="25"/>
        <v>1066000</v>
      </c>
      <c r="E63" s="52">
        <f t="shared" si="26"/>
        <v>2056001</v>
      </c>
      <c r="F63" s="52">
        <f t="shared" si="27"/>
        <v>2057000</v>
      </c>
      <c r="G63" s="13"/>
    </row>
    <row r="64" spans="2:7">
      <c r="B64" s="47" t="s">
        <v>178</v>
      </c>
      <c r="C64" s="9">
        <f t="shared" si="24"/>
        <v>1057001</v>
      </c>
      <c r="D64" s="9">
        <f t="shared" si="25"/>
        <v>1067000</v>
      </c>
      <c r="E64" s="9">
        <f t="shared" si="26"/>
        <v>2057001</v>
      </c>
      <c r="F64" s="9">
        <f t="shared" si="27"/>
        <v>2058000</v>
      </c>
      <c r="G64" s="13"/>
    </row>
    <row r="65" spans="2:7">
      <c r="B65" s="47" t="s">
        <v>165</v>
      </c>
      <c r="C65" s="19">
        <f t="shared" si="24"/>
        <v>1058001</v>
      </c>
      <c r="D65" s="19">
        <f t="shared" si="25"/>
        <v>1068000</v>
      </c>
      <c r="E65" s="19">
        <f t="shared" si="26"/>
        <v>2058001</v>
      </c>
      <c r="F65" s="19">
        <f t="shared" si="27"/>
        <v>2059000</v>
      </c>
      <c r="G65" s="13"/>
    </row>
    <row r="66" spans="2:7">
      <c r="B66" s="47" t="s">
        <v>55</v>
      </c>
      <c r="C66" s="19">
        <f t="shared" si="24"/>
        <v>1059001</v>
      </c>
      <c r="D66" s="19">
        <f t="shared" si="25"/>
        <v>1069000</v>
      </c>
      <c r="E66" s="19">
        <f t="shared" si="26"/>
        <v>2059001</v>
      </c>
      <c r="F66" s="19">
        <f t="shared" si="27"/>
        <v>2060000</v>
      </c>
      <c r="G66" s="13"/>
    </row>
    <row r="67" spans="2:7">
      <c r="B67" s="59" t="s">
        <v>185</v>
      </c>
      <c r="C67" s="19">
        <f t="shared" ref="C67" si="28">C66+1000</f>
        <v>1060001</v>
      </c>
      <c r="D67" s="19">
        <f t="shared" ref="D67" si="29">D66+1000</f>
        <v>1070000</v>
      </c>
      <c r="E67" s="19">
        <f t="shared" ref="E67" si="30">E66+1000</f>
        <v>2060001</v>
      </c>
      <c r="F67" s="19">
        <f t="shared" ref="F67" si="31">F66+1000</f>
        <v>2061000</v>
      </c>
      <c r="G67" s="13"/>
    </row>
    <row r="68" spans="2:7">
      <c r="B68" s="6" t="s">
        <v>170</v>
      </c>
      <c r="C68" s="19">
        <f t="shared" ref="C68:C77" si="32">C67+1000</f>
        <v>1061001</v>
      </c>
      <c r="D68" s="19">
        <f t="shared" ref="D68:D77" si="33">D67+1000</f>
        <v>1071000</v>
      </c>
      <c r="E68" s="19">
        <f t="shared" ref="E68:E77" si="34">E67+1000</f>
        <v>2061001</v>
      </c>
      <c r="F68" s="19">
        <f t="shared" ref="F68:F77" si="35">F67+1000</f>
        <v>2062000</v>
      </c>
      <c r="G68" s="13"/>
    </row>
    <row r="69" spans="2:7">
      <c r="B69" s="6" t="s">
        <v>175</v>
      </c>
      <c r="C69" s="19">
        <f t="shared" si="32"/>
        <v>1062001</v>
      </c>
      <c r="D69" s="19">
        <f t="shared" si="33"/>
        <v>1072000</v>
      </c>
      <c r="E69" s="19">
        <f t="shared" si="34"/>
        <v>2062001</v>
      </c>
      <c r="F69" s="19">
        <f t="shared" si="35"/>
        <v>2063000</v>
      </c>
      <c r="G69" s="13"/>
    </row>
    <row r="70" spans="2:7">
      <c r="B70" s="6" t="s">
        <v>176</v>
      </c>
      <c r="C70" s="2">
        <f t="shared" si="32"/>
        <v>1063001</v>
      </c>
      <c r="D70" s="2">
        <f t="shared" si="33"/>
        <v>1073000</v>
      </c>
      <c r="E70" s="2">
        <f t="shared" si="34"/>
        <v>2063001</v>
      </c>
      <c r="F70" s="2">
        <f t="shared" si="35"/>
        <v>2064000</v>
      </c>
      <c r="G70" s="13"/>
    </row>
    <row r="71" spans="2:7">
      <c r="B71" s="6" t="s">
        <v>179</v>
      </c>
      <c r="C71" s="2">
        <f t="shared" si="32"/>
        <v>1064001</v>
      </c>
      <c r="D71" s="2">
        <f t="shared" si="33"/>
        <v>1074000</v>
      </c>
      <c r="E71" s="2">
        <f t="shared" si="34"/>
        <v>2064001</v>
      </c>
      <c r="F71" s="2">
        <f t="shared" si="35"/>
        <v>2065000</v>
      </c>
      <c r="G71" s="13"/>
    </row>
    <row r="72" spans="2:7">
      <c r="B72" s="6" t="s">
        <v>181</v>
      </c>
      <c r="C72" s="2">
        <f t="shared" si="32"/>
        <v>1065001</v>
      </c>
      <c r="D72" s="2">
        <f t="shared" si="33"/>
        <v>1075000</v>
      </c>
      <c r="E72" s="2">
        <f t="shared" si="34"/>
        <v>2065001</v>
      </c>
      <c r="F72" s="2">
        <f t="shared" si="35"/>
        <v>2066000</v>
      </c>
      <c r="G72" s="13"/>
    </row>
    <row r="73" spans="2:7">
      <c r="B73" s="6" t="s">
        <v>182</v>
      </c>
      <c r="C73" s="2">
        <f t="shared" si="32"/>
        <v>1066001</v>
      </c>
      <c r="D73" s="2">
        <f t="shared" si="33"/>
        <v>1076000</v>
      </c>
      <c r="E73" s="2">
        <f t="shared" si="34"/>
        <v>2066001</v>
      </c>
      <c r="F73" s="2">
        <f t="shared" si="35"/>
        <v>2067000</v>
      </c>
      <c r="G73" s="13"/>
    </row>
    <row r="74" spans="2:7">
      <c r="B74" s="6" t="s">
        <v>196</v>
      </c>
      <c r="C74" s="2">
        <f t="shared" si="32"/>
        <v>1067001</v>
      </c>
      <c r="D74" s="2">
        <f t="shared" si="33"/>
        <v>1077000</v>
      </c>
      <c r="E74" s="2">
        <f t="shared" si="34"/>
        <v>2067001</v>
      </c>
      <c r="F74" s="2">
        <f t="shared" si="35"/>
        <v>2068000</v>
      </c>
      <c r="G74" s="13"/>
    </row>
    <row r="75" spans="2:7">
      <c r="B75" s="6" t="s">
        <v>222</v>
      </c>
      <c r="C75" s="2">
        <f t="shared" si="32"/>
        <v>1068001</v>
      </c>
      <c r="D75" s="2">
        <f t="shared" si="33"/>
        <v>1078000</v>
      </c>
      <c r="E75" s="2">
        <f t="shared" si="34"/>
        <v>2068001</v>
      </c>
      <c r="F75" s="2">
        <f t="shared" si="35"/>
        <v>2069000</v>
      </c>
      <c r="G75" s="13"/>
    </row>
    <row r="76" spans="2:7">
      <c r="B76" s="15" t="s">
        <v>66</v>
      </c>
      <c r="C76" s="9">
        <f t="shared" si="32"/>
        <v>1069001</v>
      </c>
      <c r="D76" s="9">
        <f t="shared" si="33"/>
        <v>1079000</v>
      </c>
      <c r="E76" s="9">
        <f t="shared" si="34"/>
        <v>2069001</v>
      </c>
      <c r="F76" s="9">
        <f t="shared" si="35"/>
        <v>2070000</v>
      </c>
      <c r="G76" s="13"/>
    </row>
    <row r="77" spans="2:7">
      <c r="B77" s="11" t="s">
        <v>57</v>
      </c>
      <c r="C77" s="19">
        <f t="shared" si="32"/>
        <v>1070001</v>
      </c>
      <c r="D77" s="19">
        <f t="shared" si="33"/>
        <v>1080000</v>
      </c>
      <c r="E77" s="19">
        <f t="shared" si="34"/>
        <v>2070001</v>
      </c>
      <c r="F77" s="19">
        <f t="shared" si="35"/>
        <v>2071000</v>
      </c>
      <c r="G77" s="13"/>
    </row>
    <row r="78" spans="2:7">
      <c r="B78" s="6" t="s">
        <v>112</v>
      </c>
      <c r="C78" s="9">
        <f t="shared" ref="C78:C84" si="36">C77+1000</f>
        <v>1071001</v>
      </c>
      <c r="D78" s="9">
        <f t="shared" ref="D78:D84" si="37">D77+1000</f>
        <v>1081000</v>
      </c>
      <c r="E78" s="9">
        <f t="shared" ref="E78:E84" si="38">E77+1000</f>
        <v>2071001</v>
      </c>
      <c r="F78" s="9">
        <f t="shared" ref="F78:F84" si="39">F77+1000</f>
        <v>2072000</v>
      </c>
      <c r="G78" s="13"/>
    </row>
    <row r="79" spans="2:7">
      <c r="B79" s="6" t="s">
        <v>47</v>
      </c>
      <c r="C79" s="19">
        <f t="shared" si="36"/>
        <v>1072001</v>
      </c>
      <c r="D79" s="19">
        <f t="shared" si="37"/>
        <v>1082000</v>
      </c>
      <c r="E79" s="19">
        <f t="shared" si="38"/>
        <v>2072001</v>
      </c>
      <c r="F79" s="19">
        <f t="shared" si="39"/>
        <v>2073000</v>
      </c>
      <c r="G79" s="13"/>
    </row>
    <row r="80" spans="2:7">
      <c r="B80" s="6" t="s">
        <v>191</v>
      </c>
      <c r="C80" s="19">
        <f t="shared" si="36"/>
        <v>1073001</v>
      </c>
      <c r="D80" s="19">
        <f t="shared" si="37"/>
        <v>1083000</v>
      </c>
      <c r="E80" s="19">
        <f t="shared" si="38"/>
        <v>2073001</v>
      </c>
      <c r="F80" s="19">
        <f t="shared" si="39"/>
        <v>2074000</v>
      </c>
      <c r="G80" s="13"/>
    </row>
    <row r="81" spans="2:7">
      <c r="B81" s="6" t="s">
        <v>192</v>
      </c>
      <c r="C81" s="19">
        <f t="shared" si="36"/>
        <v>1074001</v>
      </c>
      <c r="D81" s="19">
        <f t="shared" si="37"/>
        <v>1084000</v>
      </c>
      <c r="E81" s="19">
        <f t="shared" si="38"/>
        <v>2074001</v>
      </c>
      <c r="F81" s="19">
        <f t="shared" si="39"/>
        <v>2075000</v>
      </c>
      <c r="G81" s="13"/>
    </row>
    <row r="82" spans="2:7">
      <c r="B82" s="15" t="s">
        <v>66</v>
      </c>
      <c r="C82" s="9">
        <f t="shared" si="36"/>
        <v>1075001</v>
      </c>
      <c r="D82" s="9">
        <f t="shared" si="37"/>
        <v>1085000</v>
      </c>
      <c r="E82" s="9">
        <f t="shared" si="38"/>
        <v>2075001</v>
      </c>
      <c r="F82" s="9">
        <f t="shared" si="39"/>
        <v>2076000</v>
      </c>
      <c r="G82" s="13"/>
    </row>
    <row r="83" spans="2:7">
      <c r="B83" s="15" t="s">
        <v>66</v>
      </c>
      <c r="C83" s="9">
        <f t="shared" si="36"/>
        <v>1076001</v>
      </c>
      <c r="D83" s="9">
        <f t="shared" si="37"/>
        <v>1086000</v>
      </c>
      <c r="E83" s="9">
        <f t="shared" si="38"/>
        <v>2076001</v>
      </c>
      <c r="F83" s="9">
        <f t="shared" si="39"/>
        <v>2077000</v>
      </c>
      <c r="G83" s="13"/>
    </row>
    <row r="84" spans="2:7">
      <c r="B84" s="15" t="s">
        <v>66</v>
      </c>
      <c r="C84" s="9">
        <f t="shared" si="36"/>
        <v>1077001</v>
      </c>
      <c r="D84" s="9">
        <f t="shared" si="37"/>
        <v>1087000</v>
      </c>
      <c r="E84" s="9">
        <f t="shared" si="38"/>
        <v>2077001</v>
      </c>
      <c r="F84" s="9">
        <f t="shared" si="39"/>
        <v>2078000</v>
      </c>
      <c r="G84" s="13"/>
    </row>
    <row r="85" spans="2:7">
      <c r="B85" s="37" t="s">
        <v>173</v>
      </c>
      <c r="C85" s="28">
        <f t="shared" ref="C85:C87" si="40">C84+1000</f>
        <v>1078001</v>
      </c>
      <c r="D85" s="28">
        <f t="shared" ref="D85:D87" si="41">D84+1000</f>
        <v>1088000</v>
      </c>
      <c r="E85" s="28">
        <f t="shared" ref="E85:E87" si="42">E84+1000</f>
        <v>2078001</v>
      </c>
      <c r="F85" s="28">
        <f t="shared" ref="F85:F87" si="43">F84+1000</f>
        <v>2079000</v>
      </c>
      <c r="G85" s="13"/>
    </row>
    <row r="86" spans="2:7">
      <c r="B86" s="37" t="s">
        <v>172</v>
      </c>
      <c r="C86" s="28">
        <f t="shared" si="40"/>
        <v>1079001</v>
      </c>
      <c r="D86" s="28">
        <f t="shared" si="41"/>
        <v>1089000</v>
      </c>
      <c r="E86" s="28">
        <f t="shared" si="42"/>
        <v>2079001</v>
      </c>
      <c r="F86" s="28">
        <f t="shared" si="43"/>
        <v>2080000</v>
      </c>
      <c r="G86" s="13"/>
    </row>
    <row r="87" spans="2:7">
      <c r="B87" s="6" t="s">
        <v>56</v>
      </c>
      <c r="C87" s="19">
        <f t="shared" si="40"/>
        <v>1080001</v>
      </c>
      <c r="D87" s="19">
        <f t="shared" si="41"/>
        <v>1090000</v>
      </c>
      <c r="E87" s="19">
        <f t="shared" si="42"/>
        <v>2080001</v>
      </c>
      <c r="F87" s="19">
        <f t="shared" si="43"/>
        <v>2081000</v>
      </c>
      <c r="G87" s="13"/>
    </row>
    <row r="88" spans="2:7">
      <c r="B88" s="6" t="s">
        <v>131</v>
      </c>
      <c r="C88" s="19">
        <f t="shared" ref="C88:C96" si="44">C87+1000</f>
        <v>1081001</v>
      </c>
      <c r="D88" s="19">
        <f t="shared" ref="D88:D96" si="45">D87+1000</f>
        <v>1091000</v>
      </c>
      <c r="E88" s="19">
        <f t="shared" ref="E88:E96" si="46">E87+1000</f>
        <v>2081001</v>
      </c>
      <c r="F88" s="19">
        <f t="shared" ref="F88:F96" si="47">F87+1000</f>
        <v>2082000</v>
      </c>
      <c r="G88" s="13"/>
    </row>
    <row r="89" spans="2:7">
      <c r="B89" s="6" t="s">
        <v>207</v>
      </c>
      <c r="C89" s="2">
        <f t="shared" si="44"/>
        <v>1082001</v>
      </c>
      <c r="D89" s="2">
        <f t="shared" si="45"/>
        <v>1092000</v>
      </c>
      <c r="E89" s="2">
        <f t="shared" si="46"/>
        <v>2082001</v>
      </c>
      <c r="F89" s="2">
        <f t="shared" si="47"/>
        <v>2083000</v>
      </c>
      <c r="G89" s="13"/>
    </row>
    <row r="90" spans="2:7">
      <c r="B90" s="15" t="s">
        <v>66</v>
      </c>
      <c r="C90" s="9">
        <f t="shared" si="44"/>
        <v>1083001</v>
      </c>
      <c r="D90" s="9">
        <f t="shared" si="45"/>
        <v>1093000</v>
      </c>
      <c r="E90" s="9">
        <f t="shared" si="46"/>
        <v>2083001</v>
      </c>
      <c r="F90" s="9">
        <f t="shared" si="47"/>
        <v>2084000</v>
      </c>
      <c r="G90" s="13"/>
    </row>
    <row r="91" spans="2:7">
      <c r="B91" s="15" t="s">
        <v>66</v>
      </c>
      <c r="C91" s="9">
        <f t="shared" si="44"/>
        <v>1084001</v>
      </c>
      <c r="D91" s="9">
        <f t="shared" si="45"/>
        <v>1094000</v>
      </c>
      <c r="E91" s="9">
        <f t="shared" si="46"/>
        <v>2084001</v>
      </c>
      <c r="F91" s="9">
        <f t="shared" si="47"/>
        <v>2085000</v>
      </c>
      <c r="G91" s="13"/>
    </row>
    <row r="92" spans="2:7">
      <c r="B92" s="15" t="s">
        <v>66</v>
      </c>
      <c r="C92" s="9">
        <f t="shared" si="44"/>
        <v>1085001</v>
      </c>
      <c r="D92" s="9">
        <f t="shared" si="45"/>
        <v>1095000</v>
      </c>
      <c r="E92" s="9">
        <f t="shared" si="46"/>
        <v>2085001</v>
      </c>
      <c r="F92" s="9">
        <f t="shared" si="47"/>
        <v>2086000</v>
      </c>
      <c r="G92" s="13"/>
    </row>
    <row r="93" spans="2:7">
      <c r="B93" s="15" t="s">
        <v>66</v>
      </c>
      <c r="C93" s="9">
        <f t="shared" si="44"/>
        <v>1086001</v>
      </c>
      <c r="D93" s="9">
        <f t="shared" si="45"/>
        <v>1096000</v>
      </c>
      <c r="E93" s="9">
        <f t="shared" si="46"/>
        <v>2086001</v>
      </c>
      <c r="F93" s="9">
        <f t="shared" si="47"/>
        <v>2087000</v>
      </c>
      <c r="G93" s="13"/>
    </row>
    <row r="94" spans="2:7">
      <c r="B94" s="15" t="s">
        <v>66</v>
      </c>
      <c r="C94" s="9">
        <f t="shared" si="44"/>
        <v>1087001</v>
      </c>
      <c r="D94" s="9">
        <f t="shared" si="45"/>
        <v>1097000</v>
      </c>
      <c r="E94" s="9">
        <f t="shared" si="46"/>
        <v>2087001</v>
      </c>
      <c r="F94" s="9">
        <f t="shared" si="47"/>
        <v>2088000</v>
      </c>
      <c r="G94" s="13"/>
    </row>
    <row r="95" spans="2:7">
      <c r="B95" s="15" t="s">
        <v>66</v>
      </c>
      <c r="C95" s="9">
        <f t="shared" si="44"/>
        <v>1088001</v>
      </c>
      <c r="D95" s="9">
        <f t="shared" si="45"/>
        <v>1098000</v>
      </c>
      <c r="E95" s="9">
        <f t="shared" si="46"/>
        <v>2088001</v>
      </c>
      <c r="F95" s="9">
        <f t="shared" si="47"/>
        <v>2089000</v>
      </c>
      <c r="G95" s="13"/>
    </row>
    <row r="96" spans="2:7">
      <c r="B96" s="15" t="s">
        <v>66</v>
      </c>
      <c r="C96" s="9">
        <f t="shared" si="44"/>
        <v>1089001</v>
      </c>
      <c r="D96" s="9">
        <f t="shared" si="45"/>
        <v>1099000</v>
      </c>
      <c r="E96" s="9">
        <f t="shared" si="46"/>
        <v>2089001</v>
      </c>
      <c r="F96" s="9">
        <f t="shared" si="47"/>
        <v>2090000</v>
      </c>
      <c r="G96" s="13"/>
    </row>
    <row r="97" spans="2:7">
      <c r="B97" s="15" t="s">
        <v>66</v>
      </c>
      <c r="C97" s="9">
        <f t="shared" ref="C97:C106" si="48">C96+1000</f>
        <v>1090001</v>
      </c>
      <c r="D97" s="9">
        <f t="shared" ref="D97:D106" si="49">D96+1000</f>
        <v>1100000</v>
      </c>
      <c r="E97" s="9">
        <f t="shared" ref="E97:E106" si="50">E96+1000</f>
        <v>2090001</v>
      </c>
      <c r="F97" s="9">
        <f t="shared" ref="F97:F106" si="51">F96+1000</f>
        <v>2091000</v>
      </c>
      <c r="G97" s="13"/>
    </row>
    <row r="98" spans="2:7">
      <c r="B98" s="15" t="s">
        <v>66</v>
      </c>
      <c r="C98" s="9">
        <f t="shared" si="48"/>
        <v>1091001</v>
      </c>
      <c r="D98" s="9">
        <f t="shared" si="49"/>
        <v>1101000</v>
      </c>
      <c r="E98" s="9">
        <f t="shared" si="50"/>
        <v>2091001</v>
      </c>
      <c r="F98" s="9">
        <f t="shared" si="51"/>
        <v>2092000</v>
      </c>
      <c r="G98" s="13"/>
    </row>
    <row r="99" spans="2:7">
      <c r="B99" s="15" t="s">
        <v>66</v>
      </c>
      <c r="C99" s="9">
        <f t="shared" si="48"/>
        <v>1092001</v>
      </c>
      <c r="D99" s="9">
        <f t="shared" si="49"/>
        <v>1102000</v>
      </c>
      <c r="E99" s="9">
        <f t="shared" si="50"/>
        <v>2092001</v>
      </c>
      <c r="F99" s="9">
        <f t="shared" si="51"/>
        <v>2093000</v>
      </c>
      <c r="G99" s="13"/>
    </row>
    <row r="100" spans="2:7">
      <c r="B100" s="15" t="s">
        <v>66</v>
      </c>
      <c r="C100" s="9">
        <f t="shared" si="48"/>
        <v>1093001</v>
      </c>
      <c r="D100" s="9">
        <f t="shared" si="49"/>
        <v>1103000</v>
      </c>
      <c r="E100" s="9">
        <f t="shared" si="50"/>
        <v>2093001</v>
      </c>
      <c r="F100" s="9">
        <f t="shared" si="51"/>
        <v>2094000</v>
      </c>
      <c r="G100" s="13"/>
    </row>
    <row r="101" spans="2:7">
      <c r="B101" s="15" t="s">
        <v>66</v>
      </c>
      <c r="C101" s="9">
        <f t="shared" si="48"/>
        <v>1094001</v>
      </c>
      <c r="D101" s="9">
        <f t="shared" si="49"/>
        <v>1104000</v>
      </c>
      <c r="E101" s="9">
        <f t="shared" si="50"/>
        <v>2094001</v>
      </c>
      <c r="F101" s="9">
        <f t="shared" si="51"/>
        <v>2095000</v>
      </c>
      <c r="G101" s="13"/>
    </row>
    <row r="102" spans="2:7">
      <c r="B102" s="15" t="s">
        <v>66</v>
      </c>
      <c r="C102" s="9">
        <f t="shared" si="48"/>
        <v>1095001</v>
      </c>
      <c r="D102" s="9">
        <f t="shared" si="49"/>
        <v>1105000</v>
      </c>
      <c r="E102" s="9">
        <f t="shared" si="50"/>
        <v>2095001</v>
      </c>
      <c r="F102" s="9">
        <f t="shared" si="51"/>
        <v>2096000</v>
      </c>
      <c r="G102" s="13"/>
    </row>
    <row r="103" spans="2:7">
      <c r="B103" s="15" t="s">
        <v>66</v>
      </c>
      <c r="C103" s="9">
        <f t="shared" si="48"/>
        <v>1096001</v>
      </c>
      <c r="D103" s="9">
        <f t="shared" si="49"/>
        <v>1106000</v>
      </c>
      <c r="E103" s="9">
        <f t="shared" si="50"/>
        <v>2096001</v>
      </c>
      <c r="F103" s="9">
        <f t="shared" si="51"/>
        <v>2097000</v>
      </c>
      <c r="G103" s="13"/>
    </row>
    <row r="104" spans="2:7">
      <c r="B104" s="15" t="s">
        <v>66</v>
      </c>
      <c r="C104" s="9">
        <f t="shared" si="48"/>
        <v>1097001</v>
      </c>
      <c r="D104" s="9">
        <f t="shared" si="49"/>
        <v>1107000</v>
      </c>
      <c r="E104" s="9">
        <f t="shared" si="50"/>
        <v>2097001</v>
      </c>
      <c r="F104" s="9">
        <f t="shared" si="51"/>
        <v>2098000</v>
      </c>
      <c r="G104" s="13"/>
    </row>
    <row r="105" spans="2:7">
      <c r="B105" s="15" t="s">
        <v>66</v>
      </c>
      <c r="C105" s="9">
        <f t="shared" si="48"/>
        <v>1098001</v>
      </c>
      <c r="D105" s="9">
        <f t="shared" si="49"/>
        <v>1108000</v>
      </c>
      <c r="E105" s="9">
        <f t="shared" si="50"/>
        <v>2098001</v>
      </c>
      <c r="F105" s="9">
        <f t="shared" si="51"/>
        <v>2099000</v>
      </c>
      <c r="G105" s="13"/>
    </row>
    <row r="106" spans="2:7">
      <c r="B106" s="37" t="s">
        <v>198</v>
      </c>
      <c r="C106" s="19">
        <f t="shared" si="48"/>
        <v>1099001</v>
      </c>
      <c r="D106" s="19">
        <f t="shared" si="49"/>
        <v>1109000</v>
      </c>
      <c r="E106" s="19">
        <f t="shared" si="50"/>
        <v>2099001</v>
      </c>
      <c r="F106" s="19">
        <f t="shared" si="51"/>
        <v>2100000</v>
      </c>
      <c r="G106" s="13"/>
    </row>
    <row r="107" spans="2:7">
      <c r="B107" s="6" t="s">
        <v>58</v>
      </c>
      <c r="C107" s="19">
        <f t="shared" ref="C107:C108" si="52">C106+1000</f>
        <v>1100001</v>
      </c>
      <c r="D107" s="19">
        <f t="shared" ref="D107:D108" si="53">D106+1000</f>
        <v>1110000</v>
      </c>
      <c r="E107" s="19">
        <f t="shared" ref="E107:E108" si="54">E106+1000</f>
        <v>2100001</v>
      </c>
      <c r="F107" s="19">
        <f t="shared" ref="F107:F108" si="55">F106+1000</f>
        <v>2101000</v>
      </c>
      <c r="G107" s="13"/>
    </row>
    <row r="108" spans="2:7">
      <c r="B108" s="15" t="s">
        <v>180</v>
      </c>
      <c r="C108" s="9">
        <f t="shared" si="52"/>
        <v>1101001</v>
      </c>
      <c r="D108" s="9">
        <f t="shared" si="53"/>
        <v>1111000</v>
      </c>
      <c r="E108" s="9">
        <f t="shared" si="54"/>
        <v>2101001</v>
      </c>
      <c r="F108" s="9">
        <f t="shared" si="55"/>
        <v>2102000</v>
      </c>
      <c r="G108" s="13"/>
    </row>
    <row r="109" spans="2:7">
      <c r="B109" s="37" t="s">
        <v>197</v>
      </c>
      <c r="C109" s="19">
        <f t="shared" ref="C109:C115" si="56">C108+1000</f>
        <v>1102001</v>
      </c>
      <c r="D109" s="19">
        <f t="shared" ref="D109:D115" si="57">D108+1000</f>
        <v>1112000</v>
      </c>
      <c r="E109" s="19">
        <f t="shared" ref="E109:E115" si="58">E108+1000</f>
        <v>2102001</v>
      </c>
      <c r="F109" s="19">
        <f t="shared" ref="F109:F115" si="59">F108+1000</f>
        <v>2103000</v>
      </c>
      <c r="G109" s="13"/>
    </row>
    <row r="110" spans="2:7">
      <c r="B110" s="37" t="s">
        <v>104</v>
      </c>
      <c r="C110" s="19">
        <f>C109+1000</f>
        <v>1103001</v>
      </c>
      <c r="D110" s="19">
        <f t="shared" si="57"/>
        <v>1113000</v>
      </c>
      <c r="E110" s="19">
        <f t="shared" si="58"/>
        <v>2103001</v>
      </c>
      <c r="F110" s="19">
        <f t="shared" si="59"/>
        <v>2104000</v>
      </c>
      <c r="G110" s="13"/>
    </row>
    <row r="111" spans="2:7">
      <c r="B111" s="37" t="s">
        <v>193</v>
      </c>
      <c r="C111" s="19">
        <f t="shared" si="56"/>
        <v>1104001</v>
      </c>
      <c r="D111" s="19">
        <f t="shared" si="57"/>
        <v>1114000</v>
      </c>
      <c r="E111" s="19">
        <f t="shared" si="58"/>
        <v>2104001</v>
      </c>
      <c r="F111" s="19">
        <f t="shared" si="59"/>
        <v>2105000</v>
      </c>
      <c r="G111" s="13"/>
    </row>
    <row r="112" spans="2:7">
      <c r="B112" s="37" t="s">
        <v>194</v>
      </c>
      <c r="C112" s="19">
        <f t="shared" si="56"/>
        <v>1105001</v>
      </c>
      <c r="D112" s="19">
        <f t="shared" si="57"/>
        <v>1115000</v>
      </c>
      <c r="E112" s="19">
        <f t="shared" si="58"/>
        <v>2105001</v>
      </c>
      <c r="F112" s="19">
        <f t="shared" si="59"/>
        <v>2106000</v>
      </c>
      <c r="G112" s="13"/>
    </row>
    <row r="113" spans="2:7">
      <c r="B113" s="15" t="s">
        <v>66</v>
      </c>
      <c r="C113" s="9">
        <f t="shared" si="56"/>
        <v>1106001</v>
      </c>
      <c r="D113" s="9">
        <f t="shared" si="57"/>
        <v>1116000</v>
      </c>
      <c r="E113" s="9">
        <f t="shared" si="58"/>
        <v>2106001</v>
      </c>
      <c r="F113" s="9">
        <f t="shared" si="59"/>
        <v>2107000</v>
      </c>
      <c r="G113" s="13"/>
    </row>
    <row r="114" spans="2:7">
      <c r="B114" s="15" t="s">
        <v>66</v>
      </c>
      <c r="C114" s="9">
        <f t="shared" si="56"/>
        <v>1107001</v>
      </c>
      <c r="D114" s="9">
        <f t="shared" si="57"/>
        <v>1117000</v>
      </c>
      <c r="E114" s="9">
        <f t="shared" si="58"/>
        <v>2107001</v>
      </c>
      <c r="F114" s="9">
        <f t="shared" si="59"/>
        <v>2108000</v>
      </c>
      <c r="G114" s="13"/>
    </row>
    <row r="115" spans="2:7">
      <c r="B115" s="37" t="s">
        <v>162</v>
      </c>
      <c r="C115" s="19">
        <f t="shared" si="56"/>
        <v>1108001</v>
      </c>
      <c r="D115" s="19">
        <f t="shared" si="57"/>
        <v>1118000</v>
      </c>
      <c r="E115" s="19">
        <f t="shared" si="58"/>
        <v>2108001</v>
      </c>
      <c r="F115" s="19">
        <f t="shared" si="59"/>
        <v>2109000</v>
      </c>
      <c r="G115" s="13"/>
    </row>
    <row r="116" spans="2:7">
      <c r="B116" s="37" t="s">
        <v>164</v>
      </c>
      <c r="C116" s="19">
        <f t="shared" ref="C116" si="60">C115+1000</f>
        <v>1109001</v>
      </c>
      <c r="D116" s="19">
        <f t="shared" ref="D116" si="61">D115+1000</f>
        <v>1119000</v>
      </c>
      <c r="E116" s="19">
        <f t="shared" ref="E116" si="62">E115+1000</f>
        <v>2109001</v>
      </c>
      <c r="F116" s="19">
        <f t="shared" ref="F116" si="63">F115+1000</f>
        <v>2110000</v>
      </c>
      <c r="G116" s="13"/>
    </row>
    <row r="117" spans="2:7">
      <c r="B117" s="6" t="s">
        <v>59</v>
      </c>
      <c r="C117" s="2">
        <v>1200001</v>
      </c>
      <c r="D117" s="2">
        <v>1210000</v>
      </c>
      <c r="E117" s="2">
        <v>2029001</v>
      </c>
      <c r="F117" s="2">
        <v>2030000</v>
      </c>
      <c r="G117" s="13"/>
    </row>
    <row r="118" spans="2:7">
      <c r="B118" s="6" t="s">
        <v>86</v>
      </c>
      <c r="C118" s="2">
        <v>1300001</v>
      </c>
      <c r="D118" s="2">
        <v>1310000</v>
      </c>
      <c r="E118" s="2">
        <v>2300001</v>
      </c>
      <c r="F118" s="2">
        <v>2310000</v>
      </c>
    </row>
    <row r="119" spans="2:7">
      <c r="B119" s="6" t="s">
        <v>87</v>
      </c>
      <c r="C119" s="2">
        <v>1310001</v>
      </c>
      <c r="D119" s="2">
        <v>1320000</v>
      </c>
      <c r="E119" s="2">
        <v>2310001</v>
      </c>
      <c r="F119" s="2">
        <v>2320000</v>
      </c>
    </row>
    <row r="120" spans="2:7">
      <c r="B120" s="21" t="s">
        <v>88</v>
      </c>
      <c r="C120" s="20">
        <v>1320001</v>
      </c>
      <c r="D120" s="20">
        <v>1330000</v>
      </c>
      <c r="E120" s="20">
        <v>2320001</v>
      </c>
      <c r="F120" s="20">
        <v>2330000</v>
      </c>
    </row>
    <row r="121" spans="2:7">
      <c r="B121" s="6" t="s">
        <v>105</v>
      </c>
      <c r="C121" s="2">
        <f t="shared" ref="C121:F122" si="64">C120+10000</f>
        <v>1330001</v>
      </c>
      <c r="D121" s="2">
        <f t="shared" si="64"/>
        <v>1340000</v>
      </c>
      <c r="E121" s="2">
        <f t="shared" si="64"/>
        <v>2330001</v>
      </c>
      <c r="F121" s="2">
        <f t="shared" si="64"/>
        <v>2340000</v>
      </c>
    </row>
    <row r="122" spans="2:7">
      <c r="B122" s="6" t="s">
        <v>119</v>
      </c>
      <c r="C122" s="2">
        <f t="shared" si="64"/>
        <v>1340001</v>
      </c>
      <c r="D122" s="2">
        <f t="shared" si="64"/>
        <v>1350000</v>
      </c>
      <c r="E122" s="2">
        <f t="shared" si="64"/>
        <v>2340001</v>
      </c>
      <c r="F122" s="2">
        <f t="shared" si="64"/>
        <v>2350000</v>
      </c>
    </row>
    <row r="123" spans="2:7">
      <c r="B123" s="6" t="s">
        <v>167</v>
      </c>
      <c r="C123" s="2">
        <v>1350001</v>
      </c>
      <c r="D123" s="2">
        <f t="shared" ref="D123:D128" si="65">C123+1000</f>
        <v>1351001</v>
      </c>
      <c r="E123" s="2">
        <f t="shared" ref="E123:E128" si="66">C123+1000000</f>
        <v>2350001</v>
      </c>
      <c r="F123" s="2">
        <f t="shared" ref="F123:F128" si="67">E123+1000</f>
        <v>2351001</v>
      </c>
      <c r="G123" s="13"/>
    </row>
    <row r="124" spans="2:7">
      <c r="B124" s="6" t="s">
        <v>103</v>
      </c>
      <c r="C124" s="2">
        <v>1400001</v>
      </c>
      <c r="D124" s="2">
        <f t="shared" si="65"/>
        <v>1401001</v>
      </c>
      <c r="E124" s="2">
        <f t="shared" si="66"/>
        <v>2400001</v>
      </c>
      <c r="F124" s="2">
        <f t="shared" si="67"/>
        <v>2401001</v>
      </c>
      <c r="G124" s="13"/>
    </row>
    <row r="125" spans="2:7">
      <c r="B125" s="6" t="s">
        <v>42</v>
      </c>
      <c r="C125" s="2">
        <v>1500001</v>
      </c>
      <c r="D125" s="2">
        <f t="shared" si="65"/>
        <v>1501001</v>
      </c>
      <c r="E125" s="2">
        <f t="shared" si="66"/>
        <v>2500001</v>
      </c>
      <c r="F125" s="2">
        <f t="shared" si="67"/>
        <v>2501001</v>
      </c>
      <c r="G125" s="13"/>
    </row>
    <row r="126" spans="2:7">
      <c r="B126" s="6" t="s">
        <v>184</v>
      </c>
      <c r="C126" s="2">
        <v>1550001</v>
      </c>
      <c r="D126" s="2">
        <f t="shared" si="65"/>
        <v>1551001</v>
      </c>
      <c r="E126" s="2">
        <f t="shared" si="66"/>
        <v>2550001</v>
      </c>
      <c r="F126" s="2">
        <f t="shared" si="67"/>
        <v>2551001</v>
      </c>
      <c r="G126" s="13"/>
    </row>
    <row r="127" spans="2:7">
      <c r="B127" s="6" t="s">
        <v>186</v>
      </c>
      <c r="C127" s="2">
        <v>1600001</v>
      </c>
      <c r="D127" s="2">
        <f t="shared" si="65"/>
        <v>1601001</v>
      </c>
      <c r="E127" s="2">
        <f t="shared" si="66"/>
        <v>2600001</v>
      </c>
      <c r="F127" s="2">
        <f t="shared" si="67"/>
        <v>2601001</v>
      </c>
      <c r="G127" s="13"/>
    </row>
    <row r="128" spans="2:7">
      <c r="B128" s="6" t="s">
        <v>214</v>
      </c>
      <c r="C128" s="2">
        <v>1700001</v>
      </c>
      <c r="D128" s="2">
        <f t="shared" si="65"/>
        <v>1701001</v>
      </c>
      <c r="E128" s="2">
        <f t="shared" si="66"/>
        <v>2700001</v>
      </c>
      <c r="F128" s="2">
        <f t="shared" si="67"/>
        <v>2701001</v>
      </c>
      <c r="G128" s="13"/>
    </row>
    <row r="129" spans="2:7">
      <c r="B129" s="6" t="s">
        <v>215</v>
      </c>
      <c r="C129" s="2">
        <v>1800001</v>
      </c>
      <c r="D129" s="2">
        <f t="shared" ref="D129" si="68">C129+1000</f>
        <v>1801001</v>
      </c>
      <c r="E129" s="2">
        <f t="shared" ref="E129" si="69">C129+1000000</f>
        <v>2800001</v>
      </c>
      <c r="F129" s="2">
        <f t="shared" ref="F129" si="70">E129+1000</f>
        <v>2801001</v>
      </c>
      <c r="G129" s="13"/>
    </row>
    <row r="130" spans="2:7">
      <c r="B130" s="10" t="s">
        <v>119</v>
      </c>
      <c r="C130" s="26">
        <v>2042001</v>
      </c>
      <c r="D130" s="26"/>
      <c r="E130" s="26"/>
      <c r="F130" s="26"/>
    </row>
  </sheetData>
  <mergeCells count="2">
    <mergeCell ref="C3:D3"/>
    <mergeCell ref="E3:F3"/>
  </mergeCells>
  <phoneticPr fontId="2" type="noConversion"/>
  <pageMargins left="0.7" right="0.7" top="0.75" bottom="0.75" header="0.3" footer="0.3"/>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21"/>
  <sheetViews>
    <sheetView topLeftCell="A2" zoomScale="85" zoomScaleNormal="85" workbookViewId="0">
      <selection activeCell="B2" sqref="B2:B9"/>
    </sheetView>
  </sheetViews>
  <sheetFormatPr defaultRowHeight="16.5"/>
  <cols>
    <col min="1" max="1" width="24.5" bestFit="1" customWidth="1"/>
    <col min="2" max="2" width="47.625" bestFit="1" customWidth="1"/>
    <col min="3" max="3" width="47.75" bestFit="1" customWidth="1"/>
    <col min="4" max="4" width="21.5" bestFit="1" customWidth="1"/>
    <col min="5" max="5" width="49.5" customWidth="1"/>
  </cols>
  <sheetData>
    <row r="1" spans="1:5">
      <c r="A1" t="s">
        <v>96</v>
      </c>
      <c r="B1" t="s">
        <v>153</v>
      </c>
      <c r="C1" t="s">
        <v>154</v>
      </c>
    </row>
    <row r="2" spans="1:5">
      <c r="A2">
        <v>0</v>
      </c>
      <c r="B2" t="s">
        <v>133</v>
      </c>
      <c r="C2" s="12">
        <f>_표_ChattingMessageType[[#This Row],[ChattingMessageType]]</f>
        <v>0</v>
      </c>
    </row>
    <row r="3" spans="1:5">
      <c r="A3">
        <v>0</v>
      </c>
      <c r="B3" t="s">
        <v>195</v>
      </c>
      <c r="C3" s="12">
        <f>_표_ChattingMessageType[[#This Row],[ChattingMessageType]]</f>
        <v>0</v>
      </c>
    </row>
    <row r="4" spans="1:5">
      <c r="A4">
        <v>1</v>
      </c>
      <c r="B4" t="s">
        <v>203</v>
      </c>
      <c r="C4" s="12">
        <f>_표_ChattingMessageType[[#This Row],[ChattingMessageType]]</f>
        <v>1</v>
      </c>
    </row>
    <row r="5" spans="1:5">
      <c r="A5">
        <v>3</v>
      </c>
      <c r="B5" t="s">
        <v>204</v>
      </c>
      <c r="C5" s="12">
        <f>_표_ChattingMessageType[[#This Row],[ChattingMessageType]]</f>
        <v>3</v>
      </c>
    </row>
    <row r="6" spans="1:5">
      <c r="A6">
        <v>0</v>
      </c>
      <c r="B6" t="s">
        <v>195</v>
      </c>
      <c r="C6" s="12">
        <f>_표_ChattingMessageType[[#This Row],[ChattingMessageType]]</f>
        <v>0</v>
      </c>
    </row>
    <row r="7" spans="1:5">
      <c r="A7">
        <v>0</v>
      </c>
      <c r="B7" t="s">
        <v>195</v>
      </c>
      <c r="C7" s="12">
        <f>_표_ChattingMessageType[[#This Row],[ChattingMessageType]]</f>
        <v>0</v>
      </c>
    </row>
    <row r="8" spans="1:5">
      <c r="A8">
        <v>2</v>
      </c>
      <c r="B8" t="s">
        <v>205</v>
      </c>
      <c r="C8" s="12">
        <f>_표_ChattingMessageType[[#This Row],[ChattingMessageType]]</f>
        <v>2</v>
      </c>
    </row>
    <row r="9" spans="1:5">
      <c r="A9">
        <v>4</v>
      </c>
      <c r="B9" t="s">
        <v>135</v>
      </c>
      <c r="C9" s="12">
        <f>_표_ChattingMessageType[[#This Row],[ChattingMessageType]]</f>
        <v>4</v>
      </c>
    </row>
    <row r="12" spans="1:5">
      <c r="A12" t="s">
        <v>97</v>
      </c>
      <c r="B12" t="s">
        <v>156</v>
      </c>
      <c r="C12" t="s">
        <v>138</v>
      </c>
      <c r="D12" t="s">
        <v>155</v>
      </c>
      <c r="E12" t="s">
        <v>150</v>
      </c>
    </row>
    <row r="13" spans="1:5">
      <c r="A13">
        <v>0</v>
      </c>
      <c r="B13" t="s">
        <v>136</v>
      </c>
      <c r="D13" s="12">
        <f>_표_MessageType[[#This Row],[MessageType]]</f>
        <v>0</v>
      </c>
    </row>
    <row r="14" spans="1:5" ht="177" customHeight="1">
      <c r="A14">
        <v>1</v>
      </c>
      <c r="B14" t="s">
        <v>137</v>
      </c>
      <c r="C14" t="s">
        <v>139</v>
      </c>
      <c r="D14" s="12">
        <f>_표_MessageType[[#This Row],[MessageType]]</f>
        <v>1</v>
      </c>
    </row>
    <row r="15" spans="1:5" ht="94.5" customHeight="1">
      <c r="A15">
        <v>9</v>
      </c>
      <c r="B15" t="s">
        <v>141</v>
      </c>
      <c r="C15" t="s">
        <v>142</v>
      </c>
      <c r="D15" s="12">
        <f>_표_MessageType[[#This Row],[MessageType]]</f>
        <v>9</v>
      </c>
    </row>
    <row r="16" spans="1:5">
      <c r="A16">
        <v>10</v>
      </c>
      <c r="B16" t="s">
        <v>140</v>
      </c>
      <c r="C16" t="s">
        <v>142</v>
      </c>
      <c r="D16" s="12">
        <f>_표_MessageType[[#This Row],[MessageType]]</f>
        <v>10</v>
      </c>
    </row>
    <row r="17" spans="1:4" ht="170.25" customHeight="1">
      <c r="A17">
        <v>11</v>
      </c>
      <c r="B17" t="s">
        <v>143</v>
      </c>
      <c r="C17" t="s">
        <v>148</v>
      </c>
      <c r="D17" s="12">
        <f>_표_MessageType[[#This Row],[MessageType]]</f>
        <v>11</v>
      </c>
    </row>
    <row r="18" spans="1:4">
      <c r="A18">
        <v>12</v>
      </c>
      <c r="B18" t="s">
        <v>144</v>
      </c>
      <c r="D18" s="12">
        <f>_표_MessageType[[#This Row],[MessageType]]</f>
        <v>12</v>
      </c>
    </row>
    <row r="19" spans="1:4">
      <c r="A19">
        <v>13</v>
      </c>
      <c r="B19" t="s">
        <v>145</v>
      </c>
      <c r="D19" s="12">
        <f>_표_MessageType[[#This Row],[MessageType]]</f>
        <v>13</v>
      </c>
    </row>
    <row r="20" spans="1:4" ht="172.5" customHeight="1">
      <c r="A20">
        <v>21</v>
      </c>
      <c r="B20" t="s">
        <v>146</v>
      </c>
      <c r="C20" t="s">
        <v>149</v>
      </c>
      <c r="D20" s="12">
        <f>_표_MessageType[[#This Row],[MessageType]]</f>
        <v>21</v>
      </c>
    </row>
    <row r="21" spans="1:4">
      <c r="A21">
        <v>31</v>
      </c>
      <c r="B21" t="s">
        <v>147</v>
      </c>
      <c r="D21" s="12">
        <f>_표_MessageType[[#This Row],[MessageType]]</f>
        <v>31</v>
      </c>
    </row>
  </sheetData>
  <phoneticPr fontId="2" type="noConversion"/>
  <pageMargins left="0.7" right="0.7" top="0.75" bottom="0.75" header="0.3" footer="0.3"/>
  <pageSetup paperSize="9" orientation="portrait" r:id="rId1"/>
  <drawing r:id="rId2"/>
  <tableParts count="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5" tint="-0.249977111117893"/>
  </sheetPr>
  <dimension ref="B2:C20"/>
  <sheetViews>
    <sheetView workbookViewId="0">
      <selection activeCell="I26" sqref="I26"/>
    </sheetView>
  </sheetViews>
  <sheetFormatPr defaultRowHeight="16.5"/>
  <sheetData>
    <row r="2" spans="2:3" s="12" customFormat="1">
      <c r="B2" s="14" t="s">
        <v>67</v>
      </c>
    </row>
    <row r="3" spans="2:3" s="12" customFormat="1">
      <c r="B3" s="14"/>
      <c r="C3" s="14" t="s">
        <v>69</v>
      </c>
    </row>
    <row r="5" spans="2:3">
      <c r="B5" t="s">
        <v>68</v>
      </c>
    </row>
    <row r="6" spans="2:3">
      <c r="C6" t="s">
        <v>70</v>
      </c>
    </row>
    <row r="7" spans="2:3">
      <c r="C7" t="s">
        <v>71</v>
      </c>
    </row>
    <row r="8" spans="2:3">
      <c r="C8" t="s">
        <v>72</v>
      </c>
    </row>
    <row r="9" spans="2:3">
      <c r="C9" t="s">
        <v>73</v>
      </c>
    </row>
    <row r="10" spans="2:3">
      <c r="C10" t="s">
        <v>74</v>
      </c>
    </row>
    <row r="11" spans="2:3">
      <c r="C11" t="s">
        <v>75</v>
      </c>
    </row>
    <row r="12" spans="2:3">
      <c r="C12" t="s">
        <v>76</v>
      </c>
    </row>
    <row r="13" spans="2:3">
      <c r="C13" t="s">
        <v>77</v>
      </c>
    </row>
    <row r="14" spans="2:3">
      <c r="C14" t="s">
        <v>78</v>
      </c>
    </row>
    <row r="16" spans="2:3">
      <c r="B16" t="s">
        <v>79</v>
      </c>
    </row>
    <row r="18" spans="2:3">
      <c r="B18" s="17"/>
      <c r="C18" t="s">
        <v>81</v>
      </c>
    </row>
    <row r="20" spans="2:3">
      <c r="B20" s="16"/>
      <c r="C20" t="s">
        <v>82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2</vt:i4>
      </vt:variant>
    </vt:vector>
  </HeadingPairs>
  <TitlesOfParts>
    <vt:vector size="7" baseType="lpstr">
      <vt:lpstr>!명세서</vt:lpstr>
      <vt:lpstr>STRING_BUILTIN</vt:lpstr>
      <vt:lpstr>!아이디규칙</vt:lpstr>
      <vt:lpstr>!List</vt:lpstr>
      <vt:lpstr>!스트링 정리</vt:lpstr>
      <vt:lpstr>_리스트_ChattingMessageType_Item</vt:lpstr>
      <vt:lpstr>_리스트_MessageType_Item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csPark</dc:creator>
  <cp:lastModifiedBy>wmoffice27</cp:lastModifiedBy>
  <cp:lastPrinted>2020-03-13T07:03:58Z</cp:lastPrinted>
  <dcterms:created xsi:type="dcterms:W3CDTF">2016-01-18T01:31:30Z</dcterms:created>
  <dcterms:modified xsi:type="dcterms:W3CDTF">2025-12-23T08:15:34Z</dcterms:modified>
</cp:coreProperties>
</file>