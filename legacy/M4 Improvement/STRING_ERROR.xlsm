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72.17.255.21\nas_Wm\WM_L10n팀\01_MIR4\99_ARCHIVE\MIR4_FULL_LOCALE\2025년\251223\251223_테이블 정제\"/>
    </mc:Choice>
  </mc:AlternateContent>
  <xr:revisionPtr revIDLastSave="0" documentId="13_ncr:1_{72D00E69-9578-4DED-9F57-60DC674DB20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!명세서" sheetId="2" r:id="rId1"/>
    <sheet name="STRING_ERROR" sheetId="6" r:id="rId2"/>
    <sheet name="!STRING_ERROR(20181214)" sheetId="7" r:id="rId3"/>
    <sheet name="!STRING_ERROR(20181207)" sheetId="4" r:id="rId4"/>
    <sheet name="!List" sheetId="5" r:id="rId5"/>
  </sheets>
  <definedNames>
    <definedName name="_xlnm._FilterDatabase" localSheetId="1" hidden="1">STRING_ERROR!$A$4:$P$1599</definedName>
    <definedName name="_ls_ErrorType">'!List'!$A$2:$A$6</definedName>
    <definedName name="error">'!List'!$A$1:$B$6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70" i="6" l="1"/>
  <c r="B1071" i="6"/>
  <c r="B1072" i="6"/>
  <c r="B1073" i="6"/>
  <c r="B1074" i="6"/>
  <c r="B1075" i="6"/>
  <c r="B1076" i="6"/>
  <c r="B1320" i="6"/>
  <c r="B1319" i="6"/>
  <c r="B1318" i="6"/>
  <c r="B1317" i="6"/>
  <c r="B482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22" i="6"/>
  <c r="B1500" i="6"/>
  <c r="B920" i="6"/>
  <c r="B1399" i="6"/>
  <c r="B1296" i="6"/>
  <c r="B92" i="6"/>
  <c r="B1295" i="6"/>
  <c r="B1104" i="6" l="1"/>
  <c r="B1103" i="6"/>
  <c r="B1102" i="6"/>
  <c r="B1101" i="6"/>
  <c r="B1100" i="6"/>
  <c r="B1099" i="6"/>
  <c r="B1098" i="6"/>
  <c r="B429" i="6"/>
  <c r="B430" i="6"/>
  <c r="B431" i="6"/>
  <c r="B432" i="6"/>
  <c r="B433" i="6"/>
  <c r="B434" i="6"/>
  <c r="B435" i="6"/>
  <c r="B481" i="6"/>
  <c r="B1213" i="6"/>
  <c r="B919" i="6"/>
  <c r="B423" i="6"/>
  <c r="B424" i="6"/>
  <c r="B425" i="6"/>
  <c r="B426" i="6"/>
  <c r="B427" i="6"/>
  <c r="B428" i="6"/>
  <c r="B1519" i="6"/>
  <c r="B1518" i="6"/>
  <c r="B1517" i="6"/>
  <c r="B1516" i="6"/>
  <c r="L1599" i="6"/>
  <c r="B1599" i="6"/>
  <c r="L1598" i="6"/>
  <c r="B1598" i="6"/>
  <c r="L1597" i="6"/>
  <c r="B1597" i="6"/>
  <c r="L1596" i="6"/>
  <c r="B1596" i="6"/>
  <c r="L1595" i="6"/>
  <c r="B1595" i="6"/>
  <c r="L1594" i="6"/>
  <c r="B1594" i="6"/>
  <c r="L1593" i="6"/>
  <c r="B1593" i="6"/>
  <c r="L1592" i="6"/>
  <c r="B1592" i="6"/>
  <c r="L1591" i="6"/>
  <c r="B1591" i="6"/>
  <c r="L1590" i="6"/>
  <c r="B1590" i="6"/>
  <c r="L1589" i="6"/>
  <c r="B1589" i="6"/>
  <c r="L1588" i="6"/>
  <c r="B1588" i="6"/>
  <c r="L1587" i="6"/>
  <c r="B1587" i="6"/>
  <c r="L1586" i="6"/>
  <c r="B1586" i="6"/>
  <c r="B1447" i="6"/>
  <c r="B1448" i="6"/>
  <c r="B1449" i="6"/>
  <c r="B1450" i="6"/>
  <c r="B1451" i="6"/>
  <c r="B1452" i="6"/>
  <c r="B1453" i="6"/>
  <c r="B1454" i="6"/>
  <c r="B1455" i="6"/>
  <c r="B1456" i="6"/>
  <c r="B234" i="6"/>
  <c r="L1585" i="6"/>
  <c r="B1585" i="6"/>
  <c r="L1584" i="6"/>
  <c r="B1584" i="6"/>
  <c r="L1583" i="6"/>
  <c r="B1583" i="6"/>
  <c r="L1582" i="6" l="1"/>
  <c r="B1582" i="6"/>
  <c r="L1581" i="6"/>
  <c r="B1581" i="6"/>
  <c r="L1580" i="6"/>
  <c r="B1580" i="6"/>
  <c r="L1579" i="6"/>
  <c r="B1579" i="6"/>
  <c r="L1578" i="6"/>
  <c r="B1578" i="6"/>
  <c r="L1577" i="6"/>
  <c r="B1577" i="6"/>
  <c r="L1576" i="6"/>
  <c r="B1576" i="6"/>
  <c r="L1575" i="6"/>
  <c r="B1575" i="6"/>
  <c r="L1574" i="6"/>
  <c r="B1574" i="6"/>
  <c r="L1573" i="6"/>
  <c r="B1573" i="6"/>
  <c r="L1572" i="6"/>
  <c r="B1572" i="6"/>
  <c r="L1571" i="6"/>
  <c r="B1571" i="6"/>
  <c r="B1523" i="6"/>
  <c r="B1522" i="6"/>
  <c r="B104" i="6"/>
  <c r="B103" i="6"/>
  <c r="B102" i="6"/>
  <c r="B1212" i="6"/>
  <c r="B480" i="6"/>
  <c r="B1526" i="6" l="1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332" i="6"/>
  <c r="B1331" i="6"/>
  <c r="B233" i="6" l="1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330" i="6"/>
  <c r="B1329" i="6"/>
  <c r="B1328" i="6"/>
  <c r="B1327" i="6"/>
  <c r="B1326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525" i="6"/>
  <c r="B1524" i="6"/>
  <c r="B1521" i="6"/>
  <c r="B1520" i="6"/>
  <c r="B101" i="6" l="1"/>
  <c r="B1507" i="6"/>
  <c r="B1508" i="6"/>
  <c r="B1509" i="6"/>
  <c r="B1510" i="6"/>
  <c r="B1511" i="6"/>
  <c r="B1512" i="6"/>
  <c r="B1513" i="6"/>
  <c r="B1514" i="6"/>
  <c r="B1515" i="6"/>
  <c r="B1506" i="6"/>
  <c r="B1505" i="6"/>
  <c r="B1504" i="6"/>
  <c r="B1503" i="6"/>
  <c r="B1502" i="6"/>
  <c r="B1501" i="6"/>
  <c r="B1220" i="6"/>
  <c r="B1219" i="6"/>
  <c r="B1218" i="6"/>
  <c r="B1217" i="6"/>
  <c r="B1216" i="6"/>
  <c r="B1215" i="6"/>
  <c r="B1214" i="6"/>
  <c r="B509" i="6"/>
  <c r="B1499" i="6"/>
  <c r="B193" i="6" l="1"/>
  <c r="B1498" i="6" l="1"/>
  <c r="B1497" i="6"/>
  <c r="B1496" i="6"/>
  <c r="B1495" i="6"/>
  <c r="B1494" i="6"/>
  <c r="B1493" i="6"/>
  <c r="B562" i="6"/>
  <c r="B1492" i="6"/>
  <c r="B1491" i="6"/>
  <c r="B1490" i="6"/>
  <c r="B1489" i="6"/>
  <c r="B871" i="6"/>
  <c r="B1294" i="6" l="1"/>
  <c r="B1488" i="6"/>
  <c r="B1487" i="6"/>
  <c r="B1486" i="6"/>
  <c r="B1485" i="6"/>
  <c r="B1484" i="6"/>
  <c r="B1483" i="6"/>
  <c r="B1482" i="6"/>
  <c r="B1481" i="6"/>
  <c r="B1480" i="6"/>
  <c r="B1479" i="6"/>
  <c r="B1478" i="6"/>
  <c r="B835" i="6"/>
  <c r="B834" i="6"/>
  <c r="B833" i="6"/>
  <c r="B832" i="6"/>
  <c r="B831" i="6"/>
  <c r="B830" i="6"/>
  <c r="B1259" i="6"/>
  <c r="B1261" i="6"/>
  <c r="B1260" i="6"/>
  <c r="B870" i="6"/>
  <c r="B869" i="6"/>
  <c r="B868" i="6"/>
  <c r="B1258" i="6"/>
  <c r="B1257" i="6"/>
  <c r="B1256" i="6"/>
  <c r="B1236" i="6"/>
  <c r="B1228" i="6"/>
  <c r="B1227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5" i="6"/>
  <c r="B1234" i="6"/>
  <c r="B1233" i="6"/>
  <c r="B1232" i="6"/>
  <c r="B1231" i="6"/>
  <c r="B1230" i="6"/>
  <c r="B1229" i="6"/>
  <c r="B1226" i="6"/>
  <c r="B326" i="6"/>
  <c r="B325" i="6"/>
  <c r="B324" i="6"/>
  <c r="B1470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69" i="6" l="1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41" i="6"/>
  <c r="B421" i="6"/>
  <c r="B420" i="6"/>
  <c r="B701" i="6"/>
  <c r="B700" i="6"/>
  <c r="B689" i="6"/>
  <c r="B419" i="6"/>
  <c r="B176" i="6" l="1"/>
  <c r="B283" i="6"/>
  <c r="B282" i="6"/>
  <c r="B281" i="6"/>
  <c r="B626" i="6"/>
  <c r="B548" i="6"/>
  <c r="B625" i="6"/>
  <c r="B415" i="6"/>
  <c r="B414" i="6"/>
  <c r="B263" i="6"/>
  <c r="B262" i="6"/>
  <c r="B261" i="6"/>
  <c r="B260" i="6"/>
  <c r="B259" i="6"/>
  <c r="B257" i="6"/>
  <c r="B256" i="6"/>
  <c r="B255" i="6"/>
  <c r="B254" i="6"/>
  <c r="B252" i="6"/>
  <c r="B251" i="6"/>
  <c r="B250" i="6"/>
  <c r="B246" i="6"/>
  <c r="B245" i="6"/>
  <c r="B244" i="6"/>
  <c r="B243" i="6"/>
  <c r="B242" i="6"/>
  <c r="B239" i="6"/>
  <c r="B238" i="6"/>
  <c r="B237" i="6"/>
  <c r="B236" i="6"/>
  <c r="B58" i="6"/>
  <c r="B232" i="6" l="1"/>
  <c r="B59" i="6"/>
  <c r="B1367" i="6" l="1"/>
  <c r="L70" i="6"/>
  <c r="B70" i="6"/>
  <c r="L69" i="6"/>
  <c r="B69" i="6"/>
  <c r="L68" i="6"/>
  <c r="B68" i="6"/>
  <c r="L67" i="6"/>
  <c r="B67" i="6"/>
  <c r="L66" i="6"/>
  <c r="B66" i="6"/>
  <c r="L65" i="6"/>
  <c r="B65" i="6"/>
  <c r="L64" i="6"/>
  <c r="B64" i="6"/>
  <c r="B1446" i="6"/>
  <c r="B100" i="6" l="1"/>
  <c r="B98" i="6"/>
  <c r="B918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265" i="6"/>
  <c r="L1042" i="6"/>
  <c r="B1042" i="6"/>
  <c r="B1293" i="6"/>
  <c r="B1401" i="6"/>
  <c r="B1400" i="6"/>
  <c r="B549" i="6" l="1"/>
  <c r="B264" i="6"/>
  <c r="B274" i="6"/>
  <c r="B115" i="6"/>
  <c r="B1297" i="6" l="1"/>
  <c r="L1134" i="6"/>
  <c r="L1135" i="6"/>
  <c r="L1136" i="6"/>
  <c r="L1137" i="6"/>
  <c r="L1138" i="6"/>
  <c r="L1139" i="6"/>
  <c r="B1134" i="6"/>
  <c r="B1135" i="6"/>
  <c r="B1136" i="6"/>
  <c r="B1137" i="6"/>
  <c r="B1138" i="6"/>
  <c r="B1139" i="6"/>
  <c r="B99" i="6"/>
  <c r="B1407" i="6"/>
  <c r="B121" i="6"/>
  <c r="B120" i="6"/>
  <c r="B119" i="6"/>
  <c r="B118" i="6"/>
  <c r="B117" i="6"/>
  <c r="B116" i="6"/>
  <c r="B1358" i="6"/>
  <c r="B1406" i="6" l="1"/>
  <c r="B175" i="6"/>
  <c r="B174" i="6"/>
  <c r="B173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418" i="6"/>
  <c r="B1405" i="6"/>
  <c r="B1404" i="6"/>
  <c r="B253" i="6"/>
  <c r="B249" i="6"/>
  <c r="B248" i="6"/>
  <c r="B241" i="6"/>
  <c r="B235" i="6"/>
  <c r="B172" i="6"/>
  <c r="L312" i="6"/>
  <c r="B312" i="6"/>
  <c r="B1020" i="6" l="1"/>
  <c r="B1021" i="6"/>
  <c r="B1316" i="6"/>
  <c r="B1357" i="6"/>
  <c r="B344" i="6"/>
  <c r="B1356" i="6"/>
  <c r="B1355" i="6"/>
  <c r="B1354" i="6"/>
  <c r="B1353" i="6"/>
  <c r="B1352" i="6"/>
  <c r="B1351" i="6"/>
  <c r="B1350" i="6"/>
  <c r="B1349" i="6"/>
  <c r="B1091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231" i="6"/>
  <c r="B1315" i="6"/>
  <c r="B1292" i="6"/>
  <c r="B1097" i="6"/>
  <c r="B1325" i="6" l="1"/>
  <c r="B1324" i="6"/>
  <c r="B1323" i="6"/>
  <c r="B1322" i="6" l="1"/>
  <c r="B1321" i="6" l="1"/>
  <c r="L923" i="6"/>
  <c r="B114" i="6"/>
  <c r="B113" i="6"/>
  <c r="B112" i="6"/>
  <c r="B111" i="6"/>
  <c r="B110" i="6"/>
  <c r="B109" i="6"/>
  <c r="B108" i="6"/>
  <c r="B107" i="6"/>
  <c r="B106" i="6"/>
  <c r="B105" i="6"/>
  <c r="B57" i="6"/>
  <c r="B1314" i="6" l="1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71" i="6"/>
  <c r="L576" i="6"/>
  <c r="B576" i="6"/>
  <c r="L1110" i="6"/>
  <c r="L1111" i="6"/>
  <c r="L1112" i="6"/>
  <c r="L1113" i="6"/>
  <c r="L1114" i="6"/>
  <c r="L1115" i="6"/>
  <c r="L1116" i="6"/>
  <c r="L1117" i="6"/>
  <c r="B1116" i="6"/>
  <c r="B1115" i="6"/>
  <c r="B1114" i="6"/>
  <c r="B1113" i="6"/>
  <c r="B1112" i="6"/>
  <c r="B1291" i="6"/>
  <c r="B1290" i="6"/>
  <c r="B1289" i="6"/>
  <c r="B1288" i="6"/>
  <c r="B1287" i="6"/>
  <c r="B1286" i="6"/>
  <c r="L89" i="6" l="1"/>
  <c r="B89" i="6"/>
  <c r="B1272" i="6"/>
  <c r="B1271" i="6"/>
  <c r="B170" i="6"/>
  <c r="G4" i="6"/>
  <c r="G3" i="6"/>
  <c r="G2" i="6"/>
  <c r="F4" i="6"/>
  <c r="F3" i="6"/>
  <c r="F2" i="6"/>
  <c r="E4" i="6"/>
  <c r="E3" i="6"/>
  <c r="E2" i="6"/>
  <c r="D4" i="6"/>
  <c r="D3" i="6"/>
  <c r="D2" i="6"/>
  <c r="C4" i="6"/>
  <c r="C3" i="6"/>
  <c r="C2" i="6"/>
  <c r="B585" i="6"/>
  <c r="B192" i="6"/>
  <c r="B416" i="6"/>
  <c r="B417" i="6"/>
  <c r="L332" i="6"/>
  <c r="B332" i="6"/>
  <c r="B826" i="6"/>
  <c r="B827" i="6"/>
  <c r="B828" i="6"/>
  <c r="B829" i="6"/>
  <c r="B825" i="6"/>
  <c r="B1182" i="6"/>
  <c r="B1183" i="6"/>
  <c r="B1184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36" i="6"/>
  <c r="B699" i="6" l="1"/>
  <c r="B280" i="6"/>
  <c r="B954" i="6"/>
  <c r="B953" i="6"/>
  <c r="B240" i="6"/>
  <c r="B273" i="6"/>
  <c r="B247" i="6"/>
  <c r="B258" i="6"/>
  <c r="B272" i="6"/>
  <c r="B275" i="6"/>
  <c r="B777" i="6"/>
  <c r="B682" i="6"/>
  <c r="B681" i="6"/>
  <c r="L1149" i="6"/>
  <c r="L1150" i="6"/>
  <c r="L1151" i="6"/>
  <c r="L1152" i="6"/>
  <c r="L1153" i="6"/>
  <c r="L1154" i="6"/>
  <c r="B1149" i="6"/>
  <c r="B1150" i="6"/>
  <c r="B1151" i="6"/>
  <c r="B1152" i="6"/>
  <c r="B1153" i="6"/>
  <c r="B1154" i="6"/>
  <c r="L1148" i="6"/>
  <c r="B1148" i="6"/>
  <c r="B413" i="6"/>
  <c r="B412" i="6"/>
  <c r="L311" i="6"/>
  <c r="B311" i="6"/>
  <c r="B197" i="6" l="1"/>
  <c r="B196" i="6"/>
  <c r="B195" i="6"/>
  <c r="B194" i="6"/>
  <c r="B911" i="6" l="1"/>
  <c r="L952" i="6"/>
  <c r="B814" i="6"/>
  <c r="B999" i="6"/>
  <c r="B1000" i="6"/>
  <c r="B1001" i="6"/>
  <c r="B1002" i="6"/>
  <c r="B1003" i="6"/>
  <c r="B1004" i="6"/>
  <c r="B1005" i="6"/>
  <c r="B1006" i="6"/>
  <c r="B917" i="6" l="1"/>
  <c r="B395" i="6"/>
  <c r="B403" i="6"/>
  <c r="L1041" i="6"/>
  <c r="L1040" i="6"/>
  <c r="L1039" i="6"/>
  <c r="B1039" i="6"/>
  <c r="B1040" i="6"/>
  <c r="B1041" i="6"/>
  <c r="B479" i="6"/>
  <c r="B1167" i="6"/>
  <c r="L1167" i="6"/>
  <c r="B478" i="6" l="1"/>
  <c r="B459" i="6"/>
  <c r="B458" i="6"/>
  <c r="B627" i="6"/>
  <c r="B230" i="6"/>
  <c r="B229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228" i="6"/>
  <c r="B227" i="6"/>
  <c r="B226" i="6"/>
  <c r="B225" i="6"/>
  <c r="B224" i="6"/>
  <c r="B223" i="6"/>
  <c r="B222" i="6"/>
  <c r="L998" i="6"/>
  <c r="L997" i="6"/>
  <c r="B998" i="6" l="1"/>
  <c r="B997" i="6"/>
  <c r="B221" i="6" l="1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916" i="6"/>
  <c r="B915" i="6"/>
  <c r="B914" i="6"/>
  <c r="B913" i="6"/>
  <c r="B912" i="6"/>
  <c r="B401" i="6"/>
  <c r="B400" i="6" l="1"/>
  <c r="B169" i="6"/>
  <c r="L1147" i="6" l="1"/>
  <c r="B1147" i="6"/>
  <c r="B733" i="6" l="1"/>
  <c r="L584" i="6" l="1"/>
  <c r="B584" i="6"/>
  <c r="L629" i="6" l="1"/>
  <c r="B629" i="6"/>
  <c r="B399" i="6" l="1"/>
  <c r="B1058" i="6" l="1"/>
  <c r="B1055" i="6"/>
  <c r="B1054" i="6"/>
  <c r="L498" i="6" l="1"/>
  <c r="L776" i="6" l="1"/>
  <c r="B776" i="6"/>
  <c r="B624" i="6" l="1"/>
  <c r="B623" i="6"/>
  <c r="B622" i="6"/>
  <c r="L624" i="6"/>
  <c r="L623" i="6"/>
  <c r="L622" i="6"/>
  <c r="L561" i="6"/>
  <c r="L560" i="6"/>
  <c r="L559" i="6"/>
  <c r="B561" i="6"/>
  <c r="B560" i="6"/>
  <c r="B559" i="6"/>
  <c r="B191" i="6"/>
  <c r="B190" i="6"/>
  <c r="B189" i="6"/>
  <c r="B188" i="6"/>
  <c r="L897" i="6" l="1"/>
  <c r="L896" i="6"/>
  <c r="L895" i="6"/>
  <c r="L770" i="6"/>
  <c r="L769" i="6"/>
  <c r="B341" i="6"/>
  <c r="B342" i="6"/>
  <c r="B343" i="6"/>
  <c r="B895" i="6" l="1"/>
  <c r="B896" i="6"/>
  <c r="B897" i="6"/>
  <c r="B769" i="6"/>
  <c r="B770" i="6"/>
  <c r="B731" i="6"/>
  <c r="B732" i="6"/>
  <c r="B679" i="6"/>
  <c r="B547" i="6"/>
  <c r="B97" i="6"/>
  <c r="B96" i="6"/>
  <c r="B95" i="6"/>
  <c r="B94" i="6"/>
  <c r="B93" i="6"/>
  <c r="B55" i="6"/>
  <c r="B56" i="6"/>
  <c r="B54" i="6"/>
  <c r="B53" i="6"/>
  <c r="L546" i="6" l="1"/>
  <c r="L545" i="6"/>
  <c r="L544" i="6"/>
  <c r="L543" i="6"/>
  <c r="B546" i="6"/>
  <c r="B545" i="6"/>
  <c r="B544" i="6"/>
  <c r="B543" i="6"/>
  <c r="L331" i="6"/>
  <c r="L330" i="6"/>
  <c r="B331" i="6"/>
  <c r="B330" i="6"/>
  <c r="L1182" i="6"/>
  <c r="L1181" i="6"/>
  <c r="B1181" i="6"/>
  <c r="L1133" i="6" l="1"/>
  <c r="L1132" i="6"/>
  <c r="B1133" i="6"/>
  <c r="B1132" i="6"/>
  <c r="L88" i="6" l="1"/>
  <c r="B88" i="6"/>
  <c r="L910" i="6"/>
  <c r="L909" i="6"/>
  <c r="L908" i="6"/>
  <c r="B910" i="6"/>
  <c r="B909" i="6"/>
  <c r="B908" i="6"/>
  <c r="L1208" i="6" l="1"/>
  <c r="L1207" i="6"/>
  <c r="L1206" i="6"/>
  <c r="B1206" i="6"/>
  <c r="B1207" i="6"/>
  <c r="B1208" i="6"/>
  <c r="B1094" i="6"/>
  <c r="B1095" i="6"/>
  <c r="B1096" i="6"/>
  <c r="B1093" i="6"/>
  <c r="L323" i="6"/>
  <c r="L322" i="6"/>
  <c r="L321" i="6"/>
  <c r="L320" i="6"/>
  <c r="L319" i="6"/>
  <c r="B320" i="6"/>
  <c r="B321" i="6"/>
  <c r="B322" i="6"/>
  <c r="B323" i="6"/>
  <c r="B319" i="6"/>
  <c r="B1044" i="6" l="1"/>
  <c r="B1045" i="6"/>
  <c r="B1046" i="6"/>
  <c r="B1047" i="6"/>
  <c r="B1048" i="6"/>
  <c r="B1049" i="6"/>
  <c r="B1050" i="6"/>
  <c r="B1051" i="6"/>
  <c r="B1052" i="6"/>
  <c r="B1053" i="6"/>
  <c r="B1056" i="6"/>
  <c r="B1057" i="6"/>
  <c r="B1059" i="6"/>
  <c r="B1060" i="6"/>
  <c r="B1061" i="6"/>
  <c r="B1062" i="6"/>
  <c r="B1063" i="6"/>
  <c r="B1064" i="6"/>
  <c r="B1065" i="6"/>
  <c r="B1066" i="6"/>
  <c r="B1067" i="6"/>
  <c r="B1068" i="6"/>
  <c r="B1069" i="6"/>
  <c r="B1043" i="6"/>
  <c r="B1078" i="6" l="1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77" i="6"/>
  <c r="L951" i="6" l="1"/>
  <c r="L996" i="6"/>
  <c r="B996" i="6"/>
  <c r="L995" i="6"/>
  <c r="B995" i="6"/>
  <c r="L928" i="6"/>
  <c r="L927" i="6"/>
  <c r="L926" i="6"/>
  <c r="L925" i="6"/>
  <c r="L924" i="6"/>
  <c r="B860" i="6"/>
  <c r="B861" i="6"/>
  <c r="B862" i="6"/>
  <c r="B863" i="6"/>
  <c r="B864" i="6"/>
  <c r="B865" i="6"/>
  <c r="B866" i="6"/>
  <c r="B867" i="6"/>
  <c r="L168" i="6"/>
  <c r="B168" i="6"/>
  <c r="B87" i="6" l="1"/>
  <c r="L1146" i="6" l="1"/>
  <c r="B1146" i="6"/>
  <c r="L593" i="6" l="1"/>
  <c r="B593" i="6"/>
  <c r="L778" i="6" l="1"/>
  <c r="B778" i="6"/>
  <c r="L1165" i="6" l="1"/>
  <c r="B1165" i="6"/>
  <c r="L604" i="6" l="1"/>
  <c r="L605" i="6"/>
  <c r="L606" i="6"/>
  <c r="L607" i="6"/>
  <c r="L608" i="6"/>
  <c r="L609" i="6"/>
  <c r="B606" i="6"/>
  <c r="B605" i="6"/>
  <c r="B398" i="6" l="1"/>
  <c r="B1038" i="6" l="1"/>
  <c r="B1037" i="6"/>
  <c r="B1036" i="6"/>
  <c r="B1035" i="6"/>
  <c r="B1034" i="6"/>
  <c r="B1033" i="6"/>
  <c r="B1032" i="6"/>
  <c r="B1031" i="6"/>
  <c r="B1030" i="6"/>
  <c r="B1029" i="6"/>
  <c r="B1028" i="6"/>
  <c r="B1027" i="6"/>
  <c r="L583" i="6" l="1"/>
  <c r="B583" i="6"/>
  <c r="L514" i="6" l="1"/>
  <c r="L513" i="6"/>
  <c r="L512" i="6"/>
  <c r="L511" i="6"/>
  <c r="L510" i="6"/>
  <c r="B514" i="6"/>
  <c r="B513" i="6"/>
  <c r="B512" i="6"/>
  <c r="B511" i="6"/>
  <c r="B510" i="6"/>
  <c r="B279" i="6" l="1"/>
  <c r="B771" i="6" l="1"/>
  <c r="L877" i="6" l="1"/>
  <c r="L813" i="6" l="1"/>
  <c r="B813" i="6"/>
  <c r="L310" i="6" l="1"/>
  <c r="B310" i="6"/>
  <c r="L167" i="6" l="1"/>
  <c r="B167" i="6"/>
  <c r="L166" i="6"/>
  <c r="B166" i="6"/>
  <c r="B187" i="6" l="1"/>
  <c r="B186" i="6"/>
  <c r="B185" i="6"/>
  <c r="B184" i="6"/>
  <c r="B183" i="6"/>
  <c r="B182" i="6"/>
  <c r="B181" i="6"/>
  <c r="L309" i="6" l="1"/>
  <c r="B309" i="6"/>
  <c r="L6" i="6" l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41" i="6"/>
  <c r="L42" i="6"/>
  <c r="L43" i="6"/>
  <c r="L44" i="6"/>
  <c r="L45" i="6"/>
  <c r="L46" i="6"/>
  <c r="L47" i="6"/>
  <c r="L48" i="6"/>
  <c r="L49" i="6"/>
  <c r="L50" i="6"/>
  <c r="L51" i="6"/>
  <c r="L52" i="6"/>
  <c r="L60" i="6"/>
  <c r="L61" i="6"/>
  <c r="L62" i="6"/>
  <c r="L63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77" i="6"/>
  <c r="L178" i="6"/>
  <c r="L179" i="6"/>
  <c r="L180" i="6"/>
  <c r="L276" i="6"/>
  <c r="L277" i="6"/>
  <c r="L278" i="6"/>
  <c r="L284" i="6"/>
  <c r="L285" i="6"/>
  <c r="L286" i="6"/>
  <c r="L287" i="6"/>
  <c r="L288" i="6"/>
  <c r="L289" i="6"/>
  <c r="L290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13" i="6"/>
  <c r="L314" i="6"/>
  <c r="L315" i="6"/>
  <c r="L316" i="6"/>
  <c r="L317" i="6"/>
  <c r="L318" i="6"/>
  <c r="L327" i="6"/>
  <c r="L328" i="6"/>
  <c r="L329" i="6"/>
  <c r="L333" i="6"/>
  <c r="L334" i="6"/>
  <c r="L335" i="6"/>
  <c r="L336" i="6"/>
  <c r="L337" i="6"/>
  <c r="L338" i="6"/>
  <c r="L339" i="6"/>
  <c r="L340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6" i="6"/>
  <c r="L397" i="6"/>
  <c r="L448" i="6"/>
  <c r="L449" i="6"/>
  <c r="L450" i="6"/>
  <c r="L451" i="6"/>
  <c r="L452" i="6"/>
  <c r="L453" i="6"/>
  <c r="L454" i="6"/>
  <c r="L455" i="6"/>
  <c r="L456" i="6"/>
  <c r="L457" i="6"/>
  <c r="L460" i="6"/>
  <c r="L487" i="6"/>
  <c r="L488" i="6"/>
  <c r="L489" i="6"/>
  <c r="L490" i="6"/>
  <c r="L491" i="6"/>
  <c r="L492" i="6"/>
  <c r="L493" i="6"/>
  <c r="L494" i="6"/>
  <c r="L495" i="6"/>
  <c r="L496" i="6"/>
  <c r="L497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50" i="6"/>
  <c r="L551" i="6"/>
  <c r="L552" i="6"/>
  <c r="L553" i="6"/>
  <c r="L554" i="6"/>
  <c r="L555" i="6"/>
  <c r="L556" i="6"/>
  <c r="L557" i="6"/>
  <c r="L558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7" i="6"/>
  <c r="L578" i="6"/>
  <c r="L579" i="6"/>
  <c r="L580" i="6"/>
  <c r="L581" i="6"/>
  <c r="L582" i="6"/>
  <c r="L586" i="6"/>
  <c r="L587" i="6"/>
  <c r="L588" i="6"/>
  <c r="L589" i="6"/>
  <c r="L590" i="6"/>
  <c r="L591" i="6"/>
  <c r="L592" i="6"/>
  <c r="L594" i="6"/>
  <c r="L595" i="6"/>
  <c r="L596" i="6"/>
  <c r="L597" i="6"/>
  <c r="L598" i="6"/>
  <c r="L599" i="6"/>
  <c r="L600" i="6"/>
  <c r="L601" i="6"/>
  <c r="L602" i="6"/>
  <c r="L603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8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83" i="6"/>
  <c r="L684" i="6"/>
  <c r="L685" i="6"/>
  <c r="L686" i="6"/>
  <c r="L687" i="6"/>
  <c r="L690" i="6"/>
  <c r="L691" i="6"/>
  <c r="L692" i="6"/>
  <c r="L693" i="6"/>
  <c r="L694" i="6"/>
  <c r="L695" i="6"/>
  <c r="L696" i="6"/>
  <c r="L697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51" i="6"/>
  <c r="L752" i="6"/>
  <c r="L753" i="6"/>
  <c r="L754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72" i="6"/>
  <c r="L773" i="6"/>
  <c r="L774" i="6"/>
  <c r="L775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53" i="6"/>
  <c r="L854" i="6"/>
  <c r="L855" i="6"/>
  <c r="L856" i="6"/>
  <c r="L857" i="6"/>
  <c r="L858" i="6"/>
  <c r="L859" i="6"/>
  <c r="L872" i="6"/>
  <c r="L873" i="6"/>
  <c r="L874" i="6"/>
  <c r="L875" i="6"/>
  <c r="L876" i="6"/>
  <c r="L878" i="6"/>
  <c r="L893" i="6"/>
  <c r="L894" i="6"/>
  <c r="L898" i="6"/>
  <c r="L899" i="6"/>
  <c r="L900" i="6"/>
  <c r="L901" i="6"/>
  <c r="L902" i="6"/>
  <c r="L903" i="6"/>
  <c r="L904" i="6"/>
  <c r="L905" i="6"/>
  <c r="L906" i="6"/>
  <c r="L907" i="6"/>
  <c r="L921" i="6"/>
  <c r="L922" i="6"/>
  <c r="L941" i="6"/>
  <c r="L942" i="6"/>
  <c r="L943" i="6"/>
  <c r="L944" i="6"/>
  <c r="L945" i="6"/>
  <c r="L946" i="6"/>
  <c r="L947" i="6"/>
  <c r="L948" i="6"/>
  <c r="L949" i="6"/>
  <c r="L950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1022" i="6"/>
  <c r="L1023" i="6"/>
  <c r="L1024" i="6"/>
  <c r="L1025" i="6"/>
  <c r="L1026" i="6"/>
  <c r="L1092" i="6"/>
  <c r="L1105" i="6"/>
  <c r="L1106" i="6"/>
  <c r="L1107" i="6"/>
  <c r="L1108" i="6"/>
  <c r="L1109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40" i="6"/>
  <c r="L1141" i="6"/>
  <c r="L1142" i="6"/>
  <c r="L1143" i="6"/>
  <c r="L1144" i="6"/>
  <c r="L1145" i="6"/>
  <c r="L1155" i="6"/>
  <c r="L1156" i="6"/>
  <c r="L1157" i="6"/>
  <c r="L1158" i="6"/>
  <c r="L1159" i="6"/>
  <c r="L1160" i="6"/>
  <c r="L1161" i="6"/>
  <c r="L1162" i="6"/>
  <c r="L1163" i="6"/>
  <c r="L1164" i="6"/>
  <c r="L1166" i="6"/>
  <c r="L1169" i="6"/>
  <c r="L1171" i="6"/>
  <c r="L1172" i="6"/>
  <c r="L1173" i="6"/>
  <c r="L1175" i="6"/>
  <c r="L1176" i="6"/>
  <c r="L1177" i="6"/>
  <c r="L1178" i="6"/>
  <c r="L1179" i="6"/>
  <c r="L1180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L1201" i="6"/>
  <c r="L1202" i="6"/>
  <c r="L1203" i="6"/>
  <c r="L1204" i="6"/>
  <c r="L1205" i="6"/>
  <c r="L5" i="6"/>
  <c r="B397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41" i="6"/>
  <c r="B42" i="6"/>
  <c r="B43" i="6"/>
  <c r="B44" i="6"/>
  <c r="B45" i="6"/>
  <c r="B46" i="6"/>
  <c r="B47" i="6"/>
  <c r="B48" i="6"/>
  <c r="B49" i="6"/>
  <c r="B50" i="6"/>
  <c r="B51" i="6"/>
  <c r="B71" i="6"/>
  <c r="B72" i="6"/>
  <c r="B73" i="6"/>
  <c r="B74" i="6"/>
  <c r="B75" i="6"/>
  <c r="B76" i="6"/>
  <c r="B77" i="6"/>
  <c r="B78" i="6"/>
  <c r="B79" i="6"/>
  <c r="B80" i="6"/>
  <c r="B84" i="6"/>
  <c r="B85" i="6"/>
  <c r="B86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77" i="6"/>
  <c r="B178" i="6"/>
  <c r="B179" i="6"/>
  <c r="B180" i="6"/>
  <c r="B270" i="6"/>
  <c r="B271" i="6"/>
  <c r="B276" i="6"/>
  <c r="B277" i="6"/>
  <c r="B278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13" i="6"/>
  <c r="B327" i="6"/>
  <c r="B328" i="6"/>
  <c r="B329" i="6"/>
  <c r="B333" i="6"/>
  <c r="B334" i="6"/>
  <c r="B335" i="6"/>
  <c r="B336" i="6"/>
  <c r="B337" i="6"/>
  <c r="B338" i="6"/>
  <c r="B339" i="6"/>
  <c r="B340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7" i="6"/>
  <c r="B388" i="6"/>
  <c r="B389" i="6"/>
  <c r="B390" i="6"/>
  <c r="B391" i="6"/>
  <c r="B392" i="6"/>
  <c r="B396" i="6"/>
  <c r="B385" i="6"/>
  <c r="B386" i="6"/>
  <c r="B448" i="6"/>
  <c r="B449" i="6"/>
  <c r="B450" i="6"/>
  <c r="B451" i="6"/>
  <c r="B452" i="6"/>
  <c r="B453" i="6"/>
  <c r="B454" i="6"/>
  <c r="B455" i="6"/>
  <c r="B456" i="6"/>
  <c r="B457" i="6"/>
  <c r="B487" i="6"/>
  <c r="B488" i="6"/>
  <c r="B489" i="6"/>
  <c r="B490" i="6"/>
  <c r="B491" i="6"/>
  <c r="B492" i="6"/>
  <c r="B493" i="6"/>
  <c r="B494" i="6"/>
  <c r="B495" i="6"/>
  <c r="B496" i="6"/>
  <c r="B497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50" i="6"/>
  <c r="B551" i="6"/>
  <c r="B552" i="6"/>
  <c r="B553" i="6"/>
  <c r="B554" i="6"/>
  <c r="B555" i="6"/>
  <c r="B556" i="6"/>
  <c r="B557" i="6"/>
  <c r="B558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7" i="6"/>
  <c r="B578" i="6"/>
  <c r="B579" i="6"/>
  <c r="B580" i="6"/>
  <c r="B581" i="6"/>
  <c r="B582" i="6"/>
  <c r="B586" i="6"/>
  <c r="B587" i="6"/>
  <c r="B588" i="6"/>
  <c r="B589" i="6"/>
  <c r="B590" i="6"/>
  <c r="B591" i="6"/>
  <c r="B592" i="6"/>
  <c r="B594" i="6"/>
  <c r="B595" i="6"/>
  <c r="B596" i="6"/>
  <c r="B597" i="6"/>
  <c r="B598" i="6"/>
  <c r="B599" i="6"/>
  <c r="B600" i="6"/>
  <c r="B601" i="6"/>
  <c r="B602" i="6"/>
  <c r="B603" i="6"/>
  <c r="B604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8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4" i="6"/>
  <c r="B655" i="6"/>
  <c r="B656" i="6"/>
  <c r="B657" i="6"/>
  <c r="B658" i="6"/>
  <c r="B659" i="6"/>
  <c r="B660" i="6"/>
  <c r="B661" i="6"/>
  <c r="B664" i="6"/>
  <c r="B665" i="6"/>
  <c r="B666" i="6"/>
  <c r="B667" i="6"/>
  <c r="B668" i="6"/>
  <c r="B669" i="6"/>
  <c r="B683" i="6"/>
  <c r="B684" i="6"/>
  <c r="B685" i="6"/>
  <c r="B686" i="6"/>
  <c r="B687" i="6"/>
  <c r="B690" i="6"/>
  <c r="B691" i="6"/>
  <c r="B692" i="6"/>
  <c r="B693" i="6"/>
  <c r="B694" i="6"/>
  <c r="B697" i="6"/>
  <c r="B702" i="6"/>
  <c r="B703" i="6"/>
  <c r="B704" i="6"/>
  <c r="B705" i="6"/>
  <c r="B706" i="6"/>
  <c r="B711" i="6"/>
  <c r="B714" i="6"/>
  <c r="B715" i="6"/>
  <c r="B720" i="6"/>
  <c r="B721" i="6"/>
  <c r="B722" i="6"/>
  <c r="B723" i="6"/>
  <c r="B724" i="6"/>
  <c r="B725" i="6"/>
  <c r="B726" i="6"/>
  <c r="B727" i="6"/>
  <c r="B728" i="6"/>
  <c r="B729" i="6"/>
  <c r="B730" i="6"/>
  <c r="B745" i="6"/>
  <c r="B746" i="6"/>
  <c r="B751" i="6"/>
  <c r="B752" i="6"/>
  <c r="B753" i="6"/>
  <c r="B754" i="6"/>
  <c r="B766" i="6"/>
  <c r="B853" i="6"/>
  <c r="B854" i="6"/>
  <c r="B855" i="6"/>
  <c r="B856" i="6"/>
  <c r="B857" i="6"/>
  <c r="B858" i="6"/>
  <c r="B859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8" i="6"/>
  <c r="B899" i="6"/>
  <c r="B900" i="6"/>
  <c r="B901" i="6"/>
  <c r="B902" i="6"/>
  <c r="B903" i="6"/>
  <c r="B904" i="6"/>
  <c r="B905" i="6"/>
  <c r="B906" i="6"/>
  <c r="B907" i="6"/>
  <c r="B1022" i="6"/>
  <c r="B1023" i="6"/>
  <c r="B1024" i="6"/>
  <c r="B1025" i="6"/>
  <c r="B1026" i="6"/>
  <c r="B314" i="6"/>
  <c r="B315" i="6"/>
  <c r="B316" i="6"/>
  <c r="B317" i="6"/>
  <c r="B318" i="6"/>
  <c r="B921" i="6"/>
  <c r="B922" i="6"/>
  <c r="B941" i="6"/>
  <c r="B942" i="6"/>
  <c r="B37" i="6"/>
  <c r="B38" i="6"/>
  <c r="B620" i="6"/>
  <c r="B621" i="6"/>
  <c r="B653" i="6"/>
  <c r="B662" i="6"/>
  <c r="B663" i="6"/>
  <c r="B695" i="6"/>
  <c r="B747" i="6"/>
  <c r="B712" i="6"/>
  <c r="B670" i="6"/>
  <c r="B716" i="6"/>
  <c r="B671" i="6"/>
  <c r="B672" i="6"/>
  <c r="B673" i="6"/>
  <c r="B674" i="6"/>
  <c r="B718" i="6"/>
  <c r="B719" i="6"/>
  <c r="B757" i="6"/>
  <c r="B758" i="6"/>
  <c r="B696" i="6"/>
  <c r="B83" i="6"/>
  <c r="B82" i="6"/>
  <c r="B81" i="6"/>
  <c r="B717" i="6"/>
  <c r="B713" i="6"/>
  <c r="B1092" i="6"/>
  <c r="B1105" i="6"/>
  <c r="B1106" i="6"/>
  <c r="B1107" i="6"/>
  <c r="B1108" i="6"/>
  <c r="B1109" i="6"/>
  <c r="B1110" i="6"/>
  <c r="B1111" i="6"/>
  <c r="B1140" i="6"/>
  <c r="B1141" i="6"/>
  <c r="B1142" i="6"/>
  <c r="B1143" i="6"/>
  <c r="B1144" i="6"/>
  <c r="B1145" i="6"/>
  <c r="B709" i="6"/>
  <c r="B710" i="6"/>
  <c r="B707" i="6"/>
  <c r="B708" i="6"/>
  <c r="B772" i="6"/>
  <c r="B773" i="6"/>
  <c r="B774" i="6"/>
  <c r="B775" i="6"/>
  <c r="B675" i="6"/>
  <c r="B676" i="6"/>
  <c r="B60" i="6"/>
  <c r="B61" i="6"/>
  <c r="B62" i="6"/>
  <c r="B63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55" i="6"/>
  <c r="B1156" i="6"/>
  <c r="B1157" i="6"/>
  <c r="B1158" i="6"/>
  <c r="B1159" i="6"/>
  <c r="B1160" i="6"/>
  <c r="B1161" i="6"/>
  <c r="B1162" i="6"/>
  <c r="B1163" i="6"/>
  <c r="B1164" i="6"/>
  <c r="B1166" i="6"/>
  <c r="B1169" i="6"/>
  <c r="B268" i="6"/>
  <c r="B266" i="6"/>
  <c r="B460" i="6"/>
  <c r="B1171" i="6"/>
  <c r="B1172" i="6"/>
  <c r="B1173" i="6"/>
  <c r="B269" i="6"/>
  <c r="B267" i="6"/>
  <c r="B677" i="6"/>
  <c r="B678" i="6"/>
  <c r="B893" i="6"/>
  <c r="B894" i="6"/>
  <c r="B736" i="6"/>
  <c r="B36" i="6"/>
  <c r="B52" i="6"/>
  <c r="B737" i="6"/>
  <c r="B738" i="6"/>
  <c r="B739" i="6"/>
  <c r="B740" i="6"/>
  <c r="B741" i="6"/>
  <c r="B742" i="6"/>
  <c r="B743" i="6"/>
  <c r="B744" i="6"/>
  <c r="B759" i="6"/>
  <c r="B760" i="6"/>
  <c r="B761" i="6"/>
  <c r="B762" i="6"/>
  <c r="B763" i="6"/>
  <c r="B764" i="6"/>
  <c r="B765" i="6"/>
  <c r="B767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1175" i="6"/>
  <c r="B1176" i="6"/>
  <c r="B1177" i="6"/>
  <c r="B1178" i="6"/>
  <c r="B1179" i="6"/>
  <c r="B1180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68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5" i="6"/>
  <c r="H2" i="6" l="1"/>
  <c r="H393" i="6" l="1"/>
  <c r="B393" i="6" s="1"/>
  <c r="H394" i="6" l="1"/>
  <c r="B394" i="6" s="1"/>
  <c r="H943" i="6" l="1"/>
  <c r="B943" i="6" s="1"/>
  <c r="H944" i="6" l="1"/>
  <c r="B944" i="6" s="1"/>
  <c r="H945" i="6" l="1"/>
  <c r="B945" i="6" s="1"/>
  <c r="H946" i="6" l="1"/>
  <c r="B946" i="6" s="1"/>
  <c r="H947" i="6" l="1"/>
  <c r="B947" i="6" s="1"/>
  <c r="H948" i="6" l="1"/>
  <c r="B948" i="6" s="1"/>
  <c r="O4" i="6"/>
  <c r="O3" i="6"/>
  <c r="O2" i="6"/>
  <c r="N4" i="6"/>
  <c r="N3" i="6"/>
  <c r="N2" i="6"/>
  <c r="M4" i="6"/>
  <c r="M3" i="6"/>
  <c r="M2" i="6"/>
  <c r="L4" i="6"/>
  <c r="L3" i="6"/>
  <c r="L2" i="6"/>
  <c r="K4" i="6"/>
  <c r="K3" i="6"/>
  <c r="K2" i="6"/>
  <c r="J4" i="6"/>
  <c r="J3" i="6"/>
  <c r="J2" i="6"/>
  <c r="I4" i="6"/>
  <c r="I3" i="6"/>
  <c r="I2" i="6"/>
  <c r="H4" i="6"/>
  <c r="H3" i="6"/>
  <c r="B4" i="6"/>
  <c r="B3" i="6"/>
  <c r="B2" i="6"/>
  <c r="H949" i="6" l="1"/>
  <c r="B949" i="6" s="1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F6" i="7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F278" i="7" s="1"/>
  <c r="F279" i="7" s="1"/>
  <c r="F280" i="7" s="1"/>
  <c r="F281" i="7" s="1"/>
  <c r="F282" i="7" s="1"/>
  <c r="F283" i="7" s="1"/>
  <c r="F284" i="7" s="1"/>
  <c r="F285" i="7" s="1"/>
  <c r="F286" i="7" s="1"/>
  <c r="F287" i="7" s="1"/>
  <c r="F288" i="7" s="1"/>
  <c r="F289" i="7" s="1"/>
  <c r="F290" i="7" s="1"/>
  <c r="F291" i="7" s="1"/>
  <c r="F292" i="7" s="1"/>
  <c r="F293" i="7" s="1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B6" i="7"/>
  <c r="B5" i="7"/>
  <c r="H4" i="7"/>
  <c r="G4" i="7"/>
  <c r="F4" i="7"/>
  <c r="E4" i="7"/>
  <c r="D4" i="7"/>
  <c r="C4" i="7"/>
  <c r="B4" i="7"/>
  <c r="H3" i="7"/>
  <c r="G3" i="7"/>
  <c r="F3" i="7"/>
  <c r="E3" i="7"/>
  <c r="D3" i="7"/>
  <c r="C3" i="7"/>
  <c r="B3" i="7"/>
  <c r="H2" i="7"/>
  <c r="G2" i="7"/>
  <c r="F2" i="7"/>
  <c r="E2" i="7"/>
  <c r="D2" i="7"/>
  <c r="C2" i="7"/>
  <c r="B2" i="7"/>
  <c r="H950" i="6" l="1"/>
  <c r="B950" i="6" l="1"/>
  <c r="H951" i="6"/>
  <c r="B70" i="4"/>
  <c r="B951" i="6" l="1"/>
  <c r="H952" i="6"/>
  <c r="B952" i="6" s="1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134" i="4"/>
  <c r="B135" i="4"/>
  <c r="B136" i="4"/>
  <c r="B137" i="4"/>
  <c r="B218" i="4"/>
  <c r="B219" i="4"/>
  <c r="B64" i="4"/>
  <c r="B65" i="4"/>
  <c r="B66" i="4"/>
  <c r="B67" i="4"/>
  <c r="B68" i="4"/>
  <c r="B69" i="4"/>
  <c r="B181" i="4" l="1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20" i="4"/>
  <c r="B221" i="4"/>
  <c r="B222" i="4"/>
  <c r="B223" i="4"/>
  <c r="B224" i="4"/>
  <c r="B225" i="4"/>
  <c r="B226" i="4"/>
  <c r="B227" i="4"/>
  <c r="B228" i="4"/>
  <c r="B229" i="4"/>
  <c r="B179" i="4" l="1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73" i="4"/>
  <c r="B72" i="4"/>
  <c r="B71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180" i="4" l="1"/>
  <c r="H4" i="4"/>
  <c r="H3" i="4"/>
  <c r="H2" i="4"/>
  <c r="G4" i="4"/>
  <c r="G3" i="4"/>
  <c r="G2" i="4"/>
  <c r="F4" i="4"/>
  <c r="F3" i="4"/>
  <c r="F2" i="4"/>
  <c r="E4" i="4"/>
  <c r="E3" i="4"/>
  <c r="E2" i="4"/>
  <c r="D4" i="4"/>
  <c r="D3" i="4"/>
  <c r="D2" i="4"/>
  <c r="C4" i="4"/>
  <c r="C3" i="4"/>
  <c r="C2" i="4"/>
  <c r="B4" i="4"/>
  <c r="B3" i="4"/>
  <c r="B2" i="4"/>
</calcChain>
</file>

<file path=xl/sharedStrings.xml><?xml version="1.0" encoding="utf-8"?>
<sst xmlns="http://schemas.openxmlformats.org/spreadsheetml/2006/main" count="8368" uniqueCount="4372">
  <si>
    <t>필드명</t>
    <phoneticPr fontId="2" type="noConversion"/>
  </si>
  <si>
    <t>변수형</t>
    <phoneticPr fontId="2" type="noConversion"/>
  </si>
  <si>
    <t>설명1</t>
    <phoneticPr fontId="2" type="noConversion"/>
  </si>
  <si>
    <t>설명2</t>
    <phoneticPr fontId="2" type="noConversion"/>
  </si>
  <si>
    <t>기본값</t>
    <phoneticPr fontId="2" type="noConversion"/>
  </si>
  <si>
    <t>최대값</t>
    <phoneticPr fontId="2" type="noConversion"/>
  </si>
  <si>
    <t>#data[{}]</t>
  </si>
  <si>
    <t>언리얼 필수값</t>
    <phoneticPr fontId="2" type="noConversion"/>
  </si>
  <si>
    <t>언리얼 엔진 특수 값으로 유니크 아이디와 매칭하여 사용 함</t>
    <phoneticPr fontId="2" type="noConversion"/>
  </si>
  <si>
    <t>변수형</t>
    <phoneticPr fontId="2" type="noConversion"/>
  </si>
  <si>
    <t>템플릿 이름</t>
    <phoneticPr fontId="2" type="noConversion"/>
  </si>
  <si>
    <t>템플릿 설명</t>
    <phoneticPr fontId="2" type="noConversion"/>
  </si>
  <si>
    <t>연계 템플릿.필드</t>
    <phoneticPr fontId="2" type="noConversion"/>
  </si>
  <si>
    <t>Name</t>
    <phoneticPr fontId="2" type="noConversion"/>
  </si>
  <si>
    <t>필드 설명</t>
    <phoneticPr fontId="2" type="noConversion"/>
  </si>
  <si>
    <t>데이터 설정 시트가 [ 2 ]번째 일때 정상 작동 함</t>
    <phoneticPr fontId="2" type="noConversion"/>
  </si>
  <si>
    <t>int</t>
    <phoneticPr fontId="2" type="noConversion"/>
  </si>
  <si>
    <t>서버에서 보내는 에러메시지 처리를 위한 테이블</t>
    <phoneticPr fontId="2" type="noConversion"/>
  </si>
  <si>
    <t>ErrorId</t>
  </si>
  <si>
    <t>ErrorType</t>
    <phoneticPr fontId="2" type="noConversion"/>
  </si>
  <si>
    <t>LinkStringId</t>
    <phoneticPr fontId="2" type="noConversion"/>
  </si>
  <si>
    <t>!에러코더</t>
    <phoneticPr fontId="2" type="noConversion"/>
  </si>
  <si>
    <t>!에러설명</t>
    <phoneticPr fontId="2" type="noConversion"/>
  </si>
  <si>
    <t>text</t>
    <phoneticPr fontId="2" type="noConversion"/>
  </si>
  <si>
    <t>에러ID</t>
    <phoneticPr fontId="2" type="noConversion"/>
  </si>
  <si>
    <t>에러TYPE</t>
    <phoneticPr fontId="2" type="noConversion"/>
  </si>
  <si>
    <t>연결 스트링메시지ID</t>
    <phoneticPr fontId="2" type="noConversion"/>
  </si>
  <si>
    <t>기획참조</t>
    <phoneticPr fontId="2" type="noConversion"/>
  </si>
  <si>
    <t>서버에서 지정한 에러 ID</t>
  </si>
  <si>
    <t>표시 메시지를 스트링 메시지에서 링크하여 사용함.</t>
    <phoneticPr fontId="2" type="noConversion"/>
  </si>
  <si>
    <t>STRING_MESSAGE_StringId</t>
    <phoneticPr fontId="2" type="noConversion"/>
  </si>
  <si>
    <t>STRING_ERROR</t>
    <phoneticPr fontId="2" type="noConversion"/>
  </si>
  <si>
    <t>COMMON_SYSTEM</t>
  </si>
  <si>
    <t>COMMON_DB</t>
  </si>
  <si>
    <t>COMMON_DIFFERENT_UID</t>
  </si>
  <si>
    <t>COMMON_NOT_EXISTS_UID</t>
  </si>
  <si>
    <t>COMMON_NOT_EXISTS_CHARACTER</t>
  </si>
  <si>
    <t>COMMON_SMALL_COST_VALUE</t>
  </si>
  <si>
    <t>COMMON_DUPLICATE_UID</t>
  </si>
  <si>
    <t>ACHIEVEMENT_NOT_CLEAR</t>
  </si>
  <si>
    <t>ACHIEVEMENT_NOT_BEFORE_REWARD</t>
  </si>
  <si>
    <t>ACHIEVEMENT_ALREADY_REWARD</t>
  </si>
  <si>
    <t>ACHIEVEMENT_SMALL_ENERGY_POINT</t>
  </si>
  <si>
    <t>AWAKEN_MAX_GRADE</t>
  </si>
  <si>
    <t>AWAKEN_NOT_COMPLATE_CONDITION</t>
  </si>
  <si>
    <t>CASTING_NOT_HAVE_QUEST</t>
  </si>
  <si>
    <t>CASTING_OVER_DISTANCE</t>
  </si>
  <si>
    <t>CASTING_DELETED_OBJECT</t>
  </si>
  <si>
    <t>CASTING_NOT_EXIST_OBJECT</t>
  </si>
  <si>
    <t>CASTING_ALREADY_CASTING</t>
  </si>
  <si>
    <t>CASTING_NOT_ENOUGH_LEVEL</t>
  </si>
  <si>
    <t>CASTING_NOT_ENOUGH_AIRWALK_LEVEL</t>
  </si>
  <si>
    <t>CASTING_UNKNOWN_ERROR</t>
  </si>
  <si>
    <t>CASTING_UNABLE_ACTION_STATE</t>
  </si>
  <si>
    <t>COSTUME_NOT_COSTUME</t>
  </si>
  <si>
    <t>COSTUME_EXISTS_COSTUME</t>
  </si>
  <si>
    <t>COSTUME_NOT_COMPLATE_CONDITION</t>
  </si>
  <si>
    <t>EQUIPSLOT_NOT_CALSS</t>
  </si>
  <si>
    <t>EQUIPSLOT_NOT_OPEN_LEVEL</t>
  </si>
  <si>
    <t>EQUIPSLOT_NOT_REQ_LEVEL</t>
  </si>
  <si>
    <t>EQUIPSLOT_MAX_MASTERY_COUNT</t>
  </si>
  <si>
    <t>EQUIPSLOT_NOT_MATERIAL</t>
  </si>
  <si>
    <t>EQUIPSLOT_MATERIAL_SMALL_VALUE</t>
  </si>
  <si>
    <t>EQUIPSLOT_NOT_JEWEL_ITEM</t>
  </si>
  <si>
    <t>EQUIPSLOT_NOT_COLOR</t>
  </si>
  <si>
    <t>EQUIPSLOT_EXISTS_JEWEL</t>
  </si>
  <si>
    <t>ITEM_NOT_BREAK</t>
  </si>
  <si>
    <t>ITEM_OVNER_MAX_COUNT</t>
  </si>
  <si>
    <t>ITEM_SMALL_COST_VALUE</t>
  </si>
  <si>
    <t>ITEM_NOT_EXISTS_REINFORCE_ITEM</t>
  </si>
  <si>
    <t>ITEM_NOT_USE_REINFORCE_ITEM</t>
  </si>
  <si>
    <t>ITEM_NOT_USE_MATERIAL_ITEM</t>
  </si>
  <si>
    <t>ITEM_MAX_LEVEL</t>
  </si>
  <si>
    <t>ITEM_MATCH_MAINTYPE</t>
  </si>
  <si>
    <t>ITEM_NOT_EXISTS_SMELTING_ITEM</t>
  </si>
  <si>
    <t>ITEM_NOT_SMELTING</t>
  </si>
  <si>
    <t>ITEM_NOT_EXISTS_MATERIAL_ITEM</t>
  </si>
  <si>
    <t>ITEM_NOT_EXISTS_SELECT_MATERIAL_ITEM</t>
  </si>
  <si>
    <t>ITEM_NOT_EXISTS_ADD_MATERIAL_ITEM</t>
  </si>
  <si>
    <t>ITEM_SMALL_MATERIAL_COUNT</t>
  </si>
  <si>
    <t>ITEM_NOT_SMELTING_MATERIAL</t>
  </si>
  <si>
    <t>ITEM_NOT_UPGRADE_ITEM</t>
  </si>
  <si>
    <t>ITEM_NOT_USE_UPGRADE</t>
  </si>
  <si>
    <t>ITEM_MAX_GRADE</t>
  </si>
  <si>
    <t>ITEM_NOT_MATERIAL_ITEM</t>
  </si>
  <si>
    <t>ITEM_NOT_USE_MATERIAL</t>
  </si>
  <si>
    <t>ITEM_DIFF_GRADE</t>
  </si>
  <si>
    <t>ITEM_DIFF_MAINTYPE</t>
  </si>
  <si>
    <t>ITEM_NOT_MAX_REINFORCELEVEL</t>
  </si>
  <si>
    <t>LOGIN_DIFFERENT_SDK</t>
  </si>
  <si>
    <t>LOGIN_DIFFERENT_USERID</t>
  </si>
  <si>
    <t>LOGIN_DUPLICATED</t>
  </si>
  <si>
    <t>LOGIN_EXITS_CALSS</t>
  </si>
  <si>
    <t>LOGIN_EXITS_NICK</t>
  </si>
  <si>
    <t>MEDITATION_SUCCESS</t>
  </si>
  <si>
    <t>MEDITATION_BATTLE_STATE</t>
  </si>
  <si>
    <t>MEDITATION_ALREADY_CASTING</t>
  </si>
  <si>
    <t>MEDITATION_ALREADY_MEDITATION</t>
  </si>
  <si>
    <t>MEDITATION_UNABLE_ACTION_STATE</t>
  </si>
  <si>
    <t>MEDITATION_FULLUP_ENERGY_POINT</t>
  </si>
  <si>
    <t>MEDITATION_UNUSABLE_STAGE</t>
  </si>
  <si>
    <t>MINION_EXIST_MINION</t>
  </si>
  <si>
    <t>PARTY_ALREADY_IN_PARTY</t>
  </si>
  <si>
    <t>PARTY_NOT_PARTY_LEADER</t>
  </si>
  <si>
    <t>PARTY_SYSTEM_ERROR</t>
  </si>
  <si>
    <t>PARTY_NOT_IN_PARTY</t>
  </si>
  <si>
    <t>PARTY_NOT_ENOUGH_MEMBER_SLOT</t>
  </si>
  <si>
    <t>PARTY_REFUSE_INVITE</t>
  </si>
  <si>
    <t>PARTY_PARTY_INFO_NOT_MATCH</t>
  </si>
  <si>
    <t>PARTY_KICK_MYSELF</t>
  </si>
  <si>
    <t>PARTY_INVITE_MYSELF</t>
  </si>
  <si>
    <t>PARTY_NOT_FIND_USER</t>
  </si>
  <si>
    <t>PARTY_ALREADY_START_VOTE</t>
  </si>
  <si>
    <t>PARTY_VOTE_ENDED</t>
  </si>
  <si>
    <t>PARTY_ALREADY_VOTED</t>
  </si>
  <si>
    <t>PARTY_UNABLE_STATE</t>
  </si>
  <si>
    <t>PARTY_NO_INVITE_STAGE</t>
  </si>
  <si>
    <t>PARTY_RECOMMEND_LIST_REFRESH_TIME</t>
  </si>
  <si>
    <t>PARTY_CHANGE_TO_SAME_OPTION</t>
  </si>
  <si>
    <t>PARTY_RECOMMEND_LIST_EMPTY</t>
  </si>
  <si>
    <t>PULSE_NOT_OPEN_PULSE</t>
  </si>
  <si>
    <t>PULSE_SHORTAGE_LEVEL</t>
  </si>
  <si>
    <t>PULSE_SHORTAGE_COST</t>
  </si>
  <si>
    <t>PULSE_NOT_OPEN_PULSE_BLOOD</t>
  </si>
  <si>
    <t>PULSE_ALREADY_PULSE_BLOOD</t>
  </si>
  <si>
    <t>PULSE_SMALL_ENERGY_POINT</t>
  </si>
  <si>
    <t>PULSE_NOT_EXIST_BLOODITEMSSTAT</t>
  </si>
  <si>
    <t>PULSE_NOT_OPEN_PRECEDENT_PULSE</t>
  </si>
  <si>
    <t>PULSE_MAX_GRADE</t>
  </si>
  <si>
    <t>QUESTDAILY_SMALL_FREE_RENEW_COUNT</t>
  </si>
  <si>
    <t>QUESTDAILY_NOT_SLOT</t>
  </si>
  <si>
    <t>QUESTDAILY_NOT_RENEW</t>
  </si>
  <si>
    <t>QUESTDAILY_ALL_CLEAR</t>
  </si>
  <si>
    <t>QUESTDAILY_NOT_ACCEPT</t>
  </si>
  <si>
    <t>QUESTDAILY_NOT_CLEAR</t>
  </si>
  <si>
    <t>QUESTDAILY_ALREADY_CLEAR</t>
  </si>
  <si>
    <t>QUESTDAILY_NOT_REWARD</t>
  </si>
  <si>
    <t>QUESTDAILY_NOT_REWARD_RENEW</t>
  </si>
  <si>
    <t>QUESTDAILY_NOT_PLUS_REWARD</t>
  </si>
  <si>
    <t>QUESTWEEKLY_NOT_RENEW_COUNT</t>
  </si>
  <si>
    <t>QUESTWEEKLY_NOT_SLOT</t>
  </si>
  <si>
    <t>QUESTWEEKLY_NOT_RENEW</t>
  </si>
  <si>
    <t>QUESTWEEKLY_ALL_CLEAR</t>
  </si>
  <si>
    <t>QUESTWEEKLY_NOT_ACCEPT</t>
  </si>
  <si>
    <t>QUESTWEEKLY_NOT_CLEAR</t>
  </si>
  <si>
    <t>QUESTWEEKLY_ALREADY_CLEAR</t>
  </si>
  <si>
    <t>QUESTWEEKLY_NOT_REWARD</t>
  </si>
  <si>
    <t>QUESTWEEKLY_NOT_REWARD_RENEW</t>
  </si>
  <si>
    <t>QUESTWEEKLY_NOT_DAY_REWARD</t>
  </si>
  <si>
    <t>QUESTWEEKLY_NOT_ACHIEVE_REWARD</t>
  </si>
  <si>
    <t>SKILL_NOT_EXIST_SKILL</t>
  </si>
  <si>
    <t>SKILL_COOLTIME</t>
  </si>
  <si>
    <t>SKILL_NOT_SKILLITEM</t>
  </si>
  <si>
    <t>SKILL_SMALL_SKILLITEM</t>
  </si>
  <si>
    <t>SKILL_NOT_CLASS</t>
  </si>
  <si>
    <t>SKILL_SMALL_LEVEL</t>
  </si>
  <si>
    <t>SKILL_ALREADY_LEARN</t>
  </si>
  <si>
    <t>SKILL_NOT_LEARN</t>
  </si>
  <si>
    <t>SKILL_NOT_UP_MYLEVEL</t>
  </si>
  <si>
    <t>SKILL_SMALL_COST</t>
  </si>
  <si>
    <t>SKILL_MAX_LEVEL</t>
  </si>
  <si>
    <t>SKILL_SMALL_EXP</t>
  </si>
  <si>
    <t>VEHICLE_NOT_VEHICLE</t>
  </si>
  <si>
    <t>VEHICLE_EXISTS_VEHICLE</t>
  </si>
  <si>
    <t>VEHICLE_NOT_COMPLATE_CONDITION</t>
  </si>
  <si>
    <t>VEHICLE_NOT_EXISTS_VEHICLE</t>
  </si>
  <si>
    <t>VEHICLE_MAX_REINFORCE_LEVEL</t>
  </si>
  <si>
    <t>VEHICLE_SMALL_MATERIAL_ITEM</t>
  </si>
  <si>
    <t>VEHICLE_NOT_MAX_REINFORCE_LEVEL</t>
  </si>
  <si>
    <t>VEHICLE_MAX_GRADE</t>
  </si>
  <si>
    <t>WARP_NONE</t>
  </si>
  <si>
    <t>WARP_NOT_ENOUGH_LEVEL</t>
  </si>
  <si>
    <t>WARP_NOT_DOING_QUEST</t>
  </si>
  <si>
    <t>WARP_NOT_COMPLETE_QUEST</t>
  </si>
  <si>
    <t>WARP_NOT_COMPLETE_ACHIEVEMENT</t>
  </si>
  <si>
    <t>WARP_SYSTEM_ERROR</t>
  </si>
  <si>
    <t>ZONE_NOT_PARTY_LEADER</t>
  </si>
  <si>
    <t>ZONE_NOT_CHANNEL_ZONE</t>
  </si>
  <si>
    <t>ZONE_REMOVE_ZONE</t>
  </si>
  <si>
    <t>ZONE_MOVE_TO_SAME_CHANNEL</t>
  </si>
  <si>
    <t>ZONE_SYSTEM_ERROR</t>
  </si>
  <si>
    <t>ErrorType</t>
    <phoneticPr fontId="2" type="noConversion"/>
  </si>
  <si>
    <t>ErrorTypeEnum</t>
    <phoneticPr fontId="2" type="noConversion"/>
  </si>
  <si>
    <t>출력 안함</t>
    <phoneticPr fontId="2" type="noConversion"/>
  </si>
  <si>
    <t>경고 (Warning)</t>
  </si>
  <si>
    <t>경고 (Warning)</t>
    <phoneticPr fontId="2" type="noConversion"/>
  </si>
  <si>
    <t>스크린 메시지</t>
  </si>
  <si>
    <t>스크린 메시지</t>
    <phoneticPr fontId="2" type="noConversion"/>
  </si>
  <si>
    <t>팝업 메시지 (원버튼)</t>
  </si>
  <si>
    <t>팝업 메시지 (원버튼)</t>
    <phoneticPr fontId="2" type="noConversion"/>
  </si>
  <si>
    <t>팝업 메시지 (출력 후 종료)</t>
  </si>
  <si>
    <t>팝업 메시지 (출력 후 종료)</t>
    <phoneticPr fontId="2" type="noConversion"/>
  </si>
  <si>
    <t>!ErrorType</t>
    <phoneticPr fontId="2" type="noConversion"/>
  </si>
  <si>
    <t>string</t>
    <phoneticPr fontId="2" type="noConversion"/>
  </si>
  <si>
    <t>기획 참고용</t>
    <phoneticPr fontId="2" type="noConversion"/>
  </si>
  <si>
    <t>설명</t>
    <phoneticPr fontId="2" type="noConversion"/>
  </si>
  <si>
    <t>상단에 나왔다가 자동으로 사라짐 (3줄짜리 빨간글씨)</t>
    <phoneticPr fontId="2" type="noConversion"/>
  </si>
  <si>
    <t>중앙에 나옴.  자동으로 사라짐.  아웃게임 위주</t>
    <phoneticPr fontId="2" type="noConversion"/>
  </si>
  <si>
    <t>팝업</t>
    <phoneticPr fontId="2" type="noConversion"/>
  </si>
  <si>
    <t>팝업 (확인 버튼 누르면 클라 종료)</t>
    <phoneticPr fontId="2" type="noConversion"/>
  </si>
  <si>
    <t>시스템 오류</t>
  </si>
  <si>
    <t>존재하지 않는 UID</t>
  </si>
  <si>
    <t>재화 부족 .</t>
  </si>
  <si>
    <t>클리어 되지 않음</t>
  </si>
  <si>
    <t>이전 업적이 완료되지 않음</t>
  </si>
  <si>
    <t>이미 완료된 업적</t>
  </si>
  <si>
    <t>진기 포인트 부족</t>
  </si>
  <si>
    <t>max 각성</t>
  </si>
  <si>
    <t>조건이 완요되지 않음</t>
  </si>
  <si>
    <t>퀘스트를 가지고 있지 않음</t>
  </si>
  <si>
    <t>거리가 멈</t>
  </si>
  <si>
    <t>이미 삭제된 오브젝트</t>
  </si>
  <si>
    <t>존재 하지 않는 오브젝트</t>
  </si>
  <si>
    <t>이미 캐스팅중임</t>
  </si>
  <si>
    <t>레벨이 부족함</t>
  </si>
  <si>
    <t>경공 레벨이 부족함</t>
  </si>
  <si>
    <t>캐스팅이 불가능한 상태</t>
  </si>
  <si>
    <t>코스튬이 없다</t>
  </si>
  <si>
    <t>존재하는 코스튬</t>
  </si>
  <si>
    <t>조건을 완료하지 못함</t>
  </si>
  <si>
    <t>클래스가 아님</t>
  </si>
  <si>
    <t>오픈 레벨이 되지 않음</t>
  </si>
  <si>
    <t>레벨이 되지 않음</t>
  </si>
  <si>
    <t>최고레벨 각성</t>
  </si>
  <si>
    <t>재료가 없음</t>
  </si>
  <si>
    <t>재료가 부족함</t>
  </si>
  <si>
    <t>보석 아이템이 아님</t>
  </si>
  <si>
    <t>컬러가 틀림</t>
  </si>
  <si>
    <t>보석이 존재함</t>
  </si>
  <si>
    <t>분해할 아이템이 없음</t>
  </si>
  <si>
    <t>인벤 max 갯수 초과</t>
  </si>
  <si>
    <t>재화 부족</t>
  </si>
  <si>
    <t>강화 아이템이 존재하지 않음</t>
  </si>
  <si>
    <t>강화할수 없는 아이템</t>
  </si>
  <si>
    <t>강화 재료 사용불가 아이템</t>
  </si>
  <si>
    <t>강화 맥스레벨</t>
  </si>
  <si>
    <t>제련할 아이템이 없음</t>
  </si>
  <si>
    <t>제련할수 없는 아이템</t>
  </si>
  <si>
    <t>재료아이템이 존재 하지 않음</t>
  </si>
  <si>
    <t>선택 재료 아이템이 존재하지 않음</t>
  </si>
  <si>
    <t>추가 재료 아이템이 존재하지 않음</t>
  </si>
  <si>
    <t>재료 아이템 갯수 부족</t>
  </si>
  <si>
    <t>제련 재료로 사용할수 없음</t>
  </si>
  <si>
    <t>업그레이드할 아이템이 없음</t>
  </si>
  <si>
    <t>업그레이드할수 없는 아이템</t>
  </si>
  <si>
    <t>최고 등급임</t>
  </si>
  <si>
    <t>재료 아이템이 없음</t>
  </si>
  <si>
    <t>재료로 사용할수 없는 아이템임</t>
  </si>
  <si>
    <t>등급이 서로 다름</t>
  </si>
  <si>
    <t>메인타입이 서로 다름</t>
  </si>
  <si>
    <t>강화레벨이 맥스가 아님</t>
  </si>
  <si>
    <t>다른 sdk 이다</t>
  </si>
  <si>
    <t>다른 계정 id 다</t>
  </si>
  <si>
    <t>중복계정이다</t>
  </si>
  <si>
    <t>이미 파티중</t>
  </si>
  <si>
    <t>파티장이 아닙니다.</t>
  </si>
  <si>
    <t>파티 시스템 에러</t>
  </si>
  <si>
    <t>파티중이 아님</t>
  </si>
  <si>
    <t>파티원 슬롯이 부족함</t>
  </si>
  <si>
    <t>파티 초대 거절</t>
  </si>
  <si>
    <t>파티 정보가 맞지 않음</t>
  </si>
  <si>
    <t>자신을 탈퇴 시킴</t>
  </si>
  <si>
    <t>자신을 초대함</t>
  </si>
  <si>
    <t>유저를 찾을수 없음</t>
  </si>
  <si>
    <t>이미 파티 투표중임</t>
  </si>
  <si>
    <t>투표상태가 아님</t>
  </si>
  <si>
    <t>이미 투표를 한 멤버</t>
  </si>
  <si>
    <t>파티가 불가능한 상태</t>
  </si>
  <si>
    <t>초대를 할수 없는 지역</t>
  </si>
  <si>
    <t>추천 파티원 목록 리프레시 타임</t>
  </si>
  <si>
    <t>같은 옵션으로 변경 요청</t>
  </si>
  <si>
    <t>추천 목록이 비어있음</t>
  </si>
  <si>
    <t>열리지 않은 경맥</t>
  </si>
  <si>
    <t>레벨 부족</t>
  </si>
  <si>
    <t>비용 부족</t>
  </si>
  <si>
    <t>열리지 않은 혈맥</t>
  </si>
  <si>
    <t>이미 열린 혈맥</t>
  </si>
  <si>
    <t>진기 부족</t>
  </si>
  <si>
    <t>혈맥 스탯이 없다</t>
  </si>
  <si>
    <t>선행 경맥이 열리지 않음</t>
  </si>
  <si>
    <t>최대 등급</t>
  </si>
  <si>
    <t>무료 갱신수가 모자라다</t>
  </si>
  <si>
    <t>잘못된 슬롯이다</t>
  </si>
  <si>
    <t>갱신할수 없다</t>
  </si>
  <si>
    <t>모두 클리어함</t>
  </si>
  <si>
    <t>받을수가 없다</t>
  </si>
  <si>
    <t>이미 클리어됨</t>
  </si>
  <si>
    <t>보상이 없음</t>
  </si>
  <si>
    <t>보상 갱신이 안됨</t>
  </si>
  <si>
    <t>추가 보상이 없음</t>
  </si>
  <si>
    <t>갱신 카운트가 없음</t>
  </si>
  <si>
    <t>잘못된 슬롯</t>
  </si>
  <si>
    <t>갱신할수 없음</t>
  </si>
  <si>
    <t>모구 클리어됨</t>
  </si>
  <si>
    <t>받을수가 없음</t>
  </si>
  <si>
    <t>일 보상이 없음</t>
  </si>
  <si>
    <t>업적 보상이 없음</t>
  </si>
  <si>
    <t>존재하지 않는 스킬</t>
  </si>
  <si>
    <t>쿨타임</t>
  </si>
  <si>
    <t>스킬아이템이 없음</t>
  </si>
  <si>
    <t>스킬아이템 갯수 부족</t>
  </si>
  <si>
    <t>클래스가 맞지 않음</t>
  </si>
  <si>
    <t>레벨이 안됨</t>
  </si>
  <si>
    <t>이미 습득함</t>
  </si>
  <si>
    <t>배우지 않은 스킬</t>
  </si>
  <si>
    <t>내레벨 이상 못 올림</t>
  </si>
  <si>
    <t>최대 레벨임</t>
  </si>
  <si>
    <t>경험치가 부족함</t>
  </si>
  <si>
    <t>탈것이 없음</t>
  </si>
  <si>
    <t>이미 존재하는 탈것</t>
  </si>
  <si>
    <t>존재하지 않는 탈것</t>
  </si>
  <si>
    <t>최대 레벨 탈것</t>
  </si>
  <si>
    <t>재료 아이템 갯수 보족</t>
  </si>
  <si>
    <t>최대 레벨 탈것이 아님</t>
  </si>
  <si>
    <t>최대 등급 탈것임</t>
  </si>
  <si>
    <t>워프 문제 없음</t>
  </si>
  <si>
    <t>퀘스트 진행중이 아님</t>
  </si>
  <si>
    <t>퀘스트를 완료 하지 않았음</t>
  </si>
  <si>
    <t>업적을 완료 하지 않았음</t>
  </si>
  <si>
    <t>워프 시스템 에러</t>
  </si>
  <si>
    <t>파티장이 아님</t>
  </si>
  <si>
    <t>채널 존이 아님</t>
  </si>
  <si>
    <t>삭제된 존</t>
  </si>
  <si>
    <t>같은 채널로 이동 요청</t>
  </si>
  <si>
    <t>시스템 에러</t>
  </si>
  <si>
    <t>DB_NOT_DATA</t>
  </si>
  <si>
    <t>DB_DUPLICATE_DATA</t>
  </si>
  <si>
    <t>DB_NOT_INPUT</t>
  </si>
  <si>
    <t>DB_WRONG_INCREASE_DECREASE_VALUE</t>
  </si>
  <si>
    <t>DB_NOT_CHANGE_DATA</t>
  </si>
  <si>
    <t>DB_UNDEFINED_VALUE</t>
  </si>
  <si>
    <t>DB_DEADLOCK</t>
  </si>
  <si>
    <t>DB_DIFFERENT_SERVER_DATA</t>
  </si>
  <si>
    <t>DB_NOT_EXISTS_ACCOUNT</t>
  </si>
  <si>
    <t>DB_NOT_EXISTS_CJARACTER</t>
  </si>
  <si>
    <t>DB_ALREADY_EXISTS_JOB</t>
  </si>
  <si>
    <t>DB_ALREADY_EXISTS_NICKNAME</t>
  </si>
  <si>
    <t>DB_UNDEFINED_COST_TYPE</t>
  </si>
  <si>
    <t>DB_CAUGHT_SHORT_COST</t>
  </si>
  <si>
    <t>DB_NOT_EXISTS_ITEM</t>
  </si>
  <si>
    <t>DB_ALREADY_EXISTS_ITEM</t>
  </si>
  <si>
    <t>DB_CAUGHT_SHORT_ITEM_STACK_COUNT</t>
  </si>
  <si>
    <t>DB_NOT_MY_ITEM</t>
  </si>
  <si>
    <t>DB_NOT_STACK_ITEM</t>
  </si>
  <si>
    <t>DB_MY_ITEM</t>
  </si>
  <si>
    <t>DB_NOT_EXISTS_COSTUME</t>
  </si>
  <si>
    <t>DB_ALREADY_EXITST_COSTUME</t>
  </si>
  <si>
    <t>DB_NOT_EXISTS_QUEST</t>
  </si>
  <si>
    <t>DB_ALREADY_EXISTS_QUEST</t>
  </si>
  <si>
    <t>DB_NOT_COMPLATE_QUEST</t>
  </si>
  <si>
    <t>DB_RECIVE_QUEST_REWARD</t>
  </si>
  <si>
    <t>DB_NOT_EXISTS_ACHIEVEMENT</t>
  </si>
  <si>
    <t>DB_ALREADY_EXISTS_ACHIEVEMENT</t>
  </si>
  <si>
    <t>DB_NOT_RECIVE_ACHIEVEMENT_REWARD</t>
  </si>
  <si>
    <t>DB_ALREADY_EXISTS_SKILL</t>
  </si>
  <si>
    <t>DB_ALREADY_EXISTS_VEHICLE</t>
  </si>
  <si>
    <t>COMMON_WRONG_INPUT_DATA</t>
  </si>
  <si>
    <t>COMMON_NOT_RESOURCE</t>
  </si>
  <si>
    <t>COMMON_NOT_TABLE</t>
  </si>
  <si>
    <t>CASTING_NOT_ENOUGH_COST</t>
  </si>
  <si>
    <t>CASTING_NOT_AVAILABLE_WAY_POINT</t>
  </si>
  <si>
    <t>CASTING_CANNOT_WARP_DIRECT_SAME_STAGE</t>
  </si>
  <si>
    <t>ITEM_NOT_GRADE</t>
  </si>
  <si>
    <t>MAIL_EXISTS_GIFT</t>
  </si>
  <si>
    <t>PULSE_ALREADY_EXIST_PULSE</t>
  </si>
  <si>
    <t>SKILL_NEXT_ATTACK_LINK</t>
  </si>
  <si>
    <t>SKILL_SHORTAGE_MANA</t>
  </si>
  <si>
    <t>WARP_NOT_ENOUGH_COST</t>
  </si>
  <si>
    <t>WARP_NOT_AVAILABLE_WAYPOINT</t>
  </si>
  <si>
    <t>WARP_CANNOT_WARP_SAME_STAGE</t>
  </si>
  <si>
    <t>ZONE_FULL_USER_CHANNEL</t>
  </si>
  <si>
    <t>MAP_WAYPOINT_NOT_EXIST_TABLE_MAP_WAYPOINT</t>
  </si>
  <si>
    <t>MAP_WAYPOINT_NOT_CURRENT_STAGE</t>
  </si>
  <si>
    <t>MAP_WAYPOINT_ADD_FAILURE</t>
  </si>
  <si>
    <t>MAP_NOT_WAYPOINT_TYPE</t>
  </si>
  <si>
    <t>DB 오류</t>
  </si>
  <si>
    <t>UID 가 맞지 않음</t>
  </si>
  <si>
    <t>존재하지 않는 캐릭터</t>
  </si>
  <si>
    <t>중복 접속 UID</t>
  </si>
  <si>
    <t>클리어 되지 않은 업적</t>
  </si>
  <si>
    <t>메인타입이 맞지 않음</t>
  </si>
  <si>
    <t>이미 존재하는 캐릭터</t>
  </si>
  <si>
    <t>이미 존재하는 닉네임</t>
  </si>
  <si>
    <t>실패아님</t>
  </si>
  <si>
    <t>전투중</t>
  </si>
  <si>
    <t>다른 캐스팅중</t>
  </si>
  <si>
    <t>이미 운기조식중</t>
  </si>
  <si>
    <t>실행 불가능한 Action State</t>
  </si>
  <si>
    <t>진기가 가득찼다</t>
  </si>
  <si>
    <t>쓸수없는 Stage</t>
  </si>
  <si>
    <t>존재하지 않는 소환수(신수)</t>
  </si>
  <si>
    <t>DB NOT DATA</t>
  </si>
  <si>
    <t>DB 중복 데이터</t>
  </si>
  <si>
    <t>DB NOT INPUT</t>
  </si>
  <si>
    <t>DB 오 류 증가 값 증가</t>
  </si>
  <si>
    <t>DB 변경하지 않음</t>
  </si>
  <si>
    <t>DB 미정의 값</t>
  </si>
  <si>
    <t>DB DEADLOCK</t>
  </si>
  <si>
    <t>DB 다른 서버 데이터</t>
  </si>
  <si>
    <t>DB가 존재하지 않음</t>
  </si>
  <si>
    <t>DB가 존재하지 않습니다. CJARACTER</t>
  </si>
  <si>
    <t>DB가 이미 존재 함</t>
  </si>
  <si>
    <t>DB가 이미 존재하는 NICKNAME</t>
  </si>
  <si>
    <t>DB가 정의하지 않은 비용 유형</t>
  </si>
  <si>
    <t>DB 경감 비용</t>
  </si>
  <si>
    <t>DB CAUGHT SHORT ITEM STACK COUNT</t>
  </si>
  <si>
    <t>DB NOT MY ITEM</t>
  </si>
  <si>
    <t>DB를 묶지 않는 DB</t>
  </si>
  <si>
    <t>DB 내 물건</t>
  </si>
  <si>
    <t>DB는 존재하지 않는다.</t>
  </si>
  <si>
    <t>DB가 이미 존재하는 코스튬</t>
  </si>
  <si>
    <t>DB에 퀘스트가 존재하지 않음</t>
  </si>
  <si>
    <t>DB가 QUEST에 불평하지 않음</t>
  </si>
  <si>
    <t>DB RECIVE QUEST REWARD</t>
  </si>
  <si>
    <t>DB가 존재하지 않는다</t>
  </si>
  <si>
    <t>이미 존재하는 DB가 존재 함</t>
  </si>
  <si>
    <t>DB는 성과 보상을받지 못한다.</t>
  </si>
  <si>
    <t>DB가 이미 존재합니다</t>
  </si>
  <si>
    <t>일반적인 잘못된 입력 데이터</t>
  </si>
  <si>
    <t>공동이 아닌 자원</t>
  </si>
  <si>
    <t>공용 테이블</t>
  </si>
  <si>
    <t>충분한 원가 계산 불가</t>
  </si>
  <si>
    <t>사용할 수없는 캐스팅 방법</t>
  </si>
  <si>
    <t>주물 직접적으로 동일한 단계를 경고 할 수 없습니다</t>
  </si>
  <si>
    <t>ITEM NOT GRADE</t>
  </si>
  <si>
    <t>우편물은 존재한다</t>
  </si>
  <si>
    <t>펄스 이미 존재 펄스</t>
  </si>
  <si>
    <t>스킬 다음 공격 링크</t>
  </si>
  <si>
    <t>경비가 들지 않는 전쟁</t>
  </si>
  <si>
    <t>WARP NOT AVAILABLE WAYPOINT</t>
  </si>
  <si>
    <t>WARP는 동일한 단계를 경고 할 수 없습니다.</t>
  </si>
  <si>
    <t>전체 사용자 채널 존</t>
  </si>
  <si>
    <t>MAP WAYPOINT NOT 존재 테이블 맵 WAYPOINT</t>
  </si>
  <si>
    <t>지도 구간은 현재 단계가 아님</t>
  </si>
  <si>
    <t>지도 길 찾기 추가 실패</t>
  </si>
  <si>
    <t>지도 형식 안함</t>
  </si>
  <si>
    <t>SKILL SHORTAGE MANA</t>
    <phoneticPr fontId="2" type="noConversion"/>
  </si>
  <si>
    <t>출력 안함</t>
  </si>
  <si>
    <t>uint32_t</t>
  </si>
  <si>
    <t>CASTING_ENEMY_IN_RANGE</t>
  </si>
  <si>
    <t>CASTING_NOT_ENTER_GUILD</t>
  </si>
  <si>
    <t>CASTING_NOT_OCCUPATION_BATTLE_STAGE</t>
  </si>
  <si>
    <t>CASTING_NOT_OCCUPATION_GUILD_MEMBER</t>
  </si>
  <si>
    <t>CASTING_OCCUPATION_FAIL</t>
  </si>
  <si>
    <t>CASTING_NOT_OTHER_MEMBER</t>
  </si>
  <si>
    <t>점령전 전장이 아닙니다.</t>
    <phoneticPr fontId="2" type="noConversion"/>
  </si>
  <si>
    <t>점령중인 문파가 아닙니다.</t>
    <phoneticPr fontId="2" type="noConversion"/>
  </si>
  <si>
    <t>점령에 실패 하였습니다.</t>
    <phoneticPr fontId="2" type="noConversion"/>
  </si>
  <si>
    <t>깃발 주위에 적이 있습니다.</t>
    <phoneticPr fontId="2" type="noConversion"/>
  </si>
  <si>
    <t>문파에 가입해야 입장할 수 있습니다.</t>
    <phoneticPr fontId="2" type="noConversion"/>
  </si>
  <si>
    <t>도전중인 문파가 아입니다.</t>
    <phoneticPr fontId="2" type="noConversion"/>
  </si>
  <si>
    <t>WARP_NOT_IN_GUILD</t>
  </si>
  <si>
    <t>WARP_NOT_ENOUGH_HEART</t>
  </si>
  <si>
    <t>하트가 부족합니다.</t>
    <phoneticPr fontId="2" type="noConversion"/>
  </si>
  <si>
    <t>OCCUPATION_ERROR_NOT_FIND_GUILD</t>
  </si>
  <si>
    <t>OCCUPATION_ERROR_NOT_FIND_USER</t>
  </si>
  <si>
    <t>OCCUPATION_ERROR_ALREADY_OCCUPAID_GUILD</t>
  </si>
  <si>
    <t>OCCUPATION_ERROR_DB</t>
  </si>
  <si>
    <t>점령중인 문파가 없습니다.</t>
    <phoneticPr fontId="2" type="noConversion"/>
  </si>
  <si>
    <t>점령중인 문파원이 없습니다.</t>
    <phoneticPr fontId="2" type="noConversion"/>
  </si>
  <si>
    <t>이미 점령된 전장입니다.</t>
    <phoneticPr fontId="2" type="noConversion"/>
  </si>
  <si>
    <t>DB 수행중 에러</t>
    <phoneticPr fontId="2" type="noConversion"/>
  </si>
  <si>
    <t>DUEL_DENY</t>
  </si>
  <si>
    <t>DUEL_BATTLE_STATE</t>
  </si>
  <si>
    <t>DUEL_CASTING_STATE</t>
  </si>
  <si>
    <t>DUEL_ALREADY_DUEL_STATE</t>
  </si>
  <si>
    <t>DUEL_TARGET_BATTLE_STATE</t>
  </si>
  <si>
    <t>DUEL_TARGET_CASTING_STATE</t>
  </si>
  <si>
    <t>DUEL_TARGET_ALREADY_DUEL_STATE</t>
  </si>
  <si>
    <t>DUEL_NOT_EXIST_TARGET</t>
  </si>
  <si>
    <t>DUEL_TARGET_IS_FAR</t>
  </si>
  <si>
    <t>DUEL_AGREE_TIME_OVER</t>
  </si>
  <si>
    <t>DUEL_NOT_EXIST_SYSTEM_DATA</t>
  </si>
  <si>
    <t>DUEL_NOT_EXIST_OBJECT_TABLE</t>
  </si>
  <si>
    <t>DUEL_NOT_EXIST_ZONE</t>
  </si>
  <si>
    <t>전투중입니다.</t>
    <phoneticPr fontId="2" type="noConversion"/>
  </si>
  <si>
    <t>채집중입니다.</t>
    <phoneticPr fontId="2" type="noConversion"/>
  </si>
  <si>
    <t>이미 비무를 진행중입니다.</t>
    <phoneticPr fontId="2" type="noConversion"/>
  </si>
  <si>
    <t xml:space="preserve">상대가 전투 중입니다. </t>
    <phoneticPr fontId="2" type="noConversion"/>
  </si>
  <si>
    <t>상대가 채집 중입니다.</t>
    <phoneticPr fontId="2" type="noConversion"/>
  </si>
  <si>
    <t>상대가 이미 비무를 진행중입니다.</t>
    <phoneticPr fontId="2" type="noConversion"/>
  </si>
  <si>
    <t>비무 대상이 없습니다.</t>
    <phoneticPr fontId="2" type="noConversion"/>
  </si>
  <si>
    <t>비무 대상이 멀리 떨어져 있습니다.</t>
    <phoneticPr fontId="2" type="noConversion"/>
  </si>
  <si>
    <t>비무 동의 시간이 초과 하였습니다.</t>
    <phoneticPr fontId="2" type="noConversion"/>
  </si>
  <si>
    <t>비무 관련 System Data가 없습니다.</t>
    <phoneticPr fontId="2" type="noConversion"/>
  </si>
  <si>
    <t>비무 관련 Object가 없습니다.</t>
    <phoneticPr fontId="2" type="noConversion"/>
  </si>
  <si>
    <t>비무 관련 Zone이 없습니다.</t>
    <phoneticPr fontId="2" type="noConversion"/>
  </si>
  <si>
    <t>비무 불가</t>
    <phoneticPr fontId="2" type="noConversion"/>
  </si>
  <si>
    <t>이미 참배를 마쳤습니다.</t>
    <phoneticPr fontId="2" type="noConversion"/>
  </si>
  <si>
    <t>ACHIEVEMENT_COMPLETE_INFO_NOT_MATCH</t>
  </si>
  <si>
    <t>ACHIEVEMENT_NOT_ENOUGH_INVEN_COUNT</t>
  </si>
  <si>
    <t>OTHER_CHARACTER_INFO_NOT_EXIST_USER</t>
  </si>
  <si>
    <t>CHARACTER_CUSTOM_TITLE_CHANGE_NOT_ENOUGH_MATERIAL</t>
  </si>
  <si>
    <t>CHARACTER_CUSTOM_TITLE_CHANGE_TOO_LONG_STRING</t>
  </si>
  <si>
    <t>CASTING_NOT_ENOUGH_INVEN</t>
  </si>
  <si>
    <t>CASTING_ITEM_ERROR</t>
  </si>
  <si>
    <t>CASTING_ITEM_NOT_EXIST</t>
  </si>
  <si>
    <t>CASTING_NOT_EXIST_OCCUPATION_GUILD</t>
  </si>
  <si>
    <t>CASTING_ALREADY_WORSHIP</t>
  </si>
  <si>
    <t>CASTING_DEACTIVATE_OBJECT</t>
  </si>
  <si>
    <t>CASTING_ALREADY_HAVE_REVIVAL_FLAG</t>
  </si>
  <si>
    <t>CHATTING_NOT_FOUND_USER</t>
  </si>
  <si>
    <t>COSTUME_NOT_EXISTS_COSTUME</t>
  </si>
  <si>
    <t>MASTERY_MAX_COUNT</t>
  </si>
  <si>
    <t>MASTERY_INVALID_COST</t>
  </si>
  <si>
    <t>MASTERY_NOT_MATERIAL</t>
  </si>
  <si>
    <t>MASTERY_MATERIAL_SMALL_VALUE</t>
  </si>
  <si>
    <t>MASTERY_NOT_EXIST_SLOT</t>
  </si>
  <si>
    <t>ITEM_NOT_CHANGE_OPTION_ITEM</t>
  </si>
  <si>
    <t>ITEM_SELECT_CHANGE_OPTION_ITEM</t>
  </si>
  <si>
    <t>ITEM_OVER_MATERIAL_ITEM</t>
  </si>
  <si>
    <t>ITEM_NOT_EXIST_ITEM</t>
  </si>
  <si>
    <t>ITEM_UNAVILABLE_STAGE</t>
  </si>
  <si>
    <t>ITEM_NOT_ENOUGH_COUNT</t>
  </si>
  <si>
    <t>ITEM_NOT_USE_TYPE_ITEM</t>
  </si>
  <si>
    <t>ITEM_CASTING_FAIL</t>
  </si>
  <si>
    <t>LOGIN_RECONNECT_NOT_EXIST_USER</t>
  </si>
  <si>
    <t>LOGIN_RECONNECT_NOT_DISCONNECTED_USER</t>
  </si>
  <si>
    <t>LOGIN_USER_DISCONNECTED</t>
  </si>
  <si>
    <t>LOGIN_CUSTOMIZE_ELEMENT_TYPE</t>
  </si>
  <si>
    <t>LOGIN_CUSTOMIZE_ELEMENT_VLAUE</t>
  </si>
  <si>
    <t>PARTY_NOT_EXIST_PARTY</t>
  </si>
  <si>
    <t>PARTY_NOT_JOINABLE_PARTY</t>
  </si>
  <si>
    <t>PARTY_REFUSE_ENTER</t>
  </si>
  <si>
    <t>PARTY_MEMBER_CANNOT_ENTER_DUNGEON</t>
  </si>
  <si>
    <t>SKILL_ALREADY_MAX_EXP</t>
  </si>
  <si>
    <t>SKILL_NOT_EXIST_SKILL_GROUP</t>
  </si>
  <si>
    <t>SKILL_SMALL_LEARN_POINT</t>
  </si>
  <si>
    <t>SKILL_SMALL_GROUP_LEVEL</t>
  </si>
  <si>
    <t>SKILL_ALREADY_GROUP_INIT</t>
  </si>
  <si>
    <t>SKILL_SHORTAGE_VIGOR</t>
  </si>
  <si>
    <t>SKILL_WRONG_PACKET_USER_SKILL_ID</t>
  </si>
  <si>
    <t>SKILL_WRONG_PACKET_MINION_SKILL_ID</t>
  </si>
  <si>
    <t>SKILL_CANNOT_USE</t>
  </si>
  <si>
    <t>SKILL_DECK_CREATE_FAILURE</t>
  </si>
  <si>
    <t>SKILL_DECK_NOT_EXIST</t>
  </si>
  <si>
    <t>SKILL_DECK_WRONG_SLOT_INDEX</t>
  </si>
  <si>
    <t>SKILL_DECK_WRONG_DECK_INDEX</t>
  </si>
  <si>
    <t>SKILL_DECK_CANNOT_USE_SPECIAL_SLOT</t>
  </si>
  <si>
    <t>VEHICLE_MAX_REINFORCE_TOO_MANY</t>
  </si>
  <si>
    <t>WARP_NOT_IN_PARTY</t>
  </si>
  <si>
    <t>PK_NOT_CHANGE_PK_MODE</t>
  </si>
  <si>
    <t>PK_NOT_CHANGE_DUEL</t>
  </si>
  <si>
    <t>OTHER_CHARACTER_INFO_NOT_EXIST_TARGET</t>
  </si>
  <si>
    <t>GUILD_WRONG_DATA</t>
  </si>
  <si>
    <t>GUILD_SMALL_LEVEL</t>
  </si>
  <si>
    <t>GUILD_TARGET_SMALL_LEVEL</t>
  </si>
  <si>
    <t>GUILD_SMALL_COST</t>
  </si>
  <si>
    <t>GUILD_WRONG_GUILD_MARK</t>
  </si>
  <si>
    <t>GUILD_TOO_SHORT_GUILD_NAME</t>
  </si>
  <si>
    <t>GUILD_TOO_LONG_GUILD_NAME</t>
  </si>
  <si>
    <t>GUILD_TOO_LONG_GUILD_NOTICE</t>
  </si>
  <si>
    <t>GUILD_TOO_LONG_GUILD_PR</t>
  </si>
  <si>
    <t>GUILD_ALREADY_EXIST_GUILD_NAME</t>
  </si>
  <si>
    <t>GUILD_NOT_EXIST_GUILD</t>
  </si>
  <si>
    <t>GUILD_NOT_EXIST_TARGET_GUILD</t>
  </si>
  <si>
    <t>GUILD_CANNOT_FIND_GUILD</t>
  </si>
  <si>
    <t>GUILD_DATA_LOADING</t>
  </si>
  <si>
    <t>GUILD_ALREADY_HOSTILITY</t>
  </si>
  <si>
    <t>GUILD_ALREADY_EXIST_GUILD</t>
  </si>
  <si>
    <t>GUILD_ALREADY_CREATION_GUILD</t>
  </si>
  <si>
    <t>GUILD_EXIST_REMAINING_MEMBER</t>
  </si>
  <si>
    <t>GUILD_NOT_EXIST_MEMBER</t>
  </si>
  <si>
    <t>GUILD_NOT_MEMBER</t>
  </si>
  <si>
    <t>GUILD_NOT_MASTER</t>
  </si>
  <si>
    <t>GUILD_MEMBER_COUNT_IS_FULL</t>
  </si>
  <si>
    <t>GUILD_CREATE_MEMBER_FAILURE</t>
  </si>
  <si>
    <t>GUILD_NOT_AUTHORITY</t>
  </si>
  <si>
    <t>GUILD_NOT_EXIST_INVITE_TARGET</t>
  </si>
  <si>
    <t>GUILD_TARGET_ALREADY_HAS_GUILD</t>
  </si>
  <si>
    <t>GUILD_NOT_INVITING_MEMBER</t>
  </si>
  <si>
    <t>GUILD_INVITE_COUNT_IS_FULL</t>
  </si>
  <si>
    <t>GUILD_APPLICANT_CAN_NOT_JOIN_TYPE</t>
  </si>
  <si>
    <t>GUILD_APPLICANT_COUNT_IS_FULL</t>
  </si>
  <si>
    <t>GUILD_NOT_APPLICANT_MEMBER</t>
  </si>
  <si>
    <t>GUILD_GRADE_INVALID_GRADE</t>
  </si>
  <si>
    <t>OCCUPATION_BATTLE_NOT_START</t>
  </si>
  <si>
    <t>COLLECTIONBOOK_UPGRADE_LEVEL_MAX</t>
  </si>
  <si>
    <t>COLLECTIONBOOK_UPGRADE_MONSTER_RESOURCE_NULL</t>
  </si>
  <si>
    <t>COLLECTIONBOOK_UPGRADE_MONSTER_TABLE_NULL</t>
  </si>
  <si>
    <t>COLLECTIONBOOK_UPGRADE_MONSTER_NOT_ENOUGH_ITEM</t>
  </si>
  <si>
    <t>COLLECTIONBOOK_STAGE_NOT_CLEAR</t>
  </si>
  <si>
    <t>COLLECTIONBOOK_STAGE_ALREADY_GET</t>
  </si>
  <si>
    <t>FORCE_ALREADY_LEARN_FORCE</t>
  </si>
  <si>
    <t>FORCE_WRONG_CLASS</t>
  </si>
  <si>
    <t>FORCE_NOT_EXIST_ITEM</t>
  </si>
  <si>
    <t>FORCE_SMALL_ITEM</t>
  </si>
  <si>
    <t>FORCE_NOT_EXTIS_FORCE</t>
  </si>
  <si>
    <t>FORCE_BLOOD_UPGRADE_FAILURE</t>
  </si>
  <si>
    <t>FORCE_BLOOD_UPGRADE_CRITICAL_FAILURE</t>
  </si>
  <si>
    <t>FORCE_BLOOD_OVERFLOW_SLOT_RANGE</t>
  </si>
  <si>
    <t>FORCE_BLOOD_MAX_LEVEL</t>
  </si>
  <si>
    <t>FORCE_BLOOD_SMALL_COST</t>
  </si>
  <si>
    <t>FORCE_BLOOD_STATE_CRITICAL_FAILURE</t>
  </si>
  <si>
    <t>FORCE_BLOOD_NOT_STATE_CRITICAL_FAILURE</t>
  </si>
  <si>
    <t>DUEL_ALREADY_DUEL_REQUEST_STATE</t>
  </si>
  <si>
    <t>재료가부족합니다.</t>
  </si>
  <si>
    <t>글자수가너무많습니다.</t>
  </si>
  <si>
    <t>스킬그룹이없다</t>
  </si>
  <si>
    <t>포인트부족</t>
  </si>
  <si>
    <t>그룹레벨부족</t>
  </si>
  <si>
    <t>스킬그룹이미초기화상태</t>
  </si>
  <si>
    <t>기력부족</t>
  </si>
  <si>
    <t>생성실패</t>
  </si>
  <si>
    <t>없는Deck</t>
  </si>
  <si>
    <t>잘못된슬롯번호</t>
  </si>
  <si>
    <t>잘못된덱번호</t>
  </si>
  <si>
    <t>스페셜스킬슬롯은사용불가</t>
  </si>
  <si>
    <t>PkMode를변경할수없습니다</t>
  </si>
  <si>
    <t>듀얼중에는PkMode를변경할수없습니다</t>
  </si>
  <si>
    <t>레벨부족</t>
  </si>
  <si>
    <t>대상의레벨부족</t>
  </si>
  <si>
    <t>비용부족</t>
  </si>
  <si>
    <t>잘못된길드마크</t>
  </si>
  <si>
    <t>이름이너무짧다</t>
  </si>
  <si>
    <t>이름이너무길다</t>
  </si>
  <si>
    <t>공지가너무길다</t>
  </si>
  <si>
    <t>PR이너무길다</t>
  </si>
  <si>
    <t>이미존재하는길드이름</t>
  </si>
  <si>
    <t>없는길드</t>
  </si>
  <si>
    <t>없는대상길드</t>
  </si>
  <si>
    <t>해당길드를찾을수없습니다.</t>
  </si>
  <si>
    <t>길드데이터로딩중</t>
  </si>
  <si>
    <t>이미전쟁중인길드</t>
  </si>
  <si>
    <t>이미길드가있다</t>
  </si>
  <si>
    <t>이미길드생성중</t>
  </si>
  <si>
    <t>남은멤버가있다</t>
  </si>
  <si>
    <t>해당멤버가없다</t>
  </si>
  <si>
    <t>멤버가아니다</t>
  </si>
  <si>
    <t>길드마스터가아니다</t>
  </si>
  <si>
    <t>멤버인원이가득찼습니다</t>
  </si>
  <si>
    <t>멤버생성실패</t>
  </si>
  <si>
    <t>권한없음</t>
  </si>
  <si>
    <t>초대할타겟이없다</t>
  </si>
  <si>
    <t>타겟이이미길드가있다</t>
  </si>
  <si>
    <t>초대중인멤버가아닙니다</t>
  </si>
  <si>
    <t>초대가능신청수가다찼습니다</t>
  </si>
  <si>
    <t>가입신청이불가능한길드입니다</t>
  </si>
  <si>
    <t>가입신청이가능수가다찼습니다</t>
  </si>
  <si>
    <t>가입신청을한유저가아닙니다</t>
  </si>
  <si>
    <t>이미배운내공이다</t>
  </si>
  <si>
    <t>배울수없는직업</t>
  </si>
  <si>
    <t>재료아이템이없습니다</t>
  </si>
  <si>
    <t>재료아이템이부족합니다</t>
  </si>
  <si>
    <t>내공을보유하고있지않다</t>
  </si>
  <si>
    <t>혈맥업그레이드실패</t>
  </si>
  <si>
    <t>혈맥업그레이드실패(주화입마)</t>
  </si>
  <si>
    <t>내공혈맥슬롯범위를넘어섰다</t>
  </si>
  <si>
    <t>최대레벨에도달</t>
  </si>
  <si>
    <t>비용(진기)부족</t>
  </si>
  <si>
    <t>주화입마상태이다</t>
  </si>
  <si>
    <t>주화입마상태가아니다</t>
  </si>
  <si>
    <t>이미비무신청중</t>
  </si>
  <si>
    <t>깃발 주위에 적이 있습니다.</t>
  </si>
  <si>
    <t>문파에 가입해야 입장할 수 있습니다.</t>
  </si>
  <si>
    <t>점령전 전장이 아닙니다.</t>
  </si>
  <si>
    <t>점령중인 문파가 아닙니다.</t>
  </si>
  <si>
    <t>점령에 실패 하였습니다.</t>
  </si>
  <si>
    <t>도전중인 문파가 아입니다.</t>
  </si>
  <si>
    <t>SKILL SHORTAGE MANA</t>
  </si>
  <si>
    <t>하트가 부족합니다.</t>
  </si>
  <si>
    <t>점령중인 문파가 없습니다.</t>
  </si>
  <si>
    <t>점령중인 문파원이 없습니다.</t>
  </si>
  <si>
    <t>이미 점령된 전장입니다.</t>
  </si>
  <si>
    <t>DB 수행중 에러</t>
  </si>
  <si>
    <t>비무 불가</t>
  </si>
  <si>
    <t>전투중입니다.</t>
  </si>
  <si>
    <t>채집중입니다.</t>
  </si>
  <si>
    <t>이미 비무를 진행중입니다.</t>
  </si>
  <si>
    <t xml:space="preserve">상대가 전투 중입니다. </t>
  </si>
  <si>
    <t>상대가 채집 중입니다.</t>
  </si>
  <si>
    <t>상대가 이미 비무를 진행중입니다.</t>
  </si>
  <si>
    <t>비무 대상이 없습니다.</t>
  </si>
  <si>
    <t>비무 대상이 멀리 떨어져 있습니다.</t>
  </si>
  <si>
    <t>비무 동의 시간이 초과 하였습니다.</t>
  </si>
  <si>
    <t>비무 관련 System Data가 없습니다.</t>
  </si>
  <si>
    <t>비무 관련 Object가 없습니다.</t>
  </si>
  <si>
    <t>비무 관련 Zone이 없습니다.</t>
  </si>
  <si>
    <t>ITEM_SMALL_INVEN_COUNT</t>
  </si>
  <si>
    <t>GUILD_APPLICANT_NOT_EXIST</t>
  </si>
  <si>
    <t>SHOP_DIFF_VERSION</t>
  </si>
  <si>
    <t>SHOP_NOT_MAIN_CATEGORY</t>
  </si>
  <si>
    <t>SHOP_NOT_SUB_CATEGORY</t>
  </si>
  <si>
    <t>SHOP_NOT_GROUP_ID</t>
  </si>
  <si>
    <t>SHOP_NOT_BUY_ID</t>
  </si>
  <si>
    <t>SHOP_UNABLE_PRODUCT</t>
  </si>
  <si>
    <t>SHOP_SMALL_COST_VALUE</t>
  </si>
  <si>
    <t>SHOP_NOT_BUY_TYPE</t>
  </si>
  <si>
    <t>SHOP_LIMIT_BUY_COUNT</t>
  </si>
  <si>
    <t>SHOP_LIMIT_LEVEL</t>
  </si>
  <si>
    <t>타 유저 정보보기 : 존재하지 않는 유저입니다.</t>
  </si>
  <si>
    <t>인벤이 부족해서 캐스팅을 할수 없음</t>
  </si>
  <si>
    <t>아이템 사용 에러 ( table상 Use타입의 아이템이 아니거나 캐스팅을 할수 없는 아이템)</t>
  </si>
  <si>
    <t>존재 하지 않는 아이템을 사용</t>
  </si>
  <si>
    <t>점령한 길드가 없어서 캐스팅을 할수 없음</t>
  </si>
  <si>
    <t>이미 참배버프를 받고 있는 상태라서 캐스팅 불가</t>
  </si>
  <si>
    <t>비활성화 된 오브젝트라서 캐스팅 불가.</t>
  </si>
  <si>
    <t>이미 점령의단을 점령한 길드라서 캐스팅 불가.</t>
  </si>
  <si>
    <t>채팅 유저를 찾을수 없음( 현재 귓속말 )</t>
  </si>
  <si>
    <t>마스터리 : 레벨이 최대치를 넘을 때 발생</t>
  </si>
  <si>
    <t>마스터리 : 업그레이드를 위한 화폐 정보가 잘못됨</t>
  </si>
  <si>
    <t>마스터리 : 업그레이드를 위한 재료가 없음</t>
  </si>
  <si>
    <t>마스터리 : 업그레이드를 위한 재료가 부족</t>
  </si>
  <si>
    <t>마스터리 : 존재하지 않는 슬롯</t>
  </si>
  <si>
    <t>변경할 옵션이 없다( 옵션 체인지이후 옵션 선택시)</t>
  </si>
  <si>
    <t>옵션 체인지한 아이템이 존재 하지 않음</t>
  </si>
  <si>
    <t>아이템 재료 갯수가 너무 많다.( 레벨업 등등)</t>
  </si>
  <si>
    <t xml:space="preserve">존재 하지 않는 아이템 </t>
  </si>
  <si>
    <t>아이템을 이용할수 없는 스테이지 ( 현재 아이템 소환)</t>
  </si>
  <si>
    <t>아이템 갯수가 모자라다</t>
  </si>
  <si>
    <t>아이템 사용타입이 아님</t>
  </si>
  <si>
    <t>아이템 캐시팅 실패</t>
  </si>
  <si>
    <t>재접속 시도시 해당 캐릭터가 없음</t>
  </si>
  <si>
    <t>접속이 되어 있는 유저인데 재접속 요청</t>
  </si>
  <si>
    <t>로그인중 접속 종료</t>
  </si>
  <si>
    <t>커스터마이즈 종류가 잘못됨</t>
  </si>
  <si>
    <t>커스터마이즈 값이 잘못됨</t>
  </si>
  <si>
    <t>스킬 경험치가 최대치</t>
  </si>
  <si>
    <t>스킬을 사용할수 없음</t>
  </si>
  <si>
    <t>더이상 업그레이드 할 수 없습니다.</t>
  </si>
  <si>
    <t>파티중이 아니라서 던전에 입장할수 없음</t>
  </si>
  <si>
    <t>존재하지 않는 길드 등급입니다.</t>
  </si>
  <si>
    <t>점령전 중이 아니라서 점령을 할수 없음</t>
  </si>
  <si>
    <t>스테이지 보상을 이미 받았습니다.</t>
  </si>
  <si>
    <t>SKILL_NEXT_ATTACK_LINK</t>
    <phoneticPr fontId="2" type="noConversion"/>
  </si>
  <si>
    <t>상품을 찾을 수 없습니다.</t>
  </si>
  <si>
    <t>이미 초대한 유저입니다.</t>
    <phoneticPr fontId="2" type="noConversion"/>
  </si>
  <si>
    <t>먼저 처리가 되고 있는 작업이 있어서 기다려야 함</t>
    <phoneticPr fontId="2" type="noConversion"/>
  </si>
  <si>
    <t>타겟 유저의 초대가능 수가 다 찼습니다.</t>
    <phoneticPr fontId="2" type="noConversion"/>
  </si>
  <si>
    <t>GUILD_RESERVED_PACKET</t>
    <phoneticPr fontId="2" type="noConversion"/>
  </si>
  <si>
    <t>GUILD_TARGET_ALREADY_INVITE</t>
    <phoneticPr fontId="2" type="noConversion"/>
  </si>
  <si>
    <t>GUILD_TARGET_INVITE_COUNT_IS_FULL</t>
    <phoneticPr fontId="2" type="noConversion"/>
  </si>
  <si>
    <t>GUILD_DELETE_EXIST_HOSTILITY</t>
    <phoneticPr fontId="2" type="noConversion"/>
  </si>
  <si>
    <t>GUILD_DELETE_WAIT_HOSTILITY_DEL</t>
  </si>
  <si>
    <t>적대 길드가 존재합니다.</t>
    <phoneticPr fontId="2" type="noConversion"/>
  </si>
  <si>
    <t>적대 길드정보를 지우는 중입니다. 잠시 후 다시 진행해주세요.</t>
    <phoneticPr fontId="2" type="noConversion"/>
  </si>
  <si>
    <t>해당 유저를 찾을 수 없습니다.</t>
  </si>
  <si>
    <t xml:space="preserve">GUILD_NOT_EXIST_USER </t>
  </si>
  <si>
    <t>선전포고 데이터 처리 오류</t>
  </si>
  <si>
    <t>GUILD_HOSTILITY_ADD_FAIL</t>
  </si>
  <si>
    <t>GUILD_GRADE_NAME_TOO_LONG_STRING</t>
  </si>
  <si>
    <t>GUILD_GRADE_NAME_TOO_SHORT_STRING</t>
  </si>
  <si>
    <t>길드 등급이름이 너무 깁니다</t>
  </si>
  <si>
    <t>길드 등급이름이 너무 짧습니다.</t>
  </si>
  <si>
    <t>GUILD_DONATION_INVALID_INDEX</t>
  </si>
  <si>
    <t>GUILD_DONATION_INVALID_RESOURCE</t>
  </si>
  <si>
    <t>GUILD_DONATION_NOT_EXIST_METERIAL</t>
  </si>
  <si>
    <t>재료가 없습니다.</t>
  </si>
  <si>
    <t>기부 리소스의 인덱스 번호가 없는 번호 입니다.</t>
    <phoneticPr fontId="2" type="noConversion"/>
  </si>
  <si>
    <t>GUILD_DONATION_NOT_ENOUGH_METERIAL</t>
  </si>
  <si>
    <t>재료가 부족합니다.</t>
  </si>
  <si>
    <t>비용이 부족합니다.</t>
  </si>
  <si>
    <t>보유 할 수 있는 최대 재화를 초과했습니다.</t>
  </si>
  <si>
    <t>인벤토리가 가득찼습니다.</t>
  </si>
  <si>
    <t>기부 정보를 로드하지 않았습니다.</t>
  </si>
  <si>
    <t>더 이상 기부 할 수 없습니다.</t>
  </si>
  <si>
    <t>더 이상 기부 횟수를 초기화 할 수 없습니다.</t>
  </si>
  <si>
    <t>기부 횟수가 최대가 아니어서 초기화를 진행 할 수 없습니다.</t>
  </si>
  <si>
    <t>GUILD_DONATION_COUNT_IS_NOT_MAX</t>
  </si>
  <si>
    <t xml:space="preserve">GUILD_DONATION_RESET_COUNT_MAX  </t>
  </si>
  <si>
    <t>GUILD_DONATION_COUNT_MAX</t>
    <phoneticPr fontId="2" type="noConversion"/>
  </si>
  <si>
    <t>GUILD_DONATION_NOT_DB_LOAD</t>
  </si>
  <si>
    <t>GUILD_DONATION_MAX_INVEN</t>
  </si>
  <si>
    <t>GUILD_DONATION_MAX_COST</t>
  </si>
  <si>
    <t>GUILD_DONATION_NOT_ENOUGH_COST</t>
  </si>
  <si>
    <t>GUILD_HOSTILITY_DECLARE_COUNT_MAX</t>
    <phoneticPr fontId="2" type="noConversion"/>
  </si>
  <si>
    <t>선전포고 가능 횟수 초과</t>
    <phoneticPr fontId="2" type="noConversion"/>
  </si>
  <si>
    <t>잘못된 기부 인덱스 번호입니다.</t>
  </si>
  <si>
    <t>ErrorTypeDev</t>
    <phoneticPr fontId="2" type="noConversion"/>
  </si>
  <si>
    <t>에러TYPE개발버전</t>
    <phoneticPr fontId="2" type="noConversion"/>
  </si>
  <si>
    <t>String</t>
    <phoneticPr fontId="2" type="noConversion"/>
  </si>
  <si>
    <t>개발버전출력내용</t>
    <phoneticPr fontId="2" type="noConversion"/>
  </si>
  <si>
    <t>개발 버전에서만 사용하는 필드
이 에러코드가 발생했을때 출력할 내용을 기입한다.</t>
    <phoneticPr fontId="2" type="noConversion"/>
  </si>
  <si>
    <t>개발 버전에서만 사용하는 필드(서비스 버전과 구분하기 위한 필드)
개발 버전에서 해당 오류 코드가 발생했을때의 피드백을 정의한다.
13 = 상단 메시지로 출력
31 = 공용 팝업(원버튼)으로 출력
99 = 공용 팝업(원버튼)으로 출력, 확인 버튼을 입력하거나 닫을 시 클라이언트 종료</t>
    <phoneticPr fontId="2" type="noConversion"/>
  </si>
  <si>
    <t>해당 에러코드가 발생 했을때 사용자에게 전달할 피드백을 정의한다.
13 = 상단 메시지로 출력
31 = 공용 팝업(원버튼)으로 출력
99 = 공용 팝업(원버튼)으로 출력, 확인 버튼을 입력하거나 닫을 시 클라이언트 종료</t>
    <phoneticPr fontId="2" type="noConversion"/>
  </si>
  <si>
    <t>동전이 부족합니다.</t>
  </si>
  <si>
    <t>다른 디바이스에서 로그인해서 접속을 종료합니다.</t>
  </si>
  <si>
    <t>완료하지 못한 업적입니다.</t>
  </si>
  <si>
    <t>완료한 업적입니다.</t>
  </si>
  <si>
    <t>진기가 부족합니다.</t>
  </si>
  <si>
    <t>최대까지 각성한 상태입니다</t>
  </si>
  <si>
    <t>아직 완료하지 못했습니다.</t>
  </si>
  <si>
    <t>대상을 찾을 수 없습니다.</t>
  </si>
  <si>
    <t>데이터 오류</t>
  </si>
  <si>
    <t>캐릭터명은 2자에서 8자까지 생성 가능합니다.</t>
  </si>
  <si>
    <t>퀘스트를 찾을 수 없습니다.</t>
  </si>
  <si>
    <t>대상과의 거리가 멀어 할 수 없습니다.</t>
  </si>
  <si>
    <t>진행 중인 상태입니다.</t>
  </si>
  <si>
    <t>지금은 할 수 없습니다.</t>
  </si>
  <si>
    <t>보유한 재화가 부족합니다.</t>
  </si>
  <si>
    <t>해당 위치로는 아공행법을 할 수 없습니다.</t>
  </si>
  <si>
    <t>동일한 지역으로는 즉시 이동을 할 수 없습니다.</t>
  </si>
  <si>
    <t>도전 중인 문파가 아닙니다.</t>
  </si>
  <si>
    <t>사용할 수 없는 아이템입니다.</t>
  </si>
  <si>
    <t>아이템을 찾을 수 없습니다.</t>
  </si>
  <si>
    <t>점령 중인 문파가 없어 할 수 없습니다.</t>
  </si>
  <si>
    <t>참배 효과를 받고 있는 중이기 때문에 할 수 없습니다.</t>
  </si>
  <si>
    <t>아군이 점령한 점령의 단 입니다.</t>
  </si>
  <si>
    <t>사용자를 찾을 수 없습니다.</t>
  </si>
  <si>
    <t>코스튬을 찾을 수 없습니다.</t>
  </si>
  <si>
    <t>보유 중인 코스튬 입니다.</t>
  </si>
  <si>
    <t>조건을 만족하지 못한 상태입니다.</t>
  </si>
  <si>
    <t>다른 직업의 장비입니다.</t>
  </si>
  <si>
    <t>아직 착용 할 수 없는 부위입니다.</t>
  </si>
  <si>
    <t>레벨이 부족해 장착할 수 없습니다.</t>
  </si>
  <si>
    <t>보석을 제외한 아이템은 장착 할 수 없습니다.</t>
  </si>
  <si>
    <t>착용 가능한 보석 색상이 아닙니다.</t>
  </si>
  <si>
    <t>착용 중인 보석이 있습니다.</t>
  </si>
  <si>
    <t>분해할 대상을 찾을 수 없습니다.</t>
  </si>
  <si>
    <t>성장 할 수 없는 아이템입니다.</t>
  </si>
  <si>
    <t>성장 재료로 사용할 수 없는 아이템이 포함되어 있습니다.</t>
  </si>
  <si>
    <t>더 이상 성장 할 수 없습니다.</t>
  </si>
  <si>
    <t>할 수 없는 아이템입니다.</t>
  </si>
  <si>
    <t>강화할 수 없는 아이템입니다.</t>
  </si>
  <si>
    <t>승급 할 대상을 찾을 수 없습니다.</t>
  </si>
  <si>
    <t>승급을 할 수 없는 아이템입니다.</t>
  </si>
  <si>
    <t>최대 등급에 도달한 아이템입니다.</t>
  </si>
  <si>
    <t>재료를 찾을 수 없습니다.</t>
  </si>
  <si>
    <t>재료로 사용할 수 없는 아이템이 포함되어 있습니다.</t>
  </si>
  <si>
    <t>동일한 등급의 아이템으로만 할 수 있습니다.</t>
  </si>
  <si>
    <t>같은 종류의 아이템으로만 할 수 있습니다.</t>
  </si>
  <si>
    <t>최대 레벨이 도달한 아이템으로만 할 수 있습니다.</t>
  </si>
  <si>
    <t>아이템 등급이 낮아 할 수 없습니다.</t>
  </si>
  <si>
    <t>선택된 아이템은 추가 옵션을 변경 할 수 없습니다.</t>
  </si>
  <si>
    <t>옵션을 변경할 아이템을 선택해주세요</t>
  </si>
  <si>
    <t>등록 가능한 재료 개수를 초과했습니다.</t>
  </si>
  <si>
    <t>현재 지역에서는 사용할수 없습니다.</t>
  </si>
  <si>
    <t>아이템의 보유 수량이 부족합니다.</t>
  </si>
  <si>
    <t>아이템 사용에 실패했습니다.</t>
  </si>
  <si>
    <t>접속 중인 상태의 계정입니다.</t>
  </si>
  <si>
    <t>생성이 완료된 캐릭터입니다.</t>
  </si>
  <si>
    <t>다른 사용자가 사용 중인 이름입니다.</t>
  </si>
  <si>
    <t>캐릭터를 찾을 수 없습니다.</t>
  </si>
  <si>
    <t>우편물이 남아 있습니다.</t>
  </si>
  <si>
    <t>재사용 대기 시간 중에는 사용 할 수 없습니다.</t>
  </si>
  <si>
    <t>다른 직업의 스킬입니다.</t>
  </si>
  <si>
    <t>습득한 스킬입니다.</t>
  </si>
  <si>
    <t>스킬을 습득한 후에 사용 할 수 있습니다.</t>
  </si>
  <si>
    <t>스킬레벨은 캐릭터의 레벨보다 높을 수 없습니다.</t>
  </si>
  <si>
    <t>최대 레벨에 도달한 스킬입니다.</t>
  </si>
  <si>
    <t>경험치가 최대까지 도달했습니다.</t>
  </si>
  <si>
    <t>스킬을 찾을 수 없습니다.</t>
  </si>
  <si>
    <t>포인트가 부족합니다.</t>
  </si>
  <si>
    <t>그룹의 레벨이 부족합니다.</t>
  </si>
  <si>
    <t>초기화가 완료된 상태입니다.</t>
  </si>
  <si>
    <t>기력이 부족합니다.</t>
  </si>
  <si>
    <t>SKILL_WRONG_PACKET_USER_SKILL_ID//유저 스킬사용시 잘못된 스킬ID (서버용)</t>
  </si>
  <si>
    <t>SKILL_WRONG_PACKET_MINION_SKILL_ID//미니언 스킬사용시 잘못된 스킬ID (서버용)</t>
  </si>
  <si>
    <t>스킬을 사용할 수 없습니다.</t>
  </si>
  <si>
    <t>덱 설정에 실패했습니다.</t>
  </si>
  <si>
    <t>스킬 덱을 찾을 수 없습니다.</t>
  </si>
  <si>
    <t>슬롯 번호를 찾을 수 없습니다.</t>
  </si>
  <si>
    <t>수정필요_스페셜스킬슬롯은사용불가</t>
  </si>
  <si>
    <t>탑승 가능한 탈것을 찾을 수 없습니다.</t>
  </si>
  <si>
    <t>이미 획득한 탈것입니다.</t>
  </si>
  <si>
    <t>찾을 수 없는 탈것입니다.</t>
  </si>
  <si>
    <t>최대까지 성장한 탈 것입니다.</t>
  </si>
  <si>
    <t>보유한 재료가 부족합니다.</t>
  </si>
  <si>
    <t>성장도가 부족합니다.</t>
  </si>
  <si>
    <t>최대 등급까지 성장을 완료 했습니다.</t>
  </si>
  <si>
    <t>퀘스트가 진행 중인 상태가 아닙니다.</t>
  </si>
  <si>
    <t>입장하기 위한 퀘스트를 완료하지 못했습니다.</t>
  </si>
  <si>
    <t>입장하기 위한 업적을 완료하지 못했습니다.</t>
  </si>
  <si>
    <t>현재와 동일한 위치로는 아공행법을 할 수 없습니다.</t>
  </si>
  <si>
    <t>파티에 가입한 상태로만 입장 가능한 던전입니다.</t>
  </si>
  <si>
    <t>전투 중에는 할 수 없습니다.</t>
  </si>
  <si>
    <t>진기가 최대 보유량에 도달한 상태입니다.</t>
  </si>
  <si>
    <t>운기조식을 할 수 없는 장소입니다.</t>
  </si>
  <si>
    <t>금일 무료 갱신 횟수를 모두 소모 했습니다.</t>
  </si>
  <si>
    <t>갱신 할 수 없습니다.</t>
  </si>
  <si>
    <t>모두 완료 했습니다.</t>
  </si>
  <si>
    <t>일일과제를 받을 수 없습니다.</t>
  </si>
  <si>
    <t>이미 완료한 과제입니다.</t>
  </si>
  <si>
    <t>수정필요_보상이 없음</t>
  </si>
  <si>
    <t>수정필요_보상 갱신이 안됨</t>
  </si>
  <si>
    <t>수정필요_추가 보상이 없음</t>
  </si>
  <si>
    <t>수정필요_갱신 카운트가 없음</t>
  </si>
  <si>
    <t>수정필요_잘못된 슬롯</t>
  </si>
  <si>
    <t>수정필요_갱신할수 없음</t>
  </si>
  <si>
    <t>수정필요_받을수가 없음</t>
  </si>
  <si>
    <t>수정필요_클리어 되지 않음</t>
  </si>
  <si>
    <t>수정필요_이미 클리어됨</t>
  </si>
  <si>
    <t>수정필요_일 보상이 없음</t>
  </si>
  <si>
    <t>수정필요_업적 보상이 없음</t>
  </si>
  <si>
    <t>수정필요_PkMode를변경할수없습니다</t>
  </si>
  <si>
    <t>수정필요_듀얼중에는PkMode를변경할수없습니다</t>
  </si>
  <si>
    <t>수정필요_타 유저 정보보기 : 존재하지 않는 유저입니다.</t>
  </si>
  <si>
    <t>수정필요_지도 구간은 현재 단계가 아님</t>
  </si>
  <si>
    <t>수정필요_지도 길 찾기 추가 실패</t>
  </si>
  <si>
    <t>수정필요_지도 형식 안함</t>
  </si>
  <si>
    <t>수정필요_잘못된 길드 정보 요청</t>
  </si>
  <si>
    <t>수정필요_레벨부족</t>
  </si>
  <si>
    <t>수정필요_대상의레벨부족</t>
  </si>
  <si>
    <t>수정필요_비용부족</t>
  </si>
  <si>
    <t>수정필요_잘못된길드마크</t>
  </si>
  <si>
    <t>수정필요_이름이너무짧다</t>
  </si>
  <si>
    <t>수정필요_이름이너무길다</t>
  </si>
  <si>
    <t>수정필요_공지가너무길다</t>
  </si>
  <si>
    <t>수정필요_PR이너무길다</t>
  </si>
  <si>
    <t>수정필요_이미존재하는길드이름</t>
  </si>
  <si>
    <t>수정필요_없는길드</t>
  </si>
  <si>
    <t>수정필요_없는대상길드</t>
  </si>
  <si>
    <t>수정필요_해당길드를찾을수없습니다.</t>
  </si>
  <si>
    <t>수정필요_길드데이터로딩중</t>
  </si>
  <si>
    <t>수정필요_이미전쟁중인길드</t>
  </si>
  <si>
    <t>수정필요_이미길드가있다</t>
  </si>
  <si>
    <t>수정필요_이미길드생성중</t>
  </si>
  <si>
    <t>수정필요_남은멤버가있다</t>
  </si>
  <si>
    <t>수정필요_해당멤버가없다</t>
  </si>
  <si>
    <t>수정필요_멤버가아니다</t>
  </si>
  <si>
    <t>수정필요_길드마스터가아니다</t>
  </si>
  <si>
    <t>수정필요_멤버인원이가득찼습니다</t>
  </si>
  <si>
    <t>수정필요_멤버생성실패</t>
  </si>
  <si>
    <t>먼저 처리가 되고 있는 작업이 있어서 기다려야 함</t>
  </si>
  <si>
    <t>수정필요_초대할타겟이없다</t>
  </si>
  <si>
    <t>수정필요_타겟이이미길드가있다</t>
  </si>
  <si>
    <t>수정필요_초대중인멤버가아닙니다</t>
  </si>
  <si>
    <t>수정필요_초대가능신청수가다찼습니다</t>
  </si>
  <si>
    <t>이미 초대한 유저입니다.</t>
  </si>
  <si>
    <t>타겟 유저의 초대가능 수가 다 찼습니다.</t>
  </si>
  <si>
    <t>적대 길드가 존재합니다.</t>
  </si>
  <si>
    <t>수정필요_가입신청이불가능한길드입니다</t>
  </si>
  <si>
    <t>수정필요_가입신청이가능수가다찼습니다</t>
  </si>
  <si>
    <t>수정필요_가입신청을한유저가아닙니다</t>
  </si>
  <si>
    <t>가입 신청을한 기록이 없음</t>
  </si>
  <si>
    <t>선전포고 가능 횟수 초과</t>
  </si>
  <si>
    <t>길드 등급이름이 너무 깁니다.</t>
  </si>
  <si>
    <t>기부 리소스의 인덱스 번호가 없는 번호 입니다.</t>
  </si>
  <si>
    <t>기부 재료가 없습니다.</t>
  </si>
  <si>
    <t>기부 재료가 부족합니다.</t>
  </si>
  <si>
    <t>수정필요_스테이지 보상을 이미 받았습니다.</t>
  </si>
  <si>
    <t>&lt;span color="#FF3A20"&gt;상대가 비무를 거절했습니다.&lt;/&gt;</t>
  </si>
  <si>
    <t>&lt;span color="#FF3A20"&gt;이미 비무를 진행중입니다..&lt;/&gt;</t>
  </si>
  <si>
    <t>&lt;span color="#FF3A20"&gt;상대가 비무를 할 수 없는 상태입니다.&lt;/&gt;</t>
  </si>
  <si>
    <t>&lt;span color="#FF3A20"&gt;상대가 이미 비무를 진행중입니다.&lt;/&gt;</t>
  </si>
  <si>
    <t>&lt;span color="#FF3A20"&gt;비무 대상이 없습니다.&lt;/&gt;</t>
  </si>
  <si>
    <t>&lt;span color="#FF3A20"&gt;상대가 멀리 떨어져 있습니다.&lt;/&gt;</t>
  </si>
  <si>
    <t>&lt;span color="#FF3A20"&gt;비무 수락 시간이 초과 하였습니다.&lt;/&gt;</t>
  </si>
  <si>
    <t>수정필요_이미비무신청중</t>
  </si>
  <si>
    <t>수정필요_상점버전이틀리다.</t>
  </si>
  <si>
    <t>수정필요_존재하지않는메인카테고리</t>
  </si>
  <si>
    <t>수정필요_존재하지않는서브카테고리</t>
  </si>
  <si>
    <t>수정필요_이용할수없는상품</t>
  </si>
  <si>
    <t>수정필요_재화부족</t>
  </si>
  <si>
    <t>수정필요_정의안된상품타입</t>
  </si>
  <si>
    <t>수정필요_레벨제한</t>
  </si>
  <si>
    <t>LinkStringDev</t>
    <phoneticPr fontId="2" type="noConversion"/>
  </si>
  <si>
    <t>모든 슬롯레벨이 최대치가 아닙니다.</t>
  </si>
  <si>
    <t>재료아이템을 보유하고 있지 않습니다.</t>
  </si>
  <si>
    <t>비용이 충분하지 않습니다.</t>
  </si>
  <si>
    <t>레벨한계치라 더 이상 업그레이드 불가능</t>
  </si>
  <si>
    <t>MASTERY_LIMIT_GRADE_MAX</t>
    <phoneticPr fontId="2" type="noConversion"/>
  </si>
  <si>
    <t>MASTERY_LIMIT_GRADE_NOT_MASTERY_SLOT_LEVEL_MAX</t>
    <phoneticPr fontId="2" type="noConversion"/>
  </si>
  <si>
    <t>MASTERY_LIMIT_GRADE_NOT_ENOUGH_MATERIAL</t>
    <phoneticPr fontId="2" type="noConversion"/>
  </si>
  <si>
    <t>MASTERY_LIMIT_GRADE_NOT_ENOUGH_COST</t>
    <phoneticPr fontId="2" type="noConversion"/>
  </si>
  <si>
    <t>마스터리 : 더 이상 레벨한계치 업그레이트 불가능</t>
    <phoneticPr fontId="2" type="noConversion"/>
  </si>
  <si>
    <t>마스터리 : 모든 슬롯레벨이 최대치가 아닙니다.</t>
    <phoneticPr fontId="2" type="noConversion"/>
  </si>
  <si>
    <t>마스터리 : 재료가 충분치 않습니다.</t>
    <phoneticPr fontId="2" type="noConversion"/>
  </si>
  <si>
    <t>마스터리 : 비용이 충분치 않습니다.</t>
    <phoneticPr fontId="2" type="noConversion"/>
  </si>
  <si>
    <t>GUILD_DELETE_EXIST_ALLIANCE</t>
  </si>
  <si>
    <t>동맹 길드가 존재합니다. 동맹길드를 제거해 주세요.</t>
  </si>
  <si>
    <t>동맹 길드 신청 정보가 존재합니다. 동맹길드를 신청을 취소해 주세요.</t>
  </si>
  <si>
    <t>동맹 길드 신청을 받은 정보가 존재합니다. 신청을 거절해 주세요.</t>
  </si>
  <si>
    <t>GUILD_DELETE_EXIST_ALLIANCE_APPLICANT</t>
  </si>
  <si>
    <t>GUILD_DELETE_EXIST_ALLIANCE_RECEIVE_APPLICANT</t>
  </si>
  <si>
    <t>선전포고 상대 길드와 동맹중입니다.</t>
    <phoneticPr fontId="2" type="noConversion"/>
  </si>
  <si>
    <t>GUILD_HOSTILITY_TARGET_IS_ALLIANCE</t>
    <phoneticPr fontId="2" type="noConversion"/>
  </si>
  <si>
    <t>항복이 불가능한 시간입니다.</t>
  </si>
  <si>
    <t>적대 길드 정보가 없습니다.</t>
  </si>
  <si>
    <t>GUILD_HOSTILITY_DEL_CAN_NOT_SERRENDER_TIME</t>
    <phoneticPr fontId="2" type="noConversion"/>
  </si>
  <si>
    <t>GUILD_HOSTILITY_NOT_EXIST</t>
    <phoneticPr fontId="2" type="noConversion"/>
  </si>
  <si>
    <t>이미 상대에게 동맹 신청을 받았습니다.</t>
  </si>
  <si>
    <t>GUILD_ALLIANCE_ALREADY_RECEIVE_APPLICANT</t>
  </si>
  <si>
    <t>선전포고 데이터 처리 오류</t>
    <phoneticPr fontId="2" type="noConversion"/>
  </si>
  <si>
    <t>특수 문자는 사용할 수 없습니다.</t>
    <phoneticPr fontId="2" type="noConversion"/>
  </si>
  <si>
    <t>GUILD_CAN_NOT_USE_SPECIAL_CHARACTER</t>
  </si>
  <si>
    <t>문주가 문파를 탈퇴를 하려고 할 때</t>
  </si>
  <si>
    <t>GUILD_MEMBER_LEAVE_MASTER_CAN_NOT_LEAVE</t>
    <phoneticPr fontId="2" type="noConversion"/>
  </si>
  <si>
    <t>이미 동맹이 해제된 문파입니다.</t>
  </si>
  <si>
    <t>이미 초대를 받았습니다.</t>
    <phoneticPr fontId="2" type="noConversion"/>
  </si>
  <si>
    <t xml:space="preserve">GUILD_NOT_APPLICANT_ALREADY_INVITE </t>
    <phoneticPr fontId="2" type="noConversion"/>
  </si>
  <si>
    <t>월드 채팅 아이템 정보가 없음</t>
    <phoneticPr fontId="2" type="noConversion"/>
  </si>
  <si>
    <t>CHATTING_NOT_EXIST_WORLD_CHATTING_ITEM</t>
  </si>
  <si>
    <t>CHATTING_NOT_EXIST_SHARE_ITEM</t>
  </si>
  <si>
    <t>CHATTING_NOT_WORLD_CHAT_REQ_LEVEL</t>
  </si>
  <si>
    <t>CHATTING_WRONG_TYPE_SHARE_ITEM</t>
  </si>
  <si>
    <t>CHATTING_WRONG_TYPE_WORLD_CHATTING_ITEM</t>
  </si>
  <si>
    <t>FRIEND_REQUEST_SYSTEM_ERROR</t>
  </si>
  <si>
    <t>FRIEND_REQUEST_SEND_LIST_FULL</t>
  </si>
  <si>
    <t>FRIEND_REQUEST_RECV_LIST_FULL</t>
  </si>
  <si>
    <t>FRIEND_REQUEST_NOT_TARGET_USER</t>
  </si>
  <si>
    <t>FRIEND_LIST_FULL</t>
  </si>
  <si>
    <t>FRIEND_REQUEST_ALREADY_EXIST</t>
  </si>
  <si>
    <t>공유할 아이템 정보 없음</t>
    <phoneticPr fontId="2" type="noConversion"/>
  </si>
  <si>
    <t>월드 채팅 레벨 부족</t>
    <phoneticPr fontId="2" type="noConversion"/>
  </si>
  <si>
    <t>정보 공유 가능 아이템 타입이 아님</t>
    <phoneticPr fontId="2" type="noConversion"/>
  </si>
  <si>
    <t>월드 채팅 아이템 타입이 잘못됨</t>
    <phoneticPr fontId="2" type="noConversion"/>
  </si>
  <si>
    <t>친구 요청 실패</t>
    <phoneticPr fontId="2" type="noConversion"/>
  </si>
  <si>
    <t>보낸 요청이 Full인 상태</t>
    <phoneticPr fontId="2" type="noConversion"/>
  </si>
  <si>
    <t>대상의 받은 요청이 Full인 상태</t>
    <phoneticPr fontId="2" type="noConversion"/>
  </si>
  <si>
    <t>존재하지 않는 유저</t>
    <phoneticPr fontId="2" type="noConversion"/>
  </si>
  <si>
    <t>친구 리스트가 Full인 상태</t>
    <phoneticPr fontId="2" type="noConversion"/>
  </si>
  <si>
    <t>스크린 메시지</t>
    <phoneticPr fontId="2" type="noConversion"/>
  </si>
  <si>
    <t>금자 보유량이 최대한도를 넘어, 수령할 수 없습니다.</t>
  </si>
  <si>
    <t>은자 보유량이 최대한도를 넘어, 수령할 수 없습니다.</t>
  </si>
  <si>
    <t>동전 보유량이 최대한도를 넘어, 수령할 수 없습니다.</t>
  </si>
  <si>
    <t>청옥 보유량이 최대한도를 넘어, 수령할 수 없습니다.</t>
  </si>
  <si>
    <t>진기 보유량이 최대한도를 넘어, 수령할 수 없습니다.</t>
  </si>
  <si>
    <t>흑철 보유량이 최대한도를 넘어, 수령할 수 없습니다.</t>
  </si>
  <si>
    <t>무옥 보유량이 최대한도를 넘어, 수령할 수 없습니다.</t>
  </si>
  <si>
    <t>PVP 점수 보유량이 최대한도를 넘어, 수령할 수 없습니다.</t>
  </si>
  <si>
    <t>길드 점수 보유량이 최대한도를 넘어, 수령할 수 없습니다.</t>
  </si>
  <si>
    <t>우정 점수 보유량이 최대한도를 넘어, 수령할 수 없습니다.</t>
  </si>
  <si>
    <t>생명 보유량이 최대한도를 넘어, 수령할 수 없습니다.</t>
  </si>
  <si>
    <t>{1}님은 추방된 대상으로 초대할 수 없습니다.</t>
    <phoneticPr fontId="2" type="noConversion"/>
  </si>
  <si>
    <t>추방된 토벌대에는 참가할 수 없습니다.</t>
    <phoneticPr fontId="2" type="noConversion"/>
  </si>
  <si>
    <t>HUNTING_SQUAD_CANNOT_ENTER_KICKED_SQUAD</t>
  </si>
  <si>
    <t>HUNTING_SQUAD_CANNOT_INVITE_KICKED_MEMBER</t>
  </si>
  <si>
    <t>TARGET_FRIEND_LIST_FULL</t>
  </si>
  <si>
    <t>대상의 친구가 Full인 상태</t>
    <phoneticPr fontId="2" type="noConversion"/>
  </si>
  <si>
    <t>FRIEND_ALREADY_EXIST</t>
  </si>
  <si>
    <t>FRIEND_SERCH_NOT_EXIST_INFO</t>
  </si>
  <si>
    <t>FRIEND_NOT_EXIST_FRIEND</t>
  </si>
  <si>
    <t>이미 친구 요청 함</t>
    <phoneticPr fontId="2" type="noConversion"/>
  </si>
  <si>
    <t>이미 친구 임</t>
    <phoneticPr fontId="2" type="noConversion"/>
  </si>
  <si>
    <t>검색 정보에 없음</t>
    <phoneticPr fontId="2" type="noConversion"/>
  </si>
  <si>
    <t>친구 리스트에 없음</t>
    <phoneticPr fontId="2" type="noConversion"/>
  </si>
  <si>
    <t>이미 삭제된 친구입니다. 다시 확인해 주세요.</t>
  </si>
  <si>
    <t>ITEM_JEWEL_COMPOSE_INVALID_METERIAL_TYPE</t>
    <phoneticPr fontId="2" type="noConversion"/>
  </si>
  <si>
    <t>ITEM_JEWEL_COMPOSE_NOT_SAME_TIRE</t>
    <phoneticPr fontId="2" type="noConversion"/>
  </si>
  <si>
    <t>ITEM_JEWEL_COMPOSE_NOT_ENOUGH_COST</t>
    <phoneticPr fontId="2" type="noConversion"/>
  </si>
  <si>
    <t>ITEM_JEWEL_COMPOSE_NOT_SAME_GRADE</t>
    <phoneticPr fontId="2" type="noConversion"/>
  </si>
  <si>
    <t>ITEM_JEWEL_CAN_NOT_COMPOSE_METERIAL</t>
    <phoneticPr fontId="2" type="noConversion"/>
  </si>
  <si>
    <t>ITEM_CANNOT_RECEIVE_REWARD_NOT_ENOUGH_INVEN</t>
    <phoneticPr fontId="2" type="noConversion"/>
  </si>
  <si>
    <t>가방에 아이템이 들어올 때 빈공간이 없는 경우 출력 메시지</t>
    <phoneticPr fontId="2" type="noConversion"/>
  </si>
  <si>
    <t xml:space="preserve">ITEM_CANNOT_MAKE_NOT_PRE_MAKE_ITEM </t>
  </si>
  <si>
    <t>ITEM_NOT_EQUIP_REQ_LEVEL</t>
  </si>
  <si>
    <t>제작 대상 아이템의 이전 아이템 제작 안 함</t>
    <phoneticPr fontId="2" type="noConversion"/>
  </si>
  <si>
    <t>제작 대상 아이템의 착용 레벨 불만족</t>
    <phoneticPr fontId="2" type="noConversion"/>
  </si>
  <si>
    <t>{1}를 제작 후, 제작할 수 있습니다.</t>
  </si>
  <si>
    <t>Lv.{1} 도달 후, 제작할 수 있습니다.</t>
  </si>
  <si>
    <t>COST_OVER_MAX_VALUE_GOLD_COIN = 8000; 금자</t>
    <phoneticPr fontId="2" type="noConversion"/>
  </si>
  <si>
    <t>COST_OVER_MAX_VALUE_SILVER_COIN = 8001; 은자</t>
    <phoneticPr fontId="2" type="noConversion"/>
  </si>
  <si>
    <t>COST_OVER_MAX_VALUE_COIN = 8002; 동전</t>
    <phoneticPr fontId="2" type="noConversion"/>
  </si>
  <si>
    <t>COST_OVER_MAX_VALUE_SAPPHIRE = 8003; 청옥</t>
    <phoneticPr fontId="2" type="noConversion"/>
  </si>
  <si>
    <t>COST_OVER_MAX_VALUE_ENERGY_POINT = 8004; 진기</t>
    <phoneticPr fontId="2" type="noConversion"/>
  </si>
  <si>
    <t>COST_OVER_MAX_VALUE_BLACK_IRON = 8005; 흑철</t>
    <phoneticPr fontId="2" type="noConversion"/>
  </si>
  <si>
    <t>COST_OVER_MAX_VALUE_COMBAT_JADE = 8006; 무옥</t>
    <phoneticPr fontId="2" type="noConversion"/>
  </si>
  <si>
    <t>COST_OVER_MAX_VALUE_PVP_SCORE = 8007; pvp 점수</t>
    <phoneticPr fontId="2" type="noConversion"/>
  </si>
  <si>
    <t>COST_OVER_MAX_VALUE_GUILD_COIN = 8008; 길드 점수</t>
    <phoneticPr fontId="2" type="noConversion"/>
  </si>
  <si>
    <t>COST_OVER_MAX_VALUE_FRIENDSHIP_SCORE = 8009; 우정 점수</t>
    <phoneticPr fontId="2" type="noConversion"/>
  </si>
  <si>
    <t>DB_EXPIRE_TRACKING_PERIOD</t>
  </si>
  <si>
    <t>DB_WINNER_CAN_NOT_USE_TRACKING</t>
  </si>
  <si>
    <t>PK_ALREADY_BOUNTY_CHARACTER</t>
  </si>
  <si>
    <t>PK_UNTRACKABLE_STATE_CHARACTER</t>
  </si>
  <si>
    <t>GUILD_LEAVE_FAIL</t>
    <phoneticPr fontId="2" type="noConversion"/>
  </si>
  <si>
    <t>GUILD_LEAVE_GUILD_PARTY_MEMBER_CAN_NOT_LEAVE</t>
    <phoneticPr fontId="2" type="noConversion"/>
  </si>
  <si>
    <t>GUILD_DELETE_FAIL</t>
    <phoneticPr fontId="2" type="noConversion"/>
  </si>
  <si>
    <t>GUILD_DELETE_GUILD_PARTY_MEMBER_CAN_NOT_LEAVE</t>
    <phoneticPr fontId="2" type="noConversion"/>
  </si>
  <si>
    <t>문파 파티 시 문파 탈퇴 불가</t>
    <phoneticPr fontId="2" type="noConversion"/>
  </si>
  <si>
    <t>문파 파티 가입 상태에서 문파 탈퇴 불가</t>
    <phoneticPr fontId="2" type="noConversion"/>
  </si>
  <si>
    <t>문파 해체 불가</t>
    <phoneticPr fontId="2" type="noConversion"/>
  </si>
  <si>
    <t>문파 파티 상태에서 문파 해체 불가</t>
    <phoneticPr fontId="2" type="noConversion"/>
  </si>
  <si>
    <t>GUILD_WRONG_STRING</t>
    <phoneticPr fontId="2" type="noConversion"/>
  </si>
  <si>
    <t>GUILD_NOT_RECRUIT_MEMBER</t>
    <phoneticPr fontId="2" type="noConversion"/>
  </si>
  <si>
    <t xml:space="preserve">GUILD_NOT_ENOUGH_COST </t>
    <phoneticPr fontId="2" type="noConversion"/>
  </si>
  <si>
    <t>GUILD_USER_APPLICANT_COUNT_IS_FUL</t>
    <phoneticPr fontId="2" type="noConversion"/>
  </si>
  <si>
    <t>GUILD_ALLIANCE_TARGET_REFUSE_ALLIANCE</t>
    <phoneticPr fontId="2" type="noConversion"/>
  </si>
  <si>
    <t xml:space="preserve">GUILD_GRADE_INVALID_OPTION_TYPE </t>
    <phoneticPr fontId="2" type="noConversion"/>
  </si>
  <si>
    <t>GUILD_EXIST_HOSTILITY</t>
    <phoneticPr fontId="2" type="noConversion"/>
  </si>
  <si>
    <t xml:space="preserve">GUILD_NOT_ENOUGH_LEVEL </t>
    <phoneticPr fontId="2" type="noConversion"/>
  </si>
  <si>
    <t>GUILD_CAN_NOT_CHANGE_GUILD_INFO_OCCUPATION</t>
    <phoneticPr fontId="2" type="noConversion"/>
  </si>
  <si>
    <t>GUILD_INVALID_GUILD_OPTION_TYPE</t>
    <phoneticPr fontId="2" type="noConversion"/>
  </si>
  <si>
    <t>GUILD_INVALID_GUILD_OPTION_VALUE</t>
    <phoneticPr fontId="2" type="noConversion"/>
  </si>
  <si>
    <t>GUILD_INVALID_GUILD_FAME_CATEGORY</t>
    <phoneticPr fontId="2" type="noConversion"/>
  </si>
  <si>
    <t>GUILD_NAME_CHANGE_SAME_NAME</t>
    <phoneticPr fontId="2" type="noConversion"/>
  </si>
  <si>
    <t>GUILD_NAME_CHANGE_SAME_MARK</t>
    <phoneticPr fontId="2" type="noConversion"/>
  </si>
  <si>
    <t>GUILD_SUPPLY_LOCK_INDEX</t>
    <phoneticPr fontId="2" type="noConversion"/>
  </si>
  <si>
    <t>GUILD_SUPPLY_NOT_SUPPLY_TIME</t>
    <phoneticPr fontId="2" type="noConversion"/>
  </si>
  <si>
    <t>MAIL_EXISTS_NICK_NAME</t>
  </si>
  <si>
    <t>MAIL_SYSTEM_ERROR</t>
  </si>
  <si>
    <t>받는 사람이 지정되지 않은 경우</t>
    <phoneticPr fontId="2" type="noConversion"/>
  </si>
  <si>
    <t>메일 관련한 오류 발생 (보통 DB 오류 사용)</t>
    <phoneticPr fontId="2" type="noConversion"/>
  </si>
  <si>
    <t>수신인을 지정하여야 합니다.</t>
  </si>
  <si>
    <t>MAIL_TITLE_LONG_STRING</t>
    <phoneticPr fontId="2" type="noConversion"/>
  </si>
  <si>
    <t>MAIL_TITLE_SUB_LONG_STRING</t>
    <phoneticPr fontId="2" type="noConversion"/>
  </si>
  <si>
    <t>MAIL_TEXT_LONG_STRING</t>
    <phoneticPr fontId="2" type="noConversion"/>
  </si>
  <si>
    <t>문자열 길이가 긴 경우 (제목)</t>
    <phoneticPr fontId="2" type="noConversion"/>
  </si>
  <si>
    <t>문자열 길이가 긴 경우 (부제목)</t>
    <phoneticPr fontId="2" type="noConversion"/>
  </si>
  <si>
    <t>문자열 길이가 긴 경우 (내용)</t>
    <phoneticPr fontId="2" type="noConversion"/>
  </si>
  <si>
    <t>문자열 입력하지 않는 경우 (제목 길이가 0)</t>
    <phoneticPr fontId="2" type="noConversion"/>
  </si>
  <si>
    <t>MAIL_TITLE_WRONG_INPUT_DATA</t>
    <phoneticPr fontId="2" type="noConversion"/>
  </si>
  <si>
    <t>우편의 제목이 없습니다.</t>
  </si>
  <si>
    <t>제목은 15자이내여야 합니다.</t>
  </si>
  <si>
    <t>부제목은 20자이내여야 합니다.</t>
  </si>
  <si>
    <t>내용은 9줄, 333자 이내여야 합니다.</t>
  </si>
  <si>
    <t>MAIL_INVALID_ITEM</t>
    <phoneticPr fontId="2" type="noConversion"/>
  </si>
  <si>
    <t>첨부 불가 아이템 포함</t>
    <phoneticPr fontId="2" type="noConversion"/>
  </si>
  <si>
    <t>첨부할 수 없는 아이템입니다.</t>
  </si>
  <si>
    <t>MAIL_SEND_COST_NOT_ENOUGH</t>
    <phoneticPr fontId="2" type="noConversion"/>
  </si>
  <si>
    <t>우편 발송 금액 부족</t>
    <phoneticPr fontId="2" type="noConversion"/>
  </si>
  <si>
    <t>동전이 부족하여 우편을 발송할 수 없습니다.</t>
  </si>
  <si>
    <t>자신에게 보낼 수 없습니다.</t>
  </si>
  <si>
    <t>MAIL_SEND_NOT_MYSELF</t>
    <phoneticPr fontId="2" type="noConversion"/>
  </si>
  <si>
    <t>자신에게 우편 발송 불가</t>
    <phoneticPr fontId="2" type="noConversion"/>
  </si>
  <si>
    <t>GUILD_DEVELOP_RECOMMEND_COUNT_MAX</t>
    <phoneticPr fontId="2" type="noConversion"/>
  </si>
  <si>
    <t xml:space="preserve">COMMON_TOO_SHORT_STRING </t>
    <phoneticPr fontId="2" type="noConversion"/>
  </si>
  <si>
    <t>BLOCK_FAIL_NOT_EXIST_USER</t>
    <phoneticPr fontId="2" type="noConversion"/>
  </si>
  <si>
    <t>BLOCK_FAIL_NOT_MYSELF</t>
    <phoneticPr fontId="2" type="noConversion"/>
  </si>
  <si>
    <t>BLOCK_FAIL_ALREADY_EXIST_USER</t>
    <phoneticPr fontId="2" type="noConversion"/>
  </si>
  <si>
    <t>BLOCK_FAIL_LIST_FULL</t>
    <phoneticPr fontId="2" type="noConversion"/>
  </si>
  <si>
    <t>BLOCK_CANCEL_NOT_EXIST_LIST</t>
    <phoneticPr fontId="2" type="noConversion"/>
  </si>
  <si>
    <t>존재하지 않는대상</t>
    <phoneticPr fontId="2" type="noConversion"/>
  </si>
  <si>
    <t>자기자신 등록할 수 없음</t>
    <phoneticPr fontId="2" type="noConversion"/>
  </si>
  <si>
    <t>이미등록 됨</t>
    <phoneticPr fontId="2" type="noConversion"/>
  </si>
  <si>
    <t>차단 목록 가득참</t>
    <phoneticPr fontId="2" type="noConversion"/>
  </si>
  <si>
    <t>차단 목록 없는 유저를 중복 삭제처리하려고 함</t>
    <phoneticPr fontId="2" type="noConversion"/>
  </si>
  <si>
    <t>GUILD_USER_JOIN_REQUEST_INFO_LOADING</t>
    <phoneticPr fontId="2" type="noConversion"/>
  </si>
  <si>
    <t xml:space="preserve">COMMON_TOO_LONG_STRING </t>
    <phoneticPr fontId="2" type="noConversion"/>
  </si>
  <si>
    <t>COMMON_CAN_NOT_USE_SPECIAL_CHARACTER</t>
    <phoneticPr fontId="2" type="noConversion"/>
  </si>
  <si>
    <t>COMMON_CAN_NOT_USE_SLANG_STRING</t>
    <phoneticPr fontId="2" type="noConversion"/>
  </si>
  <si>
    <t>AUTH_ERROR_EXIST_WORLD_RESERVE</t>
    <phoneticPr fontId="2" type="noConversion"/>
  </si>
  <si>
    <t>AUTH_ERROR_WRONG_SELECT_WORLD_ID</t>
    <phoneticPr fontId="2" type="noConversion"/>
  </si>
  <si>
    <t>AUTH_ERROR_NOT_EXIST_GATEWAY_INFO</t>
    <phoneticPr fontId="2" type="noConversion"/>
  </si>
  <si>
    <t>AUTH_ERROR_NOT_EXIST_SELECT_WORLD</t>
    <phoneticPr fontId="2" type="noConversion"/>
  </si>
  <si>
    <t>AUTH_ERROR_ALREADY_AUTH_USER</t>
    <phoneticPr fontId="2" type="noConversion"/>
  </si>
  <si>
    <t>AUTH_ERROR_WEB_AUTH_URL_IS_NULL</t>
    <phoneticPr fontId="2" type="noConversion"/>
  </si>
  <si>
    <t>AUTH_ERROR_WEB_AUTH_EXCEPTION</t>
    <phoneticPr fontId="2" type="noConversion"/>
  </si>
  <si>
    <t>AUTH_ERROR_WEB_AUTH_FAILURE</t>
    <phoneticPr fontId="2" type="noConversion"/>
  </si>
  <si>
    <t>AUTH_ERROR_WEB_AUTH_RESPONSE_NULL</t>
    <phoneticPr fontId="2" type="noConversion"/>
  </si>
  <si>
    <t>AUTH_ERROR_WEB_AUTH_ASK_TOKENID</t>
    <phoneticPr fontId="2" type="noConversion"/>
  </si>
  <si>
    <t>AUTH_ERROR_VERIFY_IDTOKEN_EXCEPTION</t>
    <phoneticPr fontId="2" type="noConversion"/>
  </si>
  <si>
    <t>AUTH_ERROR_NOT_EXIST_PROVIDER</t>
    <phoneticPr fontId="2" type="noConversion"/>
  </si>
  <si>
    <t>AUTH_ERROR_WRONG_EMAIL</t>
    <phoneticPr fontId="2" type="noConversion"/>
  </si>
  <si>
    <t>AUTH_ERROR_NOT_REGIST_DEVICE</t>
    <phoneticPr fontId="2" type="noConversion"/>
  </si>
  <si>
    <t>AUTH_ERROR_ASSIGN_ACCOUNT</t>
    <phoneticPr fontId="2" type="noConversion"/>
  </si>
  <si>
    <t>AUTH_ERROR_UserID</t>
    <phoneticPr fontId="2" type="noConversion"/>
  </si>
  <si>
    <t>AUTH_ERROR_ID_TOKEN</t>
    <phoneticPr fontId="2" type="noConversion"/>
  </si>
  <si>
    <t>AUTH_ERROR_CUSTOM_TOKEN</t>
    <phoneticPr fontId="2" type="noConversion"/>
  </si>
  <si>
    <t>AUTH_ERROR_SYSTEM</t>
    <phoneticPr fontId="2" type="noConversion"/>
  </si>
  <si>
    <t>AUTH_ERROR_REDIS</t>
    <phoneticPr fontId="2" type="noConversion"/>
  </si>
  <si>
    <t>AUTH_ERROR_MYSQL</t>
    <phoneticPr fontId="2" type="noConversion"/>
  </si>
  <si>
    <t>AUTH_ACCOUNT_BLOCK</t>
    <phoneticPr fontId="2" type="noConversion"/>
  </si>
  <si>
    <t>AUTH_ACCOUNT_ID_EMPTY</t>
    <phoneticPr fontId="2" type="noConversion"/>
  </si>
  <si>
    <t>AUTH_UNAUTHORIZED</t>
    <phoneticPr fontId="2" type="noConversion"/>
  </si>
  <si>
    <t>인증되지 않았다</t>
  </si>
  <si>
    <t>없는 계정</t>
  </si>
  <si>
    <t>블록된 계정</t>
  </si>
  <si>
    <t>Mysql Error</t>
  </si>
  <si>
    <t>Redis Error</t>
  </si>
  <si>
    <t>System Error</t>
  </si>
  <si>
    <t>Custom Token 발급 Error</t>
  </si>
  <si>
    <t>잘못된 id Token</t>
  </si>
  <si>
    <t>계정 생성 실패</t>
  </si>
  <si>
    <t>등록안된 Device</t>
  </si>
  <si>
    <t>이메일이 잘못되었다</t>
  </si>
  <si>
    <t>등록 안된 로그인 공급업체</t>
  </si>
  <si>
    <t>IdToken Error Exception</t>
  </si>
  <si>
    <t>TokenId Post Error</t>
  </si>
  <si>
    <t>인증 실패</t>
  </si>
  <si>
    <t>이미 인증중인 유저</t>
  </si>
  <si>
    <t>선택한 월드가 없다</t>
  </si>
  <si>
    <t>접속가능한 게이트웨이 정보가 없다</t>
  </si>
  <si>
    <t>잘못된 월드ID 선택</t>
  </si>
  <si>
    <t>이미 월드서버에 대기중인 정보가 있다</t>
  </si>
  <si>
    <t>잘못된 User Id(Token 정보와 맞지 않음)</t>
  </si>
  <si>
    <t>GUILD_NOT_ENOUGH_POWER</t>
    <phoneticPr fontId="2" type="noConversion"/>
  </si>
  <si>
    <t>GUILD_INVALID_AUTHORITY_TYPE</t>
    <phoneticPr fontId="2" type="noConversion"/>
  </si>
  <si>
    <t>GUILD_WAR_FAIL_BY_INVALID_REQ_IN_BOARD</t>
    <phoneticPr fontId="2" type="noConversion"/>
  </si>
  <si>
    <t xml:space="preserve">STRONG_POINT_ERROR_CAN_NOT_CHANGE_PK_MODE </t>
    <phoneticPr fontId="2" type="noConversion"/>
  </si>
  <si>
    <t>STRONG_POINT_ERROR_CAN_NOT_CHANGE_GUILD_INFO</t>
    <phoneticPr fontId="2" type="noConversion"/>
  </si>
  <si>
    <t>STRONG_POINT_ERROR_NOT_FIND_GUILD</t>
    <phoneticPr fontId="2" type="noConversion"/>
  </si>
  <si>
    <t>STRONG_POINT_ERROR_NOT_STRONG_POINT_BATTLE_FIELD</t>
    <phoneticPr fontId="2" type="noConversion"/>
  </si>
  <si>
    <t>STRONG_POINT_ERROR_ALREADY_OCCUPAID_GUILD</t>
    <phoneticPr fontId="2" type="noConversion"/>
  </si>
  <si>
    <t>STRONG_POINT_ERROR_NOT_EXIST_OCCUPATION_INFO</t>
    <phoneticPr fontId="2" type="noConversion"/>
  </si>
  <si>
    <t>STRONG_POINT_ERROR_BY_INVALID_REQ_IN_STATUS</t>
    <phoneticPr fontId="2" type="noConversion"/>
  </si>
  <si>
    <t>GUILD_MEMBER_POSITION_CAN_NOT_SET</t>
    <phoneticPr fontId="2" type="noConversion"/>
  </si>
  <si>
    <t>GUILD_MEMBER_POSITION_ALEADY_EXIST</t>
    <phoneticPr fontId="2" type="noConversion"/>
  </si>
  <si>
    <t xml:space="preserve">GUILD_HOSTILITY_COUNT_MAX </t>
    <phoneticPr fontId="2" type="noConversion"/>
  </si>
  <si>
    <t>GUILD_HOSTILITY_TARGETS_HOSTILTIY_COUNT_MAX</t>
    <phoneticPr fontId="2" type="noConversion"/>
  </si>
  <si>
    <t>GUILD_EXEDITION_NOT_TABLE</t>
  </si>
  <si>
    <t>GUILD_EXEDITION_ALREADY</t>
  </si>
  <si>
    <t>GUILD_EXEDITION_NOT_COST_VALUE</t>
  </si>
  <si>
    <t>GUILD_EXEDITION_NOT_TICKET</t>
  </si>
  <si>
    <t>GUILD_EXEDITION_ZONE_ENTER</t>
  </si>
  <si>
    <t>GUILD_EXEDITION_NOT_CREATE</t>
  </si>
  <si>
    <t>GUILD_WANTED_TARGET_IS_MEMBER</t>
    <phoneticPr fontId="2" type="noConversion"/>
  </si>
  <si>
    <t xml:space="preserve">GUILD_WANTED_ALREADY_EXIST  </t>
    <phoneticPr fontId="2" type="noConversion"/>
  </si>
  <si>
    <t>GUILD_WANTED_MAX_COUNT</t>
    <phoneticPr fontId="2" type="noConversion"/>
  </si>
  <si>
    <t xml:space="preserve">GUILD_WANTED_ADD_FAIL </t>
    <phoneticPr fontId="2" type="noConversion"/>
  </si>
  <si>
    <t xml:space="preserve">GUILD_WANTED_USER </t>
    <phoneticPr fontId="2" type="noConversion"/>
  </si>
  <si>
    <t xml:space="preserve">GUILD_EXIST_GUILD </t>
    <phoneticPr fontId="2" type="noConversion"/>
  </si>
  <si>
    <t>COST_OVER_MAX_VALUE_GUILD_COIN</t>
    <phoneticPr fontId="2" type="noConversion"/>
  </si>
  <si>
    <t>COST_OVER_MAX_VALUE_GUILD_HURB</t>
    <phoneticPr fontId="2" type="noConversion"/>
  </si>
  <si>
    <t>COST_OVER_MAX_VALUE_GUILD_ORE</t>
    <phoneticPr fontId="2" type="noConversion"/>
  </si>
  <si>
    <t>COST_OVER_MAX_VALUE_GUILD_SPIRIT</t>
    <phoneticPr fontId="2" type="noConversion"/>
  </si>
  <si>
    <t xml:space="preserve">조건이 만족하지 못한 상태입니다. </t>
  </si>
  <si>
    <t>건물이 오픈되지 않았습니다.</t>
  </si>
  <si>
    <t>정령 슬롯이 오픈되지 않았습니다.</t>
  </si>
  <si>
    <t>지금은 이용할 수 없습니다. {1}초 후, 다시 시도해주세요.</t>
  </si>
  <si>
    <t xml:space="preserve">업그레이드가 진행중입니다. </t>
  </si>
  <si>
    <t>업그레이드 준비가 되지 않았습니다.</t>
  </si>
  <si>
    <t>가방이 가득찼습니다.</t>
  </si>
  <si>
    <t>정령 슬롯이 부족합니다.</t>
  </si>
  <si>
    <t>데이터 오류입니다.</t>
  </si>
  <si>
    <t>정령 정보를 찾을 수 없습니다.</t>
  </si>
  <si>
    <t>동일한 정령 정보입니다. 확인 후, 다시 시도해 주세요.</t>
  </si>
  <si>
    <t>유효하지 않은 정보입니다.</t>
  </si>
  <si>
    <t>건물 정보를 찾을 수 없습니다.</t>
  </si>
  <si>
    <t>지금은 생산물을 수확할 수 없습니다.</t>
  </si>
  <si>
    <t xml:space="preserve">GREAT_BUILDING_OPEN_CONDITION_NOT_MET    </t>
    <phoneticPr fontId="2" type="noConversion"/>
  </si>
  <si>
    <t>GREAT_BUILDING_NOT_OPENED_BUILDING</t>
    <phoneticPr fontId="2" type="noConversion"/>
  </si>
  <si>
    <t>GREAT_BUILDING_NOT_OPEN_PET_SLOT</t>
    <phoneticPr fontId="2" type="noConversion"/>
  </si>
  <si>
    <t>GREAT_BUILDING_NOT_AVAILABLE_PET_CHANGEABLE_TIME</t>
    <phoneticPr fontId="2" type="noConversion"/>
  </si>
  <si>
    <t>GREAT_BUILDING_UPGRADE_ALREADY_PROGRESS</t>
    <phoneticPr fontId="2" type="noConversion"/>
  </si>
  <si>
    <t>GREAT_BUILDING_UPGRADE_NOT_IN_PROGRESS</t>
    <phoneticPr fontId="2" type="noConversion"/>
  </si>
  <si>
    <t>GREAT_BUILDING_NOT_ENOUGH_INVEN_COUNT</t>
    <phoneticPr fontId="2" type="noConversion"/>
  </si>
  <si>
    <t>GREAT_BUILDING_NOT_ENOUGH_PET_SLOT</t>
    <phoneticPr fontId="2" type="noConversion"/>
  </si>
  <si>
    <t>GREAT_BUILDING_NOT_FOUND_TABLE_DATA</t>
    <phoneticPr fontId="2" type="noConversion"/>
  </si>
  <si>
    <t>GREAT_BUILDING_NOT_FOUND_PET_DATA</t>
    <phoneticPr fontId="2" type="noConversion"/>
  </si>
  <si>
    <t>GREAT_BUILDING_SAME_PET_INFO</t>
    <phoneticPr fontId="2" type="noConversion"/>
  </si>
  <si>
    <t>GREAT_BUILDING_INVALID_PET_INFO</t>
    <phoneticPr fontId="2" type="noConversion"/>
  </si>
  <si>
    <t>GREAT_BUILDING_NOT_FOUND_BUILDING</t>
    <phoneticPr fontId="2" type="noConversion"/>
  </si>
  <si>
    <t>GREAT_BUILDING_CAN_NOT_HARVEST</t>
    <phoneticPr fontId="2" type="noConversion"/>
  </si>
  <si>
    <t>OCCUPATION_DOES_NOT_EXIST_OCCUPATION_INFO</t>
    <phoneticPr fontId="2" type="noConversion"/>
  </si>
  <si>
    <t>OCCUPATION_FAIL_BY_INVALID_REQ_IN_STATUS</t>
    <phoneticPr fontId="2" type="noConversion"/>
  </si>
  <si>
    <t>OCCUPATION_FAIL_BY_INVALID_REQ_IN_CAMP_KIND</t>
    <phoneticPr fontId="2" type="noConversion"/>
  </si>
  <si>
    <t>OCCUPATION_BIDDING_FAIL_BY_COOLTIME</t>
    <phoneticPr fontId="2" type="noConversion"/>
  </si>
  <si>
    <t>OCCUPATION_BIDDING_FAIL_BY_NOT_ENOUGH_MONEY</t>
    <phoneticPr fontId="2" type="noConversion"/>
  </si>
  <si>
    <t>OCCUPATION_BIDDING_FAIL_BY_INVALID_BIDDING_MONEY</t>
    <phoneticPr fontId="2" type="noConversion"/>
  </si>
  <si>
    <t>OCCUPATION_BIDDING_FAIL_BY_ALREADY_FIRST</t>
    <phoneticPr fontId="2" type="noConversion"/>
  </si>
  <si>
    <t>OCCUPATION_BIDDING_FAIL_BY_INVALID_GUILD</t>
    <phoneticPr fontId="2" type="noConversion"/>
  </si>
  <si>
    <t>선물 확인 중 에러가 발생했습니다. 다시 시도해 주세요.</t>
  </si>
  <si>
    <t>선물이 존재하지 않습니다.</t>
  </si>
  <si>
    <t>기간이 만료된 선물입니다.</t>
  </si>
  <si>
    <t>가방이 가득차 더 이상 획득할 수 없습니다.</t>
  </si>
  <si>
    <t>획득할 수 없는 시간입니다.</t>
  </si>
  <si>
    <t>황금 열쇠가 부족합니다.</t>
  </si>
  <si>
    <t>데이터 오류입니다. 다시 시도해 주세요.</t>
  </si>
  <si>
    <t>문파에 소속되어 있지 않습니다.</t>
  </si>
  <si>
    <t>GUILD_GIFT_FAIL</t>
    <phoneticPr fontId="2" type="noConversion"/>
  </si>
  <si>
    <t>GUILD_GIFT_NOT_EXIST_GIFT</t>
    <phoneticPr fontId="2" type="noConversion"/>
  </si>
  <si>
    <t>GUILD_GIFT_GET_FAIL_OVER_TIME</t>
    <phoneticPr fontId="2" type="noConversion"/>
  </si>
  <si>
    <t>GUILD_GIFT_GET_FAIL_INVEN_FULL</t>
    <phoneticPr fontId="2" type="noConversion"/>
  </si>
  <si>
    <t>GUILD_GIFT_OPEN_BOX_NOT_ENOUGH_TIME</t>
    <phoneticPr fontId="2" type="noConversion"/>
  </si>
  <si>
    <t>GUILD_GIFT_OPEN_BOX_NOT_ENOUGH_KEY</t>
    <phoneticPr fontId="2" type="noConversion"/>
  </si>
  <si>
    <t>GUILD_GIFT_OPEN_BOX_NOT_ENOUGH_INVEN</t>
    <phoneticPr fontId="2" type="noConversion"/>
  </si>
  <si>
    <t>GUILD_GIFT_WRONG_DATA</t>
    <phoneticPr fontId="2" type="noConversion"/>
  </si>
  <si>
    <t>GUILD_GIFT_OPEN_BOX_FAIL_NOT_EXIST_GUILD</t>
    <phoneticPr fontId="2" type="noConversion"/>
  </si>
  <si>
    <t>받을 수 있는 보상이 없습니다.</t>
    <phoneticPr fontId="2" type="noConversion"/>
  </si>
  <si>
    <t>COLLECTIONBOOK_NOT_EXIST_MONSTER_REWARD</t>
    <phoneticPr fontId="2" type="noConversion"/>
  </si>
  <si>
    <t>CHARACTER_DELETE_EXIST_GUILD</t>
    <phoneticPr fontId="2" type="noConversion"/>
  </si>
  <si>
    <t>SICKNESS_RECOVERY_SUPPORT_REGISTER</t>
    <phoneticPr fontId="2" type="noConversion"/>
  </si>
  <si>
    <t>SICKNESS_RECOVERY_NOT_GUILD</t>
    <phoneticPr fontId="2" type="noConversion"/>
  </si>
  <si>
    <t>SICKNESS_RECOVERY_ACCELERATION_POINT</t>
    <phoneticPr fontId="2" type="noConversion"/>
  </si>
  <si>
    <t>상대가 비무를 거절했습니다.</t>
  </si>
  <si>
    <t>GUILD_TARGET_ALREADY_EXIST_PARTNER_MEMBER</t>
    <phoneticPr fontId="2" type="noConversion"/>
  </si>
  <si>
    <t>GUILD_CANNOT_PARTNER_TO_TARGET</t>
    <phoneticPr fontId="2" type="noConversion"/>
  </si>
  <si>
    <t>DUEL_SAFE_STAGE</t>
    <phoneticPr fontId="2" type="noConversion"/>
  </si>
  <si>
    <t>DUEL_VEHICLE_STATE</t>
    <phoneticPr fontId="2" type="noConversion"/>
  </si>
  <si>
    <t>GUILD_ALLIANCE_COUNT_MAX</t>
    <phoneticPr fontId="2" type="noConversion"/>
  </si>
  <si>
    <t>없는 문파입니다.</t>
  </si>
  <si>
    <t xml:space="preserve">DB_NOT_EXISTS_GUILD </t>
    <phoneticPr fontId="2" type="noConversion"/>
  </si>
  <si>
    <t xml:space="preserve">COST_OVER_MAX_VALUE_GUILD_POINT </t>
  </si>
  <si>
    <t xml:space="preserve">GUILD_ALLIANCE_APPLICANT_COUNT_MAX                  </t>
  </si>
  <si>
    <t xml:space="preserve">GUILD_ALLIANCE_NOT_RECEIVE_APPLICANT                </t>
  </si>
  <si>
    <t xml:space="preserve">GUILD_ALLIANCE_NOT_APPLICANT                        </t>
  </si>
  <si>
    <t xml:space="preserve">GUILD_ALLIANCE_TARGET_APPLICANT_CANCEL              </t>
  </si>
  <si>
    <t xml:space="preserve">GUILD_ALLIANCE_TARGET_ALLIANCE_COUNT_MAX            </t>
  </si>
  <si>
    <t xml:space="preserve">GUILD_ALLIANCE_TARGET_RECEIVE_APPLICANT_COUNT_MAX   </t>
  </si>
  <si>
    <t xml:space="preserve">GUILD_ALLIANCE_TARGET_HOSTILITY                     </t>
  </si>
  <si>
    <t xml:space="preserve">GUILD_ALLIANCE_ALREADY_ALLIANCE                     </t>
  </si>
  <si>
    <t>동맹 요청을 받지 않는 문파입니다.</t>
  </si>
  <si>
    <t>동맹 요청을 하지 않은 문파입니다.</t>
  </si>
  <si>
    <t>동맹 요청을 취소한 문파입니다.</t>
  </si>
  <si>
    <t>더 이상 동맹 요청을 받을 수 없습니다.</t>
  </si>
  <si>
    <t>더 이상 동맹 요청을 받을 수 없는 문파입니다.</t>
  </si>
  <si>
    <t>전쟁중인 문파여서 동맹을 맺을 수 없습니다.</t>
  </si>
  <si>
    <t>이미 동맹을 맺은 문파입니다.</t>
  </si>
  <si>
    <t xml:space="preserve">GUILD_ALLIANCE_NOT_ALLIANCE            </t>
    <phoneticPr fontId="2" type="noConversion"/>
  </si>
  <si>
    <t>동맹 문파가 아닙니다.</t>
    <phoneticPr fontId="2" type="noConversion"/>
  </si>
  <si>
    <t>잠겨있는발전입니다</t>
  </si>
  <si>
    <t>발전레벨이최대치입니다</t>
  </si>
  <si>
    <t>발전에필요한경험치가부족합니다</t>
  </si>
  <si>
    <t>이미레벨업진행중입니다</t>
  </si>
  <si>
    <t>발전경험치가최대치입니다</t>
  </si>
  <si>
    <t>레벨업시간이아직끝나지않았습니다</t>
  </si>
  <si>
    <t>레벨업아직시작되지않았습니다</t>
  </si>
  <si>
    <t xml:space="preserve">GUILD_DEVELOP_LOCK                                  </t>
  </si>
  <si>
    <t xml:space="preserve">GUILD_DEVELOP_MAX_LEVEL                             </t>
  </si>
  <si>
    <t xml:space="preserve">GUILD_DEVELOP_NOT_ENOUGH_EXP                        </t>
  </si>
  <si>
    <t xml:space="preserve">GUILD_DEVELOP_LEVELUP_TIME                          </t>
  </si>
  <si>
    <t xml:space="preserve">GUILD_DEVELOP_EXP_MAX                               </t>
  </si>
  <si>
    <t xml:space="preserve">GUILD_DEVELOP_NOT_END_LEVELUP_TIME                  </t>
  </si>
  <si>
    <t xml:space="preserve">GUILD_DEVELOP_NOT_LEVELUP_START                     </t>
  </si>
  <si>
    <t>잠금해제 되지 않은 연구항목입니다.</t>
    <phoneticPr fontId="2" type="noConversion"/>
  </si>
  <si>
    <t>연구 레벨이 최대치입니다.</t>
    <phoneticPr fontId="2" type="noConversion"/>
  </si>
  <si>
    <t>연구를 시작하기 위한 경험치가 부족한 상태입니다.</t>
    <phoneticPr fontId="2" type="noConversion"/>
  </si>
  <si>
    <t>이미 연구가 진행중입니다.</t>
    <phoneticPr fontId="2" type="noConversion"/>
  </si>
  <si>
    <t>연구 항목의 경험치가 최대치입니다.</t>
    <phoneticPr fontId="2" type="noConversion"/>
  </si>
  <si>
    <t>연구가 종료되지 않았습니다.</t>
    <phoneticPr fontId="2" type="noConversion"/>
  </si>
  <si>
    <t>연구가 시작되지 않았습니다.</t>
    <phoneticPr fontId="2" type="noConversion"/>
  </si>
  <si>
    <t>하나의 연구 목록에 협력 추천은 한 번만 됩니다.</t>
    <phoneticPr fontId="2" type="noConversion"/>
  </si>
  <si>
    <t>우리 문파의 유저는 척살 대상으로 등록할 수 없습니다.</t>
    <phoneticPr fontId="2" type="noConversion"/>
  </si>
  <si>
    <t>이미 척살 대상으로 등록된 유저입니다.</t>
    <phoneticPr fontId="2" type="noConversion"/>
  </si>
  <si>
    <t>더 이상 척살 등록을 할 수 없습니다.</t>
    <phoneticPr fontId="2" type="noConversion"/>
  </si>
  <si>
    <t>척살 등록에 실패 했습니다.</t>
    <phoneticPr fontId="2" type="noConversion"/>
  </si>
  <si>
    <t>문파가 존재합니다.</t>
    <phoneticPr fontId="2" type="noConversion"/>
  </si>
  <si>
    <t xml:space="preserve">GUILD_DEVELOP_LEVELUP_FAIL </t>
    <phoneticPr fontId="2" type="noConversion"/>
  </si>
  <si>
    <t>레벨 업 실패</t>
    <phoneticPr fontId="2" type="noConversion"/>
  </si>
  <si>
    <t>GREAT_BUILDING_UPGRADE_CONDITION_NOT_MET</t>
    <phoneticPr fontId="2" type="noConversion"/>
  </si>
  <si>
    <t>GUILD_GIFT_GET_FAIL_ALREADY_OPEN</t>
  </si>
  <si>
    <t>GUILD_GIFT_GET_FAIL_MONEY_IS_FULL</t>
  </si>
  <si>
    <t>DOMINION_TAX_WITHDRAWAL_FAIL</t>
    <phoneticPr fontId="2" type="noConversion"/>
  </si>
  <si>
    <t>DOMINION_TAX_WITHDRAWAL_FAIL_NOT_EXIST_DOMINION</t>
    <phoneticPr fontId="2" type="noConversion"/>
  </si>
  <si>
    <t>DOMINION_TAX_WITHDRAWAL_FAIL_NOT_EXIST_GUILD</t>
    <phoneticPr fontId="2" type="noConversion"/>
  </si>
  <si>
    <t>DOMINION_TAX_WITHDRAWAL_FAIL_NOT_ENOUGH_TAX</t>
    <phoneticPr fontId="2" type="noConversion"/>
  </si>
  <si>
    <t>DOMINION_TAX_WITHDRAWAL_FAIL_NOT_MATCH_GUILD</t>
    <phoneticPr fontId="2" type="noConversion"/>
  </si>
  <si>
    <t>DOMINION_TAX_WITHDRAWAL_FAIL_NOT_AUTHORITY</t>
    <phoneticPr fontId="2" type="noConversion"/>
  </si>
  <si>
    <t>DOMINION_PRIZE_FAIL</t>
    <phoneticPr fontId="2" type="noConversion"/>
  </si>
  <si>
    <t>DOMINION_PRIZE_FAIL_NOT_EXIST_GUILD</t>
    <phoneticPr fontId="2" type="noConversion"/>
  </si>
  <si>
    <t>DOMINION_PRIZE_FAIL_NOT_AUTHORITY</t>
    <phoneticPr fontId="2" type="noConversion"/>
  </si>
  <si>
    <t>DOMINION_PRIZE_FAIL_NOT_ENOUGH_TAX</t>
    <phoneticPr fontId="2" type="noConversion"/>
  </si>
  <si>
    <t>DOMINION_PRIZE_FAIL_NOT_ENOUGH_COUNT</t>
    <phoneticPr fontId="2" type="noConversion"/>
  </si>
  <si>
    <t>DOMINION_PRIZE_FAIL_NOT_MATCH_GUILD</t>
    <phoneticPr fontId="2" type="noConversion"/>
  </si>
  <si>
    <t>DOMINION_IMPERIAL_ORDER_FAIL</t>
    <phoneticPr fontId="2" type="noConversion"/>
  </si>
  <si>
    <t>DOMINION_IMPERIAL_ORDER_FAIL_NOT_ENOUGH_TAX</t>
    <phoneticPr fontId="2" type="noConversion"/>
  </si>
  <si>
    <t>DOMINION_IMPERIAL_ORDER_FAIL_NOT_AUTHORITY</t>
    <phoneticPr fontId="2" type="noConversion"/>
  </si>
  <si>
    <t>DOMINION_IMPERIAL_ORDER_FAIL_NOT_EXIST_GUILD</t>
    <phoneticPr fontId="2" type="noConversion"/>
  </si>
  <si>
    <t>DOMINION_IMPERIAL_ORDER_FAIL_NOT_MATCH_GUILD</t>
    <phoneticPr fontId="2" type="noConversion"/>
  </si>
  <si>
    <t>DOMINION_TAX_RATE_CHAGNE_FAIL</t>
    <phoneticPr fontId="2" type="noConversion"/>
  </si>
  <si>
    <t>DOMINION_TAX_RATE_CHAGNE_FAIL_NOT_EXIST_DOMINION</t>
    <phoneticPr fontId="2" type="noConversion"/>
  </si>
  <si>
    <t>DOMINION_TAX_RATE_CHAGNE_FAIL_NOT_EXIST_GUILD</t>
    <phoneticPr fontId="2" type="noConversion"/>
  </si>
  <si>
    <t>DOMINION_TAX_RATE_CHAGNE_FAIL_SAME_RATE</t>
    <phoneticPr fontId="2" type="noConversion"/>
  </si>
  <si>
    <t>DOMINION_TAX_RATE_CHAGNE_FAIL_NOT_MATCH_GUILD</t>
    <phoneticPr fontId="2" type="noConversion"/>
  </si>
  <si>
    <t>DOMINION_TAX_RATE_CHAGNE_FAIL_NOT_AUTHORITY</t>
    <phoneticPr fontId="2" type="noConversion"/>
  </si>
  <si>
    <t>DOMINION_TITLE_CHAGNE_FAIL</t>
    <phoneticPr fontId="2" type="noConversion"/>
  </si>
  <si>
    <t>DOMINION_TITLE_CHAGNE_FAIL_NOT_EXIST_DOMINION</t>
    <phoneticPr fontId="2" type="noConversion"/>
  </si>
  <si>
    <t>DOMINION_TITLE_CHAGNE_FAIL_NOT_EXIST_GUILD</t>
    <phoneticPr fontId="2" type="noConversion"/>
  </si>
  <si>
    <t>DOMINION_TITLE_CHAGNE_FAIL_NOT_MATCH_GUILD</t>
    <phoneticPr fontId="2" type="noConversion"/>
  </si>
  <si>
    <t>DOMINION_TITLE_CHAGNE_FAIL_NOT_AUTHORITY</t>
    <phoneticPr fontId="2" type="noConversion"/>
  </si>
  <si>
    <t>DOMINION_TITLE_CHAGNE_FAIL_SAME_TITLE</t>
    <phoneticPr fontId="2" type="noConversion"/>
  </si>
  <si>
    <t>DOMINION_TITLE_CHAGNE_FAIL_NOT_EXIST_USER</t>
    <phoneticPr fontId="2" type="noConversion"/>
  </si>
  <si>
    <t>DOMINION_TITLE_CHAGNE_FAIL_DB_ERROR</t>
    <phoneticPr fontId="2" type="noConversion"/>
  </si>
  <si>
    <t>DOMINION_WANTED_ADD_FAIL</t>
    <phoneticPr fontId="2" type="noConversion"/>
  </si>
  <si>
    <t>DOMINION_WANTED_ADD_FAIL_NOT_AUTHORITY</t>
    <phoneticPr fontId="2" type="noConversion"/>
  </si>
  <si>
    <t>DOMINION_WANTED_ADD_FAIL_NOT_EXIST_GUILD</t>
    <phoneticPr fontId="2" type="noConversion"/>
  </si>
  <si>
    <t>DOMINION_WANTED_ADD_FAIL_NOT_MATCH_GUILD</t>
    <phoneticPr fontId="2" type="noConversion"/>
  </si>
  <si>
    <t>DOMINION_WANTED_ADD_FAIL_NOT_EXIST_USER</t>
    <phoneticPr fontId="2" type="noConversion"/>
  </si>
  <si>
    <t>DOMINION_WANTED_ADD_FAIL_NOT_ENOUGH_TAX</t>
    <phoneticPr fontId="2" type="noConversion"/>
  </si>
  <si>
    <t>DOMINION_WANTED_ADD_FAIL_ALREADY_EXIST_USER</t>
    <phoneticPr fontId="2" type="noConversion"/>
  </si>
  <si>
    <t>DOMINION_WANTED_ADD_FAIL_DB_ERROR</t>
    <phoneticPr fontId="2" type="noConversion"/>
  </si>
  <si>
    <t>DOMINION_IMPERIAL_ORDER_FAIL_ALREADY_EXIST</t>
    <phoneticPr fontId="2" type="noConversion"/>
  </si>
  <si>
    <t>칙명 실패 - 점령 길드가 아님</t>
  </si>
  <si>
    <t>영지 세율 변경 실패 - 영지 정보 없음</t>
  </si>
  <si>
    <t>영지 세율 변경 실패 - 길드 정보 없음</t>
  </si>
  <si>
    <t>영지 세율 변경 실패 - 인출 세금 부족</t>
  </si>
  <si>
    <t>영지 세율 변경 실패 - 점령 길드가 아님</t>
  </si>
  <si>
    <t>영지 세율 변경 실패 - 권한이 없는 유저</t>
  </si>
  <si>
    <t>영지 칭호 변경 실패 - 영지 정보 없음</t>
  </si>
  <si>
    <t>영지 칭호 변경 실패 - 길드 정보 없음</t>
  </si>
  <si>
    <t>영지 칭호 변경 실패 - 점령 길드가 아님</t>
  </si>
  <si>
    <t>영지 칭호 변경 실패 - 권한이 없는 유저</t>
  </si>
  <si>
    <t>영지 칭호 변경 실패 - 같은 칭호</t>
  </si>
  <si>
    <t>영지 칭호 변경 실패 - 존재하지 않는 유저</t>
  </si>
  <si>
    <t>영지 칭호 변경 실패 - DB 업데이트 실패</t>
  </si>
  <si>
    <t>영지 세금 인출 실패</t>
    <phoneticPr fontId="2" type="noConversion"/>
  </si>
  <si>
    <t>영지 세금 인출 실패 - 영지 정보 없음</t>
    <phoneticPr fontId="2" type="noConversion"/>
  </si>
  <si>
    <t>영지 세금 인출 실패 - 길드 정보 없음</t>
    <phoneticPr fontId="2" type="noConversion"/>
  </si>
  <si>
    <t>영지 세금 인출 실패 - 인출 세금 부족</t>
    <phoneticPr fontId="2" type="noConversion"/>
  </si>
  <si>
    <t>영지 세금 인출 실패 - 점령 길드가 아님</t>
    <phoneticPr fontId="2" type="noConversion"/>
  </si>
  <si>
    <t>영지 세금 인출 실패 - 권한이 없는 유저</t>
    <phoneticPr fontId="2" type="noConversion"/>
  </si>
  <si>
    <t>영지 포상 실패</t>
    <phoneticPr fontId="2" type="noConversion"/>
  </si>
  <si>
    <t>영지 포상 실패 - 길드가 없거나 길드 유저가 아님</t>
    <phoneticPr fontId="2" type="noConversion"/>
  </si>
  <si>
    <t>영지 포상 실패 - 권한이 없음</t>
    <phoneticPr fontId="2" type="noConversion"/>
  </si>
  <si>
    <t>영지 포상 실패 - 재화 부족</t>
    <phoneticPr fontId="2" type="noConversion"/>
  </si>
  <si>
    <t>영지 포상 실패 - 수량 부족</t>
    <phoneticPr fontId="2" type="noConversion"/>
  </si>
  <si>
    <t>영지 포상 실패 - 점령 길드가 아님</t>
    <phoneticPr fontId="2" type="noConversion"/>
  </si>
  <si>
    <t>칙명 실패</t>
    <phoneticPr fontId="2" type="noConversion"/>
  </si>
  <si>
    <t>칙명 실패 - 재화부족</t>
    <phoneticPr fontId="2" type="noConversion"/>
  </si>
  <si>
    <t>칙명 실패 - 권한이 없음</t>
    <phoneticPr fontId="2" type="noConversion"/>
  </si>
  <si>
    <t>칙명 실패 - 길드가 없거나 길드 유저가 아님</t>
    <phoneticPr fontId="2" type="noConversion"/>
  </si>
  <si>
    <t>칙명 실패 - 점령 길드가 아님</t>
    <phoneticPr fontId="2" type="noConversion"/>
  </si>
  <si>
    <t>잘못된 재화 타입</t>
    <phoneticPr fontId="2" type="noConversion"/>
  </si>
  <si>
    <t>영지 정보가 없습니다.</t>
  </si>
  <si>
    <t>문파 정보가 존재하지 않습니다.</t>
  </si>
  <si>
    <t>인출할 세금이 부족합니다. 확인 후 다시 시도하여 주시기 바랍니다.</t>
  </si>
  <si>
    <t>기능을 사용할 권한이 없습니다.</t>
  </si>
  <si>
    <t>점령한 문파가 아닙니다.</t>
  </si>
  <si>
    <t>재화가 부족하여 사용할 수 없습니다.</t>
  </si>
  <si>
    <t>영지 수배 실패 - 권한이 없는 유저</t>
  </si>
  <si>
    <t>영지 수배 실패 - 길드 정보 없음</t>
  </si>
  <si>
    <t>영지 수배 실패 - 점령 길드가 아님</t>
  </si>
  <si>
    <t>영지 수배 실패 - 존재하지 않는 유저</t>
  </si>
  <si>
    <t>영지 수배 실패 - 재화 부족</t>
  </si>
  <si>
    <t>영지 수배 실패 - DB 업데이트 실패</t>
  </si>
  <si>
    <t>TRADE_NOT_EXIST_REGISTER_ITEM</t>
    <phoneticPr fontId="2" type="noConversion"/>
  </si>
  <si>
    <t>TRADE_CANNOT_TRADE_ITEM</t>
    <phoneticPr fontId="2" type="noConversion"/>
  </si>
  <si>
    <t>TRADE_CANNOT_USE_TIME_TYPE</t>
    <phoneticPr fontId="2" type="noConversion"/>
  </si>
  <si>
    <t>TRADE_SMALL_STACK_COUNT</t>
    <phoneticPr fontId="2" type="noConversion"/>
  </si>
  <si>
    <t>TRADE_YET_EXIST_JEWEL</t>
    <phoneticPr fontId="2" type="noConversion"/>
  </si>
  <si>
    <t>TRADE_WRONG_SELL_COST_TYPE</t>
    <phoneticPr fontId="2" type="noConversion"/>
  </si>
  <si>
    <t>TRADE_WRONG_SELL_COST_VALUE</t>
    <phoneticPr fontId="2" type="noConversion"/>
  </si>
  <si>
    <t>TRADE_SMALL_REGISTER_COMMISSION_COST</t>
    <phoneticPr fontId="2" type="noConversion"/>
  </si>
  <si>
    <t>TRADE_SMALL_PURCHASE_COST</t>
    <phoneticPr fontId="2" type="noConversion"/>
  </si>
  <si>
    <t>TRADE_SMALL_INVENTORY</t>
    <phoneticPr fontId="2" type="noConversion"/>
  </si>
  <si>
    <t xml:space="preserve">TRADE_NOT_EXIST_REGISTER_DATA </t>
    <phoneticPr fontId="2" type="noConversion"/>
  </si>
  <si>
    <t>TRADE_ALREADY_PUCHASE_ANOTHER_USER</t>
    <phoneticPr fontId="2" type="noConversion"/>
  </si>
  <si>
    <t>TRADE_NOT_SALES_TRADE_ITEM</t>
    <phoneticPr fontId="2" type="noConversion"/>
  </si>
  <si>
    <t>TRADE_SALES_END_TRADE_ITEM</t>
    <phoneticPr fontId="2" type="noConversion"/>
  </si>
  <si>
    <t>TRADE_WRONG_CALCULATE_COST_INFO</t>
    <phoneticPr fontId="2" type="noConversion"/>
  </si>
  <si>
    <t>TRADE_MAX_CALCULATE_COST</t>
    <phoneticPr fontId="2" type="noConversion"/>
  </si>
  <si>
    <t>TRADE_ALREDY_ANOTHER_PROCESSING</t>
    <phoneticPr fontId="2" type="noConversion"/>
  </si>
  <si>
    <t>TRADE_CANNOT_CANCEL_OTHER_USER</t>
    <phoneticPr fontId="2" type="noConversion"/>
  </si>
  <si>
    <t>TRADE_CANNOT_PURCHASE_MY_ITEM</t>
    <phoneticPr fontId="2" type="noConversion"/>
  </si>
  <si>
    <t>TRADE_CANNOT_REGISTER_COST_ZERO</t>
    <phoneticPr fontId="2" type="noConversion"/>
  </si>
  <si>
    <t>TRADE_CANNOT_REGISTER_STACK_COUNT_ZERO</t>
    <phoneticPr fontId="2" type="noConversion"/>
  </si>
  <si>
    <t>등록할 아이템 없음</t>
    <phoneticPr fontId="2" type="noConversion"/>
  </si>
  <si>
    <t>거래불가능 아이템</t>
    <phoneticPr fontId="2" type="noConversion"/>
  </si>
  <si>
    <t>사용불가능한 타입</t>
    <phoneticPr fontId="2" type="noConversion"/>
  </si>
  <si>
    <t>수량 부족</t>
    <phoneticPr fontId="2" type="noConversion"/>
  </si>
  <si>
    <t>잘못된 판매 타입</t>
    <phoneticPr fontId="2" type="noConversion"/>
  </si>
  <si>
    <t>잘못된 판매 가격</t>
    <phoneticPr fontId="2" type="noConversion"/>
  </si>
  <si>
    <t>등록 수수료 부족</t>
    <phoneticPr fontId="2" type="noConversion"/>
  </si>
  <si>
    <t>구매비용 부족</t>
    <phoneticPr fontId="2" type="noConversion"/>
  </si>
  <si>
    <t>인벤 부족</t>
    <phoneticPr fontId="2" type="noConversion"/>
  </si>
  <si>
    <t>등록정보 없음</t>
    <phoneticPr fontId="2" type="noConversion"/>
  </si>
  <si>
    <t>이미 다른유저가 구입중</t>
    <phoneticPr fontId="2" type="noConversion"/>
  </si>
  <si>
    <t>판매중이 아이템 아님</t>
    <phoneticPr fontId="2" type="noConversion"/>
  </si>
  <si>
    <t>판매종료된 아이템</t>
    <phoneticPr fontId="2" type="noConversion"/>
  </si>
  <si>
    <t>잘못된 정산 비용 정보</t>
    <phoneticPr fontId="2" type="noConversion"/>
  </si>
  <si>
    <t>정산 비용이 최대치임</t>
    <phoneticPr fontId="2" type="noConversion"/>
  </si>
  <si>
    <t>이미 다른프로세스가 진행중인 아이템</t>
    <phoneticPr fontId="2" type="noConversion"/>
  </si>
  <si>
    <t>다른 유저의 아이템은 취소할수 없음</t>
    <phoneticPr fontId="2" type="noConversion"/>
  </si>
  <si>
    <t>내아이템은 구매할수 없음</t>
    <phoneticPr fontId="2" type="noConversion"/>
  </si>
  <si>
    <t>0원으로 등록할수 없음</t>
    <phoneticPr fontId="2" type="noConversion"/>
  </si>
  <si>
    <t>0개를 등록할 수 없음</t>
    <phoneticPr fontId="2" type="noConversion"/>
  </si>
  <si>
    <t>아직 마석이 존재함</t>
    <phoneticPr fontId="2" type="noConversion"/>
  </si>
  <si>
    <t>USER_EVENT_NOT_FOUND_TABLE_DATA</t>
  </si>
  <si>
    <t>데이터를 찾을 수 없음</t>
  </si>
  <si>
    <t xml:space="preserve">USER_EVENT_NOT_PROGRESS_EVENT </t>
  </si>
  <si>
    <t>진행중이지 않은 이벤트</t>
  </si>
  <si>
    <t>USER_EVENT_ALREADY_PARTICIPATE</t>
  </si>
  <si>
    <t>이미 참여한 이벤트</t>
  </si>
  <si>
    <t>USER_EVENT_INVALID_EVENT_STEP</t>
  </si>
  <si>
    <t>유효하지 않은 이벤트 스텝</t>
    <phoneticPr fontId="2" type="noConversion"/>
  </si>
  <si>
    <t>USER_EVENT_CONDITION_IS_NOT_MET</t>
  </si>
  <si>
    <t>이벤트 조건을 만족하지 못함</t>
  </si>
  <si>
    <t>USER_EVENT_REWARD_NOT_ENOUGH_INVEN_COUNT</t>
  </si>
  <si>
    <t>인벤 공간이 부족</t>
  </si>
  <si>
    <t>GUILD_NPC_SHOP_TOO_MONEY_RECV_COST</t>
    <phoneticPr fontId="2" type="noConversion"/>
  </si>
  <si>
    <t>GUILD_NPC_SHOP_SELL_MONEY_MAX_COST_OVER</t>
    <phoneticPr fontId="2" type="noConversion"/>
  </si>
  <si>
    <t>GUILD_NPC_SHOP_NOT_HAVE_DOMINION</t>
    <phoneticPr fontId="2" type="noConversion"/>
  </si>
  <si>
    <t>GUILD_NPC_SHOP_ALREADY_OPEN</t>
    <phoneticPr fontId="2" type="noConversion"/>
  </si>
  <si>
    <t>GUILD_NPC_SHOP_NOT_EMPTY</t>
    <phoneticPr fontId="2" type="noConversion"/>
  </si>
  <si>
    <t>GUILD_NPC_SHOP_TODAY_NOMORE_OPEN</t>
    <phoneticPr fontId="2" type="noConversion"/>
  </si>
  <si>
    <t>GUILD_NPC_SHOP_NOT_OPEN</t>
    <phoneticPr fontId="2" type="noConversion"/>
  </si>
  <si>
    <t>GUILD_NPC_SHOP_EMPTY</t>
    <phoneticPr fontId="2" type="noConversion"/>
  </si>
  <si>
    <t>GUILD_NPC_SHOP_ROW_PRICE</t>
    <phoneticPr fontId="2" type="noConversion"/>
  </si>
  <si>
    <t xml:space="preserve">GUILD_NPC_SHOP_HIGH_PRICE   </t>
    <phoneticPr fontId="2" type="noConversion"/>
  </si>
  <si>
    <t>GUILD_NPC_SHOP_NOT_ENHOUGH_SELL_GOODS</t>
    <phoneticPr fontId="2" type="noConversion"/>
  </si>
  <si>
    <t>GUILD_NPC_SHOP_STOP</t>
    <phoneticPr fontId="2" type="noConversion"/>
  </si>
  <si>
    <t>GUILD_NPC_SHOP_CAN_NOT_OPEN_TIME</t>
    <phoneticPr fontId="2" type="noConversion"/>
  </si>
  <si>
    <t>COMMON_NOT_ENOUGH_TIMETICKET</t>
  </si>
  <si>
    <t>COMMON_FAIL_SET_DATA_NOT_TABLE</t>
  </si>
  <si>
    <t>기획 데이터 오류</t>
    <phoneticPr fontId="2" type="noConversion"/>
  </si>
  <si>
    <t>티겟 부족 오류</t>
    <phoneticPr fontId="2" type="noConversion"/>
  </si>
  <si>
    <t>GUILD_DEVELOP_NOT_LEVELUP</t>
    <phoneticPr fontId="2" type="noConversion"/>
  </si>
  <si>
    <t>ITEM_CAN_NOT_LOCK</t>
    <phoneticPr fontId="2" type="noConversion"/>
  </si>
  <si>
    <t>아이템 잠금 설정</t>
    <phoneticPr fontId="2" type="noConversion"/>
  </si>
  <si>
    <t>MAIL_RECV_GIFT_ALL</t>
    <phoneticPr fontId="2" type="noConversion"/>
  </si>
  <si>
    <t>첨부된 물품을 모두 수령</t>
    <phoneticPr fontId="2" type="noConversion"/>
  </si>
  <si>
    <t>첨부된 물품을 모두 획득하였습니다.</t>
  </si>
  <si>
    <t>상점버전이틀리다.</t>
  </si>
  <si>
    <t>존재하지않는메인카테고리</t>
  </si>
  <si>
    <t>존재하지않는서브카테고리</t>
  </si>
  <si>
    <t>이용할수없는상품</t>
  </si>
  <si>
    <t>재화부족</t>
  </si>
  <si>
    <t>정의안된상품타입</t>
  </si>
  <si>
    <t>구입카운트제한</t>
  </si>
  <si>
    <t>레벨제한</t>
  </si>
  <si>
    <t>[공성전] 존재하지 않는 공성전 정보입니다.</t>
  </si>
  <si>
    <t>[공성전] 점령전 요청 실패 BY 점령전 상태에 맞지 않는 요청</t>
  </si>
  <si>
    <t>[공성전] 점령전 요청 실패 BY 진영상 권한이 없는 길드</t>
  </si>
  <si>
    <t>[공성전] 점령전 경매 입찰 실패 BY 쿨타임</t>
  </si>
  <si>
    <t>[공성전] 점령전 경매 입찰 실패 BY 길드 동전 부족</t>
  </si>
  <si>
    <t>[공성전] 점령전 경매 입찰 실패 BY 잘못된 입찰 금액</t>
  </si>
  <si>
    <t>[공성전] 점령전 경매 입찰 실패 BY 이미 첫번째 입찰 대상자이다.</t>
  </si>
  <si>
    <t>[공성전] 점령전 경매 입찰 실패 BY 입찰 할수 없는 길드이다.(점령 길드 or 점령전 대상인 길드 or 다른 점령전의 낙찰 대상 길드)</t>
  </si>
  <si>
    <t>[공성전] 점령전 상황판 요청 실패 ( 잘못된 요청 )</t>
  </si>
  <si>
    <t>[공성전] 랭킹 리플레스 시간이 아니다, 클라이언트에서 요 패킷을 받으면 기존 정보을 표시 해줘야 한다.</t>
  </si>
  <si>
    <t>[공성전] 공성 무기 구입 잘못된 요청이다.</t>
  </si>
  <si>
    <t>[공성전] 구입 하려는 공성 무기가 이미 존재 한다.</t>
  </si>
  <si>
    <t>[공성전] 구입 처리 중이다.(같은 무기을 동시에 구입 요청할 경우 나올수 있다)</t>
  </si>
  <si>
    <t xml:space="preserve"> ITEM_CAN_NOT_EQUIP_DIFF_PET_ORISIN_TYPE</t>
    <phoneticPr fontId="2" type="noConversion"/>
  </si>
  <si>
    <t>[아이템] 정령 계열 전용 아이템. 다른 계열 보물을 착용.</t>
    <phoneticPr fontId="2" type="noConversion"/>
  </si>
  <si>
    <t>존재하지 않는 공성전 정보입니다.</t>
  </si>
  <si>
    <t>공성전 조건에 맞지 않습니다.</t>
  </si>
  <si>
    <t>공성전 권한이 없습니다.</t>
  </si>
  <si>
    <t>재 입찰 대기시간이 존재합니다.</t>
  </si>
  <si>
    <t>최저 입찰금액 이상 입찰해야 합니다.</t>
  </si>
  <si>
    <t>공성전 진행이 결정된 문파는 입찰할 수 없습니다.</t>
  </si>
  <si>
    <t>이미 입찰하여 다시 입찰할 수 없습니다.</t>
  </si>
  <si>
    <t>상황판 갱신에 실패했습니다.</t>
  </si>
  <si>
    <t>거점전 맵의 경우, 적대만 가능</t>
  </si>
  <si>
    <t>공성무기 구입을 처리 중에 있습니다.</t>
  </si>
  <si>
    <t>공성전이 진행중이 아니어서 점령할 수 없습니다.</t>
  </si>
  <si>
    <t>공성전 정보를 저장하지 못했습니다.</t>
  </si>
  <si>
    <t>최근에 랭킹이 갱신되어 새로운 정보를 불러올 수 없습니다.</t>
  </si>
  <si>
    <t>공성무기를 구입할 수 없는 상태입니다.</t>
  </si>
  <si>
    <t>CASTING_DROP_OBJECT_NOT_OWNERSHIP</t>
  </si>
  <si>
    <t>약탈 오브젝트 소유권 없음.</t>
    <phoneticPr fontId="2" type="noConversion"/>
  </si>
  <si>
    <t>배틀 패스 미션을 달성하지 않았습니다.</t>
    <phoneticPr fontId="2" type="noConversion"/>
  </si>
  <si>
    <t>이미 배틀 패스 보상을 받았습니다.</t>
    <phoneticPr fontId="2" type="noConversion"/>
  </si>
  <si>
    <t>배틀 패스 미션 정보가 일치하지 않습니다.</t>
    <phoneticPr fontId="2" type="noConversion"/>
  </si>
  <si>
    <t>배틀 패스 보상받을 인벤토리 가득찼습니다.</t>
    <phoneticPr fontId="2" type="noConversion"/>
  </si>
  <si>
    <t>배틀 패스 미션 포인트가 부족합니다.</t>
    <phoneticPr fontId="2" type="noConversion"/>
  </si>
  <si>
    <t>배틀 패스 즉시 완료에 필요한 재화가 부족합니다.</t>
    <phoneticPr fontId="2" type="noConversion"/>
  </si>
  <si>
    <t>배틀 패스 시즌권이 없습니다.</t>
    <phoneticPr fontId="2" type="noConversion"/>
  </si>
  <si>
    <t>BATTLE_PASS_NOT_CLEAR</t>
  </si>
  <si>
    <t>BATTLE_PASS_ALREADY_REWARD</t>
  </si>
  <si>
    <t>BATTLE_PASS_COMPLETE_INFO_NOT_MATCH</t>
  </si>
  <si>
    <t>BATTLE_PASS_NOT_ENOUGH_INVEN_COUNT</t>
  </si>
  <si>
    <t>BATTLE_PASS_NOT_ENOUGH_MISSION_POINT</t>
  </si>
  <si>
    <t>BATTLE_PASS_NOT_ENOUGH_IMMEDIATE_VALUE</t>
  </si>
  <si>
    <t>BATTLE_PASS_NOT_EXIST_TICKET</t>
  </si>
  <si>
    <t>접속이 제한된 서버입니다.</t>
  </si>
  <si>
    <t>AUTH_ERROR_USER_CONNECT_LIMIT</t>
  </si>
  <si>
    <t>서버 점검중입니다.</t>
  </si>
  <si>
    <t>AUTH_ERROR_SERVER_CHECKING</t>
  </si>
  <si>
    <t>접속 제한 서버</t>
    <phoneticPr fontId="2" type="noConversion"/>
  </si>
  <si>
    <t>점검중인 서버</t>
    <phoneticPr fontId="2" type="noConversion"/>
  </si>
  <si>
    <t>CASTING_DROP_OBJECT_STEAL_LIMIT_COUNT</t>
  </si>
  <si>
    <t>약탈 오브젝트 수집 횟수 초과</t>
    <phoneticPr fontId="2" type="noConversion"/>
  </si>
  <si>
    <t xml:space="preserve">SIEGE_BIDDING_FAIL_BY_GUILD_DEV_LEVEL </t>
    <phoneticPr fontId="2" type="noConversion"/>
  </si>
  <si>
    <t>DEATH_PENALTY_FREE_RECOVERY_LIMIT</t>
    <phoneticPr fontId="2" type="noConversion"/>
  </si>
  <si>
    <t>무료 회복 횟수 부족 시</t>
    <phoneticPr fontId="2" type="noConversion"/>
  </si>
  <si>
    <t xml:space="preserve">GUILD_DEVELOP_SKILL_START    </t>
    <phoneticPr fontId="2" type="noConversion"/>
  </si>
  <si>
    <t>문파 기술 에러 / 스킬 이미 스킬 사용중</t>
    <phoneticPr fontId="2" type="noConversion"/>
  </si>
  <si>
    <t>HARACTER_EXP_BOOSTER_CHANGE_FAIL_FULL_GATHER_TIME</t>
    <phoneticPr fontId="2" type="noConversion"/>
  </si>
  <si>
    <t xml:space="preserve">수집으로 획득할 수 있는 활력 에너지가 가득차 있습니다. </t>
    <phoneticPr fontId="2" type="noConversion"/>
  </si>
  <si>
    <t>DUNGEON_TICKET_CAHRGE_FAIL</t>
  </si>
  <si>
    <t>DUNGEON_TICKET_CAHRGE_FAIL_WRONG_TYPE</t>
  </si>
  <si>
    <t>DUNGEON_TICKET_CAHRGE_FAIL_OVER_COUNT</t>
  </si>
  <si>
    <t>DUNGEON_TICKET_CAHRGE_FAIL_NOT_ENOUGH_MONEY</t>
    <phoneticPr fontId="2" type="noConversion"/>
  </si>
  <si>
    <t>DUNGEON_TICKET_CAHRGE_FAIL_OVER_RECHARGE_COUNT</t>
  </si>
  <si>
    <t>실패</t>
    <phoneticPr fontId="2" type="noConversion"/>
  </si>
  <si>
    <t>티켓 타입 오류</t>
    <phoneticPr fontId="2" type="noConversion"/>
  </si>
  <si>
    <t>유저가 가질수 있는 Max 오버</t>
    <phoneticPr fontId="2" type="noConversion"/>
  </si>
  <si>
    <t>재화 부족</t>
    <phoneticPr fontId="2" type="noConversion"/>
  </si>
  <si>
    <t>충전 횟수 초과</t>
    <phoneticPr fontId="2" type="noConversion"/>
  </si>
  <si>
    <t>입장권 충전 상한에 도달하여 더 이상 사용할 수 없습니다.</t>
  </si>
  <si>
    <t>입장권 충전을 실패하였습니다. 잠시후 다시 시도하여 주세요.</t>
  </si>
  <si>
    <t>존재하지 않는 종류의 입장권입니다.</t>
  </si>
  <si>
    <t>충전할 금화가 부족합니다.</t>
  </si>
  <si>
    <t>일일 충전 가능한 횟수를 초과하였습니다.</t>
  </si>
  <si>
    <t>ZONE_STAGE_IS_FULL</t>
  </si>
  <si>
    <t>해당 스테이지가 꽉차서 채널 못만들때</t>
  </si>
  <si>
    <t>파티장이 아니어서 이동할 수 없습니다.</t>
  </si>
  <si>
    <t>채널 지역이 아니어서 이동할 수 없습니다.</t>
  </si>
  <si>
    <t>삭제된 채널입니다. 잠시후 다시 시도하여 주세요.</t>
  </si>
  <si>
    <t>같은 채널로는 이동할 수 없습니다.</t>
  </si>
  <si>
    <t>시스템 에러가 발생하였습니다. (Code: 27000004)</t>
  </si>
  <si>
    <t>채널이 포화상태라 이동할 수 없습니다.</t>
  </si>
  <si>
    <t>가챠 뽑기 실패</t>
    <phoneticPr fontId="2" type="noConversion"/>
  </si>
  <si>
    <t>GACHA_PULL_FAIL</t>
    <phoneticPr fontId="2" type="noConversion"/>
  </si>
  <si>
    <t>GACHA_PULL_FAIL_NOT_FREE_TYPE</t>
    <phoneticPr fontId="2" type="noConversion"/>
  </si>
  <si>
    <t>GACHA_PULL_FAIL_OVER_FREE_COUNT</t>
    <phoneticPr fontId="2" type="noConversion"/>
  </si>
  <si>
    <t>GACHA_PULL_FAIL_NOT_FREE_TIME</t>
    <phoneticPr fontId="2" type="noConversion"/>
  </si>
  <si>
    <t>GACHA_PULL_FAIL_NOT_EXIST_FREE_ITEM</t>
    <phoneticPr fontId="2" type="noConversion"/>
  </si>
  <si>
    <t>GACHA_PULL_FAIL_SMALL_COUNT_FREE_ITEM</t>
    <phoneticPr fontId="2" type="noConversion"/>
  </si>
  <si>
    <t>GACHA_PULL_FAIL_OVER_DAY_COUNT_GOLD</t>
    <phoneticPr fontId="2" type="noConversion"/>
  </si>
  <si>
    <t>GACHA_PULL_FAIL_SMALL_COST_MONEY</t>
    <phoneticPr fontId="2" type="noConversion"/>
  </si>
  <si>
    <t>GACHA_PULL_FAIL_FULL_INVEN</t>
    <phoneticPr fontId="2" type="noConversion"/>
  </si>
  <si>
    <t xml:space="preserve">GACHA_PULL_FAIL_WRONG_TYPE </t>
    <phoneticPr fontId="2" type="noConversion"/>
  </si>
  <si>
    <t>GACHA_PULL_FAIL_REWARD_ITEM_IS_NULL</t>
    <phoneticPr fontId="2" type="noConversion"/>
  </si>
  <si>
    <t>GACHA_PULL_FAIL_NOT_ENOUGH_LEVEL</t>
    <phoneticPr fontId="2" type="noConversion"/>
  </si>
  <si>
    <t>무료 뽑기가 없는 가챠를 무료로 뽑으려고 할때</t>
    <phoneticPr fontId="2" type="noConversion"/>
  </si>
  <si>
    <t>무료 뽑기시 무료뽑기 카운트 오버</t>
    <phoneticPr fontId="2" type="noConversion"/>
  </si>
  <si>
    <t>무료 뽑기시 무료뽑기 시간이 아직 안됨</t>
    <phoneticPr fontId="2" type="noConversion"/>
  </si>
  <si>
    <t>아이템뽑기시 아이템 없음</t>
    <phoneticPr fontId="2" type="noConversion"/>
  </si>
  <si>
    <t>아이템뽑기시 아이템 부족</t>
    <phoneticPr fontId="2" type="noConversion"/>
  </si>
  <si>
    <t>골드 뽑기시 일일 횟수 오버</t>
    <phoneticPr fontId="2" type="noConversion"/>
  </si>
  <si>
    <t>골드 뽑기시 재화 부족</t>
    <phoneticPr fontId="2" type="noConversion"/>
  </si>
  <si>
    <t>인벤토리 꽉참</t>
    <phoneticPr fontId="2" type="noConversion"/>
  </si>
  <si>
    <t xml:space="preserve"> 잘못된 타입</t>
    <phoneticPr fontId="2" type="noConversion"/>
  </si>
  <si>
    <t>뽑기로 나온 아이템이 없음(데이터 없음)</t>
    <phoneticPr fontId="2" type="noConversion"/>
  </si>
  <si>
    <t xml:space="preserve"> 뽑기 레벨 부족</t>
    <phoneticPr fontId="2" type="noConversion"/>
  </si>
  <si>
    <t>ITEM_NOT_MAKE_NOT_EVENT_TIME</t>
    <phoneticPr fontId="2" type="noConversion"/>
  </si>
  <si>
    <t>제작 이벤트 기간 설정</t>
    <phoneticPr fontId="2" type="noConversion"/>
  </si>
  <si>
    <t>일일 반복 횟수를 초과하여 더 이상 진행할 수 없습니다.</t>
  </si>
  <si>
    <t>REPEATMISSION_DAILY_COUNT_EXCESS_ERROR</t>
    <phoneticPr fontId="2" type="noConversion"/>
  </si>
  <si>
    <t>일일반복 횟수 초과</t>
    <phoneticPr fontId="2" type="noConversion"/>
  </si>
  <si>
    <t>반복 횟수를 초과하여 보상을 받을 수 없습니다.</t>
  </si>
  <si>
    <t>REPEATMISSION_COUNT_EXCESS_ERROR</t>
    <phoneticPr fontId="2" type="noConversion"/>
  </si>
  <si>
    <t>반복임무 횟수 초과</t>
    <phoneticPr fontId="2" type="noConversion"/>
  </si>
  <si>
    <t>GUILD_GIFT_OPEN_BOX_FAIL_ALREADY_OPEN</t>
    <phoneticPr fontId="2" type="noConversion"/>
  </si>
  <si>
    <t>이 캐릭터는 삭제된 캐릭터입니다.</t>
    <phoneticPr fontId="2" type="noConversion"/>
  </si>
  <si>
    <t xml:space="preserve">COMMON_DELETE_CHARACTER </t>
    <phoneticPr fontId="2" type="noConversion"/>
  </si>
  <si>
    <t>DUEL_BATTLE_STATE</t>
    <phoneticPr fontId="2" type="noConversion"/>
  </si>
  <si>
    <t>DUEL_CASTING_STATE</t>
    <phoneticPr fontId="2" type="noConversion"/>
  </si>
  <si>
    <t xml:space="preserve">GUILD_SGOP_SMALL_GOODS_COUNT   </t>
    <phoneticPr fontId="2" type="noConversion"/>
  </si>
  <si>
    <t>전투 중에는 비상 탈출 기능을 사용할 수 없습니다.</t>
  </si>
  <si>
    <t>EJECTION_BATTLE_STATE</t>
  </si>
  <si>
    <t>전투 중 비상탈출 기능을 사용하려고 할때</t>
    <phoneticPr fontId="2" type="noConversion"/>
  </si>
  <si>
    <t>GUILD_EXEDITION_CREATE_TIME</t>
    <phoneticPr fontId="2" type="noConversion"/>
  </si>
  <si>
    <t>COMMON_SERVER_CHRACTER_CREATE_LIMIT</t>
  </si>
  <si>
    <t>AUTH_ERROR_REFRESH_SERVER_LIST</t>
    <phoneticPr fontId="2" type="noConversion"/>
  </si>
  <si>
    <t>서버 리스트를 갱신할 수 없습니다. 잠시 후 다시 시도하여 주시기 바랍니다.</t>
  </si>
  <si>
    <t>내공 레벨이 낮다</t>
  </si>
  <si>
    <t>업그레이드 중</t>
  </si>
  <si>
    <t>업그레이드 중이 아니다</t>
  </si>
  <si>
    <t>내공 최대레벨에 도달</t>
  </si>
  <si>
    <t>혈맥 레벨 부족</t>
  </si>
  <si>
    <t>업그레이드 시간이 되지 않음</t>
    <phoneticPr fontId="2" type="noConversion"/>
  </si>
  <si>
    <t>케릭터 레벨 부족</t>
  </si>
  <si>
    <t>FORCE_SMALL_CHARACTER_LEVEL</t>
    <phoneticPr fontId="2" type="noConversion"/>
  </si>
  <si>
    <t>FORCE_NOT_OVER_TIME_UPGRADE</t>
    <phoneticPr fontId="2" type="noConversion"/>
  </si>
  <si>
    <t>FORCE_SMALL_COST</t>
    <phoneticPr fontId="2" type="noConversion"/>
  </si>
  <si>
    <t>FORCE_SMALL_BLOOD_LEVEL</t>
    <phoneticPr fontId="2" type="noConversion"/>
  </si>
  <si>
    <t>FORCE_MAX_LEVEL</t>
    <phoneticPr fontId="2" type="noConversion"/>
  </si>
  <si>
    <t>FORCE_SMALL_LEVEL</t>
    <phoneticPr fontId="2" type="noConversion"/>
  </si>
  <si>
    <t>FORCE_ALREADY_UPGRADE</t>
    <phoneticPr fontId="2" type="noConversion"/>
  </si>
  <si>
    <t>FORCE_NOT_UPGRADE</t>
    <phoneticPr fontId="2" type="noConversion"/>
  </si>
  <si>
    <t>내공 레벨이 낮습니다.</t>
  </si>
  <si>
    <t>내공 수련이 진행중입니다.</t>
  </si>
  <si>
    <t>내공 수련이 진행중이 아닙니다.</t>
  </si>
  <si>
    <t>혈맥 최대 레벨에 도달하였습니다.</t>
  </si>
  <si>
    <t>혈맥 레벨이 부족합니다.</t>
  </si>
  <si>
    <t>내공을 수련할 시간이 되지 않았습니다.</t>
  </si>
  <si>
    <t>캐릭터 레벨이 낮습니다.</t>
  </si>
  <si>
    <t>비정봉 안이 아니다</t>
  </si>
  <si>
    <t>비용이 던전티켓이 아니다</t>
  </si>
  <si>
    <t>던전티켓 부족</t>
  </si>
  <si>
    <t>컨텐츠 시간 종료</t>
    <phoneticPr fontId="2" type="noConversion"/>
  </si>
  <si>
    <t>더이상 추가 할 수 없다</t>
  </si>
  <si>
    <t>SECRET_DUNGEON_CANNOT_MORE_ADD_TIME</t>
    <phoneticPr fontId="2" type="noConversion"/>
  </si>
  <si>
    <t>SECRET_DUNGEON_NOT_IN_SECRET_DUNGEON</t>
    <phoneticPr fontId="2" type="noConversion"/>
  </si>
  <si>
    <t>SECRET_DUNGEON_NOT_COST_DUNGEON_TICKET</t>
    <phoneticPr fontId="2" type="noConversion"/>
  </si>
  <si>
    <t>SECRET_DUNGEON_SMALL_DUNGEON_TICKET</t>
    <phoneticPr fontId="2" type="noConversion"/>
  </si>
  <si>
    <t>SECRET_DUNGEON_CONTENTS_TIME_END</t>
    <phoneticPr fontId="2" type="noConversion"/>
  </si>
  <si>
    <t>비정봉 내부에 있지 않습니다.</t>
  </si>
  <si>
    <t>입장 비용이 비정봉 입장권이 아닙니다.</t>
  </si>
  <si>
    <t>비정봉 입장권이 부족합니다.</t>
  </si>
  <si>
    <t>비정봉 입장 시간이 만료되었습니다.</t>
  </si>
  <si>
    <t>비정봉 입장 시간을 더 이상 추가할 수 없습니다.</t>
  </si>
  <si>
    <t>DOMINION_TAX_RATE_CHAGNE_FAIL_OVER_RATE</t>
  </si>
  <si>
    <t>세율 변경 실패</t>
    <phoneticPr fontId="2" type="noConversion"/>
  </si>
  <si>
    <t>세금을 인출할 수 없습니다. 문파 창고를 확인하여 주세요.</t>
  </si>
  <si>
    <t>DOMINION_TAX_WITHDRAWAL_FAIL_ADD_GUILD_MONEY</t>
  </si>
  <si>
    <t>세금 인출 실패</t>
    <phoneticPr fontId="2" type="noConversion"/>
  </si>
  <si>
    <t>FRIEND_SERCH_MYSELF</t>
  </si>
  <si>
    <t>자기 자신을 검색</t>
    <phoneticPr fontId="2" type="noConversion"/>
  </si>
  <si>
    <t>UNSEALING_NOT_EMPTY_SLOT</t>
    <phoneticPr fontId="2" type="noConversion"/>
  </si>
  <si>
    <t>UNSEALING_NOT_REGISTER_ITEM</t>
    <phoneticPr fontId="2" type="noConversion"/>
  </si>
  <si>
    <t>UNSEALING_SMALL_REGISTER_ITEM_COUNT</t>
    <phoneticPr fontId="2" type="noConversion"/>
  </si>
  <si>
    <t>UNSEALING_SMALL_REGISTER_COST</t>
    <phoneticPr fontId="2" type="noConversion"/>
  </si>
  <si>
    <t>UNSEALING_NOT_DATA</t>
    <phoneticPr fontId="2" type="noConversion"/>
  </si>
  <si>
    <t>UNSEALING_NOT_EXIST_SLOT</t>
    <phoneticPr fontId="2" type="noConversion"/>
  </si>
  <si>
    <t>UNSEALING_EMPTY_SLOT</t>
    <phoneticPr fontId="2" type="noConversion"/>
  </si>
  <si>
    <t>UNSEALING_NOT_ACCELERATE</t>
    <phoneticPr fontId="2" type="noConversion"/>
  </si>
  <si>
    <t>UNSEALING_NOT_ACCELERATE_ITEM</t>
    <phoneticPr fontId="2" type="noConversion"/>
  </si>
  <si>
    <t>UNSEALING_SAMLL_ACCELERATE_ITEM</t>
    <phoneticPr fontId="2" type="noConversion"/>
  </si>
  <si>
    <t>UNSEALING_SMALL_ACCELERATE_COST</t>
    <phoneticPr fontId="2" type="noConversion"/>
  </si>
  <si>
    <t>UNSEALING_EXIST_REMAIN_TIME</t>
    <phoneticPr fontId="2" type="noConversion"/>
  </si>
  <si>
    <t>UNSEALING_FULL_INVEN</t>
    <phoneticPr fontId="2" type="noConversion"/>
  </si>
  <si>
    <t>UNSEALING_UNLOCK_SLOT</t>
    <phoneticPr fontId="2" type="noConversion"/>
  </si>
  <si>
    <t>정령 정보가 존재하지 않습니다.</t>
  </si>
  <si>
    <t xml:space="preserve">PET_NOT_EXIST_PET_TABLE </t>
  </si>
  <si>
    <t>정령 스킬 정보가 존재하지 않습니다.</t>
  </si>
  <si>
    <t xml:space="preserve">PET_NOT_EXIST_PET_SKILL_TABLE </t>
  </si>
  <si>
    <t xml:space="preserve">PET_NOT_EXIST_PET_DECK_TABLE </t>
  </si>
  <si>
    <t>정령 생성에 실패했습니다.</t>
  </si>
  <si>
    <t xml:space="preserve">PET_ENTITY_CREATE_FAILURE </t>
  </si>
  <si>
    <t>정령 스킬 생성에 실패했습니다.</t>
  </si>
  <si>
    <t xml:space="preserve">PET_SKILL_CREATE_FAILURE </t>
  </si>
  <si>
    <t xml:space="preserve">PET_DECK_CREATE_FAILURE </t>
  </si>
  <si>
    <t>이미 보유하고 있는 정령입니다.</t>
  </si>
  <si>
    <t xml:space="preserve">PET_ALREADY_EXIST_PET </t>
  </si>
  <si>
    <t>이미 보유하고 있는 정령 스킬입니다.</t>
  </si>
  <si>
    <t xml:space="preserve">PET_ALREADY_EXIST_PET_SKILL </t>
  </si>
  <si>
    <t>정령이 존재하지 않습니다.</t>
  </si>
  <si>
    <t xml:space="preserve">PET_NOT_EXIST_PET </t>
  </si>
  <si>
    <t>정령 스킬을 보유하고 있지 않습니다.</t>
  </si>
  <si>
    <t xml:space="preserve">PET_NOT_EXIST_PET_SKILL </t>
  </si>
  <si>
    <t>정령 보물 아이템이 존재하지 않습니다.</t>
  </si>
  <si>
    <t xml:space="preserve">PET_NOT_EXIST_ITEM </t>
  </si>
  <si>
    <t xml:space="preserve">PET_ALREADY_SET_DECK </t>
  </si>
  <si>
    <t>정령 슬롯 범위가 올바르지 않습니다.</t>
  </si>
  <si>
    <t xml:space="preserve">PET_SLOT_RANGE_ERROR </t>
  </si>
  <si>
    <t>정령 보물 장착 슬롯 범위가 올바르지 않습니다.</t>
  </si>
  <si>
    <t xml:space="preserve">PET_EQUIP_ITEM_SLOT_RANGE_ERROR </t>
  </si>
  <si>
    <t>사용할 수 없는 정령 보물 슬롯입니다.</t>
  </si>
  <si>
    <t xml:space="preserve">PET_NOT_USE_EQUIP_ITEM_SLOT </t>
  </si>
  <si>
    <t>착용 할 정령 보물이 없습니다.</t>
  </si>
  <si>
    <t xml:space="preserve">PET_NOT_EXIST_EQUIP_ITEM </t>
  </si>
  <si>
    <t>착용 해제 할 정령 보물이 없습니다.</t>
  </si>
  <si>
    <t xml:space="preserve">PET_NOT_EXIST_UNEQUIP_ITEM </t>
  </si>
  <si>
    <t>이미 착용 중인 정령 보물입니다.</t>
  </si>
  <si>
    <t xml:space="preserve">PET_ALREADY_EQUIP_ITEM </t>
  </si>
  <si>
    <t>착용 중이 아닌 정령 보물입니다.</t>
  </si>
  <si>
    <t xml:space="preserve">PET_NOT_EQUIP_ITEM </t>
  </si>
  <si>
    <t>찾을 수 없는 정령 보물이라 해제할 수 없습니다.</t>
  </si>
  <si>
    <t xml:space="preserve">PET_WRONG_UNEQUIP_ITEM_UID </t>
  </si>
  <si>
    <t>정령이 착용할 수 없는 아이템 입니다.</t>
  </si>
  <si>
    <t xml:space="preserve">PET_IS_NOT_PET_EQUIP_ITEM </t>
  </si>
  <si>
    <t xml:space="preserve">PET_DECK_RANGE_ERROR </t>
  </si>
  <si>
    <t>위업 조건을 만족하지 못한 정령 덱 입니다.</t>
  </si>
  <si>
    <t xml:space="preserve">PET_DECK_NOT_OPEN_GREATBUILDING </t>
  </si>
  <si>
    <t xml:space="preserve">PET_DECK_UNKNOWN_CONDITION </t>
  </si>
  <si>
    <t>DEATH_PENALTY_NOT_EXIST_DATA</t>
    <phoneticPr fontId="2" type="noConversion"/>
  </si>
  <si>
    <t>ITEM_DURABILITY_REPAIRABLE</t>
    <phoneticPr fontId="2" type="noConversion"/>
  </si>
  <si>
    <t>ITEM_DURABILITY_NOT_ENOUGH_ITEM</t>
    <phoneticPr fontId="2" type="noConversion"/>
  </si>
  <si>
    <t>WARP_FAIL_SIEGE_TIME</t>
    <phoneticPr fontId="2" type="noConversion"/>
  </si>
  <si>
    <t>공성전 입장 가능 시간이 아니다</t>
    <phoneticPr fontId="2" type="noConversion"/>
  </si>
  <si>
    <t>입력시간이 너무 빠릅니다. 잠시 후, 다시 시도해주세요.</t>
  </si>
  <si>
    <t xml:space="preserve">유효한 대화 목록이 아닙니다. </t>
  </si>
  <si>
    <t>상대방이 차단하여 더 이상 진행할 수 없습니다.</t>
  </si>
  <si>
    <t xml:space="preserve">대상 대화채널이 이미 생성되어 있습니다. </t>
  </si>
  <si>
    <t xml:space="preserve">차단된 대상입니다. </t>
  </si>
  <si>
    <t>CHATTING_WORLD_CHATTING_COOL_TIME</t>
    <phoneticPr fontId="2" type="noConversion"/>
  </si>
  <si>
    <t>CHATTING_NOT_EXIST_WHISPER_USER</t>
    <phoneticPr fontId="2" type="noConversion"/>
  </si>
  <si>
    <t>CHATTING_WHISPER_FAIL_BLOCK_USER</t>
    <phoneticPr fontId="2" type="noConversion"/>
  </si>
  <si>
    <t>CHATTING_ALREADY_WHISPER_USER</t>
    <phoneticPr fontId="2" type="noConversion"/>
  </si>
  <si>
    <t>CHATTING_WHISPER_FAIL_TARGET_IS_BLOCK_USER</t>
    <phoneticPr fontId="2" type="noConversion"/>
  </si>
  <si>
    <t>월드채팅 쿨타임</t>
    <phoneticPr fontId="2" type="noConversion"/>
  </si>
  <si>
    <t>일대일 대화 유저리스트에 없음(일대일 목록 삭제 요청시)</t>
    <phoneticPr fontId="2" type="noConversion"/>
  </si>
  <si>
    <t>상대방의 차단 리스트에 등록되어 일대일 채팅 불가능</t>
    <phoneticPr fontId="2" type="noConversion"/>
  </si>
  <si>
    <t>이미 일대일 대화 리스트에 있는 유저임</t>
    <phoneticPr fontId="2" type="noConversion"/>
  </si>
  <si>
    <t>내 차단 리스트에 있는 유저라서 대화 불가능</t>
    <phoneticPr fontId="2" type="noConversion"/>
  </si>
  <si>
    <t xml:space="preserve">유효한 아이템이 없습니다. </t>
  </si>
  <si>
    <t xml:space="preserve">등록 조건이 맞지 않습니다. </t>
  </si>
  <si>
    <t xml:space="preserve">등록에 실패하였습니다. </t>
  </si>
  <si>
    <t xml:space="preserve">유효한 등록 번호가 아닙니다. </t>
  </si>
  <si>
    <t>COLLECTION_NOT_RESISTER_ITEM</t>
    <phoneticPr fontId="2" type="noConversion"/>
  </si>
  <si>
    <t>COLLECTION_NOT_RESISTER_CONDITION</t>
    <phoneticPr fontId="2" type="noConversion"/>
  </si>
  <si>
    <t>COLLECTION_FAIL_RESISTER</t>
    <phoneticPr fontId="2" type="noConversion"/>
  </si>
  <si>
    <t>COLLECTION_NOT_RESISTER_SLOT</t>
    <phoneticPr fontId="2" type="noConversion"/>
  </si>
  <si>
    <t>등록 하려는 아이템이 없음</t>
    <phoneticPr fontId="2" type="noConversion"/>
  </si>
  <si>
    <t>등록조건이 맞지않음</t>
    <phoneticPr fontId="2" type="noConversion"/>
  </si>
  <si>
    <t>등록 실패</t>
    <phoneticPr fontId="2" type="noConversion"/>
  </si>
  <si>
    <t>등록 슬롯번호가 잘못됨</t>
    <phoneticPr fontId="2" type="noConversion"/>
  </si>
  <si>
    <t xml:space="preserve">장착중인 아이템입니다. </t>
  </si>
  <si>
    <t>아이템을 수리한 후, 시도하여 주세요.</t>
  </si>
  <si>
    <t>목록이 가득차서 더 이상 등록할 수 없습니다.</t>
  </si>
  <si>
    <t>TRADE_ALREADY_EQUIP_ITEM</t>
    <phoneticPr fontId="2" type="noConversion"/>
  </si>
  <si>
    <t xml:space="preserve">TRADE_IS_NOT_MAX_DURABILITY </t>
    <phoneticPr fontId="2" type="noConversion"/>
  </si>
  <si>
    <t>TRADE_CANNOT_REGISTER_COUNT_FULL</t>
    <phoneticPr fontId="2" type="noConversion"/>
  </si>
  <si>
    <t>장착중인 아이템</t>
    <phoneticPr fontId="2" type="noConversion"/>
  </si>
  <si>
    <t>내구도가 깍인 아이템</t>
    <phoneticPr fontId="2" type="noConversion"/>
  </si>
  <si>
    <t>목록이 가득차서 등록할 수 없음</t>
    <phoneticPr fontId="2" type="noConversion"/>
  </si>
  <si>
    <t>SHOP_NOT_BUY_FRONTSTEP</t>
    <phoneticPr fontId="2" type="noConversion"/>
  </si>
  <si>
    <t>SHOP_NOT_SELL_TYPE_ITEM</t>
    <phoneticPr fontId="2" type="noConversion"/>
  </si>
  <si>
    <t>SHOP_SMALL_SELL_TYPE_ITEM</t>
    <phoneticPr fontId="2" type="noConversion"/>
  </si>
  <si>
    <t>COMMON_NOT_EVENT</t>
    <phoneticPr fontId="2" type="noConversion"/>
  </si>
  <si>
    <t>이벤트 기간아님</t>
    <phoneticPr fontId="2" type="noConversion"/>
  </si>
  <si>
    <t>RANKING_IS_RANKING_SETTLEMENT_TIME</t>
    <phoneticPr fontId="2" type="noConversion"/>
  </si>
  <si>
    <t>RANKING_INVALID_RANKING_TYPE</t>
    <phoneticPr fontId="2" type="noConversion"/>
  </si>
  <si>
    <t>유효하지 않은 이벤트 타입입니다.</t>
  </si>
  <si>
    <t>필요 재화가 부족합니다.</t>
  </si>
  <si>
    <t>USER_EVENT_INVALID_EVENT_TYPE</t>
  </si>
  <si>
    <t>USER_EVENT_NOT_ENOUGH_COST</t>
  </si>
  <si>
    <t>COSTUME_OVER_RANGE_BRIGHTNESS_VALUE</t>
  </si>
  <si>
    <t>COSTUME_BASE_TYPE_NOT_EQUIP</t>
  </si>
  <si>
    <t>외형 변경권이 존재하지 않습니다.</t>
  </si>
  <si>
    <t>외형변경권의 수량이 부족합니다.</t>
  </si>
  <si>
    <t>커스터마이징 타입이 존재하지 않습니다.</t>
  </si>
  <si>
    <t>커스터마이징 값이 잘못되었습니다.</t>
  </si>
  <si>
    <t xml:space="preserve">USER_CUSTOMIZE_NOR_EXIST_ITEM </t>
    <phoneticPr fontId="2" type="noConversion"/>
  </si>
  <si>
    <t xml:space="preserve">USER_CUSTOMIZE_SMALL_ITEM </t>
    <phoneticPr fontId="2" type="noConversion"/>
  </si>
  <si>
    <t>USER_CUSTOMIZE_ELEMENT_TYPE</t>
    <phoneticPr fontId="2" type="noConversion"/>
  </si>
  <si>
    <t>USER_CUSTOMIZE_ELEMENT_VLAUE</t>
    <phoneticPr fontId="2" type="noConversion"/>
  </si>
  <si>
    <t>// 기부 횟수가 최대치다</t>
  </si>
  <si>
    <t>// 가속 포인트가 최대치가</t>
  </si>
  <si>
    <t>// 용옥이 최대치이다</t>
  </si>
  <si>
    <t>// 고대 주화가 최대치이다</t>
  </si>
  <si>
    <t>COST_OVER_MAX_VALUE_DONATION</t>
    <phoneticPr fontId="2" type="noConversion"/>
  </si>
  <si>
    <t>COST_OVER_MAX_VALUE_ACCELERATION_POINT</t>
    <phoneticPr fontId="2" type="noConversion"/>
  </si>
  <si>
    <t>COST_OVER_MAX_VALUE_DRAGON_JADE</t>
    <phoneticPr fontId="2" type="noConversion"/>
  </si>
  <si>
    <t>COST_OVER_MAX_VALUE_ANCIENT_COIN</t>
    <phoneticPr fontId="2" type="noConversion"/>
  </si>
  <si>
    <t>금자 보유량이 최대치를 넘어, 수령할 수 없습니다.</t>
    <phoneticPr fontId="2" type="noConversion"/>
  </si>
  <si>
    <t>은자 보유량이 최대치를 넘어, 수령할 수 없습니다.</t>
    <phoneticPr fontId="2" type="noConversion"/>
  </si>
  <si>
    <t>동전 보유량이 최대치를 넘어, 수령할 수 없습니다.</t>
    <phoneticPr fontId="2" type="noConversion"/>
  </si>
  <si>
    <t>청옥 보유량이 최대치를 넘어, 수령할 수 없습니다.</t>
    <phoneticPr fontId="2" type="noConversion"/>
  </si>
  <si>
    <t>진기 보유량이 최대치를 넘어, 수령할 수 없습니다.</t>
    <phoneticPr fontId="2" type="noConversion"/>
  </si>
  <si>
    <t>흑철 보유량이 최대치를 넘어, 수령할 수 없습니다.</t>
    <phoneticPr fontId="2" type="noConversion"/>
  </si>
  <si>
    <t>무옥 보유량이 최대치를 넘어, 수령할 수 없습니다.</t>
    <phoneticPr fontId="2" type="noConversion"/>
  </si>
  <si>
    <t>PVP 점수 보유량이 최대치를 넘어, 수령할 수 없습니다.</t>
    <phoneticPr fontId="2" type="noConversion"/>
  </si>
  <si>
    <t>길드 점수 보유량이 최대치를 넘어, 수령할 수 없습니다.</t>
    <phoneticPr fontId="2" type="noConversion"/>
  </si>
  <si>
    <t>우정 점수 보유량이 최대치를 넘어, 수령할 수 없습니다.</t>
    <phoneticPr fontId="2" type="noConversion"/>
  </si>
  <si>
    <t>생명 보유량이 최대치를 넘어, 수령할 수 없습니다.</t>
    <phoneticPr fontId="2" type="noConversion"/>
  </si>
  <si>
    <t>문파주화 보유량이 최대치를 넘어, 수령할 수 없습니다.</t>
    <phoneticPr fontId="2" type="noConversion"/>
  </si>
  <si>
    <t>기부횟수 보유량이 최대치를 넘어, 수령할 수 없습니다.</t>
    <phoneticPr fontId="2" type="noConversion"/>
  </si>
  <si>
    <t>가속 포인트 보유량이 최대치를 넘어, 수령할 수 없습니다.</t>
    <phoneticPr fontId="2" type="noConversion"/>
  </si>
  <si>
    <t>용옥 보유량이 최대치를 넘어, 수령할 수 없습니다.</t>
    <phoneticPr fontId="2" type="noConversion"/>
  </si>
  <si>
    <t>고대주화 보유량이 최대치를 넘어, 수령할 수 없습니다.</t>
    <phoneticPr fontId="2" type="noConversion"/>
  </si>
  <si>
    <t xml:space="preserve">COMMON_IS_NULL_ZONE_GROUP </t>
    <phoneticPr fontId="2" type="noConversion"/>
  </si>
  <si>
    <t>COMMON_IS_NULL_USER</t>
    <phoneticPr fontId="2" type="noConversion"/>
  </si>
  <si>
    <t xml:space="preserve">COMMON_ENTITY_CREATE_FAILURE </t>
    <phoneticPr fontId="2" type="noConversion"/>
  </si>
  <si>
    <t>COMMON_CAN_NOT_USE_CONTENTS</t>
    <phoneticPr fontId="2" type="noConversion"/>
  </si>
  <si>
    <t>COMMON_DELETE_CHARACTER</t>
    <phoneticPr fontId="2" type="noConversion"/>
  </si>
  <si>
    <t>// 오픈 되지 않은 슬롯이다</t>
  </si>
  <si>
    <t>// 장탁된 아이템이 존재한다.</t>
  </si>
  <si>
    <t>// 마석이 아니다</t>
  </si>
  <si>
    <t>EQUIPSLOT_NOT_OPEN</t>
    <phoneticPr fontId="2" type="noConversion"/>
  </si>
  <si>
    <t>EQUIPSLOT_ALREADY_EQUIP_ITEM</t>
    <phoneticPr fontId="2" type="noConversion"/>
  </si>
  <si>
    <t>EQUIPSLOT_NOT_MAGIC_STONE</t>
    <phoneticPr fontId="2" type="noConversion"/>
  </si>
  <si>
    <t xml:space="preserve">USER_STAT_OVER_RANGE </t>
    <phoneticPr fontId="2" type="noConversion"/>
  </si>
  <si>
    <t>GUILD_MEMBER_COUNT_IS_OVER</t>
    <phoneticPr fontId="2" type="noConversion"/>
  </si>
  <si>
    <t xml:space="preserve">GUILD_DONATION_FAIL </t>
    <phoneticPr fontId="2" type="noConversion"/>
  </si>
  <si>
    <t>GUILD_DONATION_COUNT_NOT_ENOUGH_ITEM</t>
    <phoneticPr fontId="2" type="noConversion"/>
  </si>
  <si>
    <t>GUILD_DEVELOP_NOT_SKILL_START</t>
    <phoneticPr fontId="2" type="noConversion"/>
  </si>
  <si>
    <t>GUILD_DEVELOP_NOT_SKILL_POINT</t>
    <phoneticPr fontId="2" type="noConversion"/>
  </si>
  <si>
    <t>DUEL_REQUEST_QUEST_ACTION</t>
    <phoneticPr fontId="2" type="noConversion"/>
  </si>
  <si>
    <t>DUEL_REQUEST_TIME_OUT</t>
    <phoneticPr fontId="2" type="noConversion"/>
  </si>
  <si>
    <t>DUEL_REQUEST_CINEMATIC_STATE</t>
    <phoneticPr fontId="2" type="noConversion"/>
  </si>
  <si>
    <t>인증 처리가 되지 않았습니다.</t>
  </si>
  <si>
    <t>존재하지 않는 계정입니다.</t>
  </si>
  <si>
    <t>운영상의 문제로 블록된 계정입니다.</t>
  </si>
  <si>
    <t>DB 에러로 인증이 처리되지 않았습니다.</t>
  </si>
  <si>
    <t>서버 에러로 인증이 처리되지 않았습니다.</t>
  </si>
  <si>
    <t>시스템 에러로 인증이 처리되지 않았습니다.</t>
  </si>
  <si>
    <t>커스텀 토큰에 오류가 발생하였습니다.</t>
  </si>
  <si>
    <t>잘못된 토큰으로 접근하였습니다.</t>
  </si>
  <si>
    <t>잘못된 코드로 접근하였습니다.</t>
  </si>
  <si>
    <t>계정을 생성할 수 없습니다.</t>
  </si>
  <si>
    <t>등록되지 않은 기기입니다.</t>
  </si>
  <si>
    <t>입력한 이메일이 유효하지 않습니다.</t>
  </si>
  <si>
    <t>정상적이지 않은 접근 경로입니다.</t>
  </si>
  <si>
    <t>인증 토큰에 문제가 있습니다.</t>
  </si>
  <si>
    <t>인증 토큰이 정상적이지 않습니다.</t>
  </si>
  <si>
    <t>인증 토큰이 NULL입니다.</t>
  </si>
  <si>
    <t>인증 토큰이 실패하였습니다.</t>
  </si>
  <si>
    <t>인증 토큰에 오류가 발생하였습니다.</t>
  </si>
  <si>
    <t>인증 토큰에 URL이 없습니다.</t>
  </si>
  <si>
    <t>이미 인증이 진행중인 상태입니다.</t>
  </si>
  <si>
    <t>선택한 월드 서버가 없습니다.</t>
  </si>
  <si>
    <t>접속 가능한 게이트웨이 서버가 없습니다.</t>
  </si>
  <si>
    <t>잘못된 월드 서버를 선택하였습니다.</t>
  </si>
  <si>
    <t>월드 서버에 대기중인 정보가 없습니다.</t>
  </si>
  <si>
    <t>체질이 최대치까지 도달한 상태입니다.</t>
  </si>
  <si>
    <t>찾을 수 없는 체질입니다.</t>
  </si>
  <si>
    <t>오류가 발생했습니다.(Code: 13000000)</t>
  </si>
  <si>
    <t>오류가 발생했습니다.(Code: 13000001)</t>
  </si>
  <si>
    <t>오류가 발생했습니다.(Code: 13000006)</t>
  </si>
  <si>
    <t>오류가 발생했습니다.(Code: 13000007)</t>
  </si>
  <si>
    <t>오류가 발생했습니다.(Code: 13000010)</t>
  </si>
  <si>
    <t>오류가 발생했습니다.(Code: 13000011)</t>
  </si>
  <si>
    <t>우편에서 오류가 발생하였습니다.</t>
  </si>
  <si>
    <t>문파 원정에 에러가 있습니다. 잠시 후 다시 시도해주시기 바랍니다.</t>
  </si>
  <si>
    <t>문파 원정이 이미 생성되어 있습니다.</t>
  </si>
  <si>
    <t>문파 원정을 생성할 재화가 부족합니다.</t>
  </si>
  <si>
    <t>입장 재화가 부족합니다.</t>
  </si>
  <si>
    <t>문파 원정에 진입하지 못했습니다. 잠시 후 다시 시도해 주시기 바랍니다.</t>
  </si>
  <si>
    <t>입장 가능한 문파 원정이 없습니다.</t>
  </si>
  <si>
    <t>문파 원정 생성 가능 기간이 아닙니다.</t>
  </si>
  <si>
    <t>이미 획득한 선물입니다.</t>
  </si>
  <si>
    <t>축복 상자를 이미 획득하였습니다.</t>
  </si>
  <si>
    <t>재화가 가득차 더 이상 획득할 수 없습니다.</t>
  </si>
  <si>
    <t>빈슬롯이 존재하지 않습니다.</t>
  </si>
  <si>
    <t>봉인 해제 아이템이 인벤토리에 없습니다.</t>
  </si>
  <si>
    <t>봉인 해제 아이템 개수가 부족합니다.</t>
  </si>
  <si>
    <t>등록에 필요한 재화가 부족합니다.</t>
  </si>
  <si>
    <t>진행되고 있는 봉인 해제 데이터가 없습니다.</t>
  </si>
  <si>
    <t>유효하지 않은 봉인 해제 슬롯입니다.</t>
  </si>
  <si>
    <t>비어있는 슬롯입니다.</t>
  </si>
  <si>
    <t>가속할 수 없습니다.</t>
  </si>
  <si>
    <t>가속 아이템이 없습니다.</t>
  </si>
  <si>
    <t>가속 아이템이 부족합니다.</t>
  </si>
  <si>
    <t>가속에 필요한 재화가 부족합니다.</t>
  </si>
  <si>
    <t>봉인해제 시간이 남아 있습니다.</t>
  </si>
  <si>
    <t>인벤토리가 꽉 차 해제할 수 없습니다.</t>
  </si>
  <si>
    <t>잠겨있는 슬롯 입니다.</t>
  </si>
  <si>
    <t xml:space="preserve">NO_EXISTS_BATTLE_PASS_INFO </t>
    <phoneticPr fontId="2" type="noConversion"/>
  </si>
  <si>
    <t>배틀 패스 정보 데이터 존재 안함</t>
    <phoneticPr fontId="2" type="noConversion"/>
  </si>
  <si>
    <t>배틀 패스 기간 만료</t>
    <phoneticPr fontId="2" type="noConversion"/>
  </si>
  <si>
    <t>배틀 패스 상품이 존재하지 않음</t>
    <phoneticPr fontId="2" type="noConversion"/>
  </si>
  <si>
    <t>이미 존재 하는 배틀 패스</t>
    <phoneticPr fontId="2" type="noConversion"/>
  </si>
  <si>
    <t>BATTLE_PASS_ALREDY_EXIST</t>
    <phoneticPr fontId="2" type="noConversion"/>
  </si>
  <si>
    <t>BATTLE_PASS_NOT_EXIST_PRODUCT_ID</t>
    <phoneticPr fontId="2" type="noConversion"/>
  </si>
  <si>
    <t>BATTLE_PASS_EXPIRED_TIME</t>
    <phoneticPr fontId="2" type="noConversion"/>
  </si>
  <si>
    <t xml:space="preserve">VEHICLE_NOT_BUY_ITEM </t>
    <phoneticPr fontId="2" type="noConversion"/>
  </si>
  <si>
    <t>VEHICLE_SMALL_BUY_ITEM_COUNT</t>
    <phoneticPr fontId="2" type="noConversion"/>
  </si>
  <si>
    <t>VEHICLE_SMALL_BUY_MONEY</t>
    <phoneticPr fontId="2" type="noConversion"/>
  </si>
  <si>
    <t>PK_INVALID_TARGET_CHARACTER</t>
    <phoneticPr fontId="2" type="noConversion"/>
  </si>
  <si>
    <t>PK_NOT_BOUNTY_CHARACTER</t>
    <phoneticPr fontId="2" type="noConversion"/>
  </si>
  <si>
    <t>PK_CAN_NOT_GET_PK_SCORE</t>
    <phoneticPr fontId="2" type="noConversion"/>
  </si>
  <si>
    <t>MAP_NOT_WAYPOINT_TYPE</t>
    <phoneticPr fontId="2" type="noConversion"/>
  </si>
  <si>
    <t>현상수배 체크 캐릭터가 아니다</t>
    <phoneticPr fontId="2" type="noConversion"/>
  </si>
  <si>
    <t>현상수배가 걸리지 않은 캐릭터</t>
    <phoneticPr fontId="2" type="noConversion"/>
  </si>
  <si>
    <t>/PK 점수를 획득할 수 없습니다.</t>
    <phoneticPr fontId="2" type="noConversion"/>
  </si>
  <si>
    <t>GUILD_WANTED_TARGET_IS_ALLIENCE_GUILD</t>
    <phoneticPr fontId="2" type="noConversion"/>
  </si>
  <si>
    <t>정령 슬롯 활성 조건 정보가 존재하지 않습니다.</t>
  </si>
  <si>
    <t>정령 슬롯 생성에 실패했습니다.</t>
  </si>
  <si>
    <t>이미 정령 슬롯에 등록되어 있는 정령입니다.</t>
  </si>
  <si>
    <t>오픈 조건을 알 수 없는 정령 슬롯 입니다.</t>
  </si>
  <si>
    <t xml:space="preserve">MAIL_INVEN_FULL </t>
  </si>
  <si>
    <t xml:space="preserve">인벤토리에 아이템이 가득 찬 경우 우편으로 전송 </t>
  </si>
  <si>
    <t xml:space="preserve">PET_SMALL_ITEM       </t>
    <phoneticPr fontId="2" type="noConversion"/>
  </si>
  <si>
    <t>PET_SKILL_AUTO_LEARN_FAILURE </t>
    <phoneticPr fontId="2" type="noConversion"/>
  </si>
  <si>
    <t>PET_SMALL_CHARACTER_LV </t>
    <phoneticPr fontId="2" type="noConversion"/>
  </si>
  <si>
    <t>ITEM_RANDOM_EXCHANGE_NOT_CLASS</t>
  </si>
  <si>
    <t>교환 클래스가 다름</t>
    <phoneticPr fontId="2" type="noConversion"/>
  </si>
  <si>
    <t>선택한 교환 아이템이 직업과 맞지 않습니다.</t>
  </si>
  <si>
    <t>가방이 가득 차 아이템을 획득할 수 없습니다.</t>
  </si>
  <si>
    <t>전투 중에는 비상탈출 기능을 사용할 수 없습니다.</t>
  </si>
  <si>
    <t>MAP_WAYPOINT_ADD_FAILURE</t>
    <phoneticPr fontId="2" type="noConversion"/>
  </si>
  <si>
    <t>지도 길 찾기 추가 실패</t>
    <phoneticPr fontId="2" type="noConversion"/>
  </si>
  <si>
    <t>지도 형식 안함</t>
    <phoneticPr fontId="2" type="noConversion"/>
  </si>
  <si>
    <t>CASTING_EMERGENCY_WARP_BATTLESTATE</t>
    <phoneticPr fontId="2" type="noConversion"/>
  </si>
  <si>
    <t>전투 중에는 비상탈출 기능을 사용할 수 없습니다.</t>
    <phoneticPr fontId="2" type="noConversion"/>
  </si>
  <si>
    <t>GUILD_WRONG_DATA</t>
    <phoneticPr fontId="2" type="noConversion"/>
  </si>
  <si>
    <t>잘못된 길드 정보 요청</t>
    <phoneticPr fontId="2" type="noConversion"/>
  </si>
  <si>
    <t>GUILD_SMALL_LEVEL</t>
    <phoneticPr fontId="2" type="noConversion"/>
  </si>
  <si>
    <t>레벨부족</t>
    <phoneticPr fontId="2" type="noConversion"/>
  </si>
  <si>
    <t xml:space="preserve">ZONE_CHANNEL_WAITING_STATE </t>
  </si>
  <si>
    <t>채널 대기열 상황에서 채널 변경 불가</t>
    <phoneticPr fontId="2" type="noConversion"/>
  </si>
  <si>
    <t>채널 대기열에 등록되어 채널을 이동할 수 없습니다.</t>
  </si>
  <si>
    <t xml:space="preserve">GUILD_DONATION_DAILY_LIMIT </t>
    <phoneticPr fontId="2" type="noConversion"/>
  </si>
  <si>
    <t xml:space="preserve">GUILD_EXPEDITION_NO_MORE_CREATE </t>
  </si>
  <si>
    <t>더 이상 문파 원정을 소환할 수 없습니다.</t>
  </si>
  <si>
    <t>SHOP_UPDATING_VERSION</t>
    <phoneticPr fontId="2" type="noConversion"/>
  </si>
  <si>
    <t>상점 정보 갱신중</t>
    <phoneticPr fontId="2" type="noConversion"/>
  </si>
  <si>
    <t>캐릭터 생성 제한 (로비 UI 표현)</t>
    <phoneticPr fontId="2" type="noConversion"/>
  </si>
  <si>
    <t>AUTH_ERROR_NEW_SERVER_NOT_CREATE_CHARACTER_LIMIT</t>
    <phoneticPr fontId="2" type="noConversion"/>
  </si>
  <si>
    <t>캐릭터 생성 제한 (로그인 UI 표현)</t>
    <phoneticPr fontId="2" type="noConversion"/>
  </si>
  <si>
    <t>동일 아이템을 중복해서 착용할 수 없습니다.</t>
  </si>
  <si>
    <t xml:space="preserve">PET_NOT_OVERLAP_EQUIP  </t>
  </si>
  <si>
    <t>문파동맹 개방 불가</t>
  </si>
  <si>
    <t>GUILD_DUNGEON_SYSTEM_UNLOCK</t>
  </si>
  <si>
    <t>문파전쟁 개방 불가</t>
  </si>
  <si>
    <t>GUILD_SHOP_SYSTEM_UNLOCK</t>
  </si>
  <si>
    <t>문파척살 개방 불가</t>
  </si>
  <si>
    <t>GUILD_WANTED_SYSTEM_UNLOCK</t>
  </si>
  <si>
    <t>문파상점 상품 개방 불가</t>
  </si>
  <si>
    <t>GUILD_WAR_SYSTEM_UNLOCK</t>
  </si>
  <si>
    <t>문파원정 순차 개방 불가</t>
  </si>
  <si>
    <t>GUILD_ALLIANCE_SYSTEM_UNLOCK</t>
  </si>
  <si>
    <t>기본선물 추가 선물 생성</t>
  </si>
  <si>
    <t>GUILD_ALLIANCE_SYSTEM_UNLOCK_TARGET</t>
  </si>
  <si>
    <t>문파흑철이 부족하여 판매를 시작할 수 없습니다.</t>
  </si>
  <si>
    <t>GUILD_NPC_SHOP_SELL_MONEY_MIN_UNDER</t>
  </si>
  <si>
    <t>어둠서린 강화석을 사용하기 위해서는 강화 수치가 최소 1 이상이어야 합니다.</t>
  </si>
  <si>
    <t>ITEN_SMELTING_LEVEL_ZERO_NOT_LEVEL_DOWN</t>
  </si>
  <si>
    <t>강화 약화 시스템_201214_김선묵</t>
  </si>
  <si>
    <t>교환 시스템</t>
    <phoneticPr fontId="2" type="noConversion"/>
  </si>
  <si>
    <t xml:space="preserve">ITEM_RANDOM_EXCHANGE_CAN_NOT </t>
  </si>
  <si>
    <t>교환할 수 없는 아이템입니다.</t>
  </si>
  <si>
    <t>레벨이 부족합니다.</t>
  </si>
  <si>
    <t>재화가 부족합니다.</t>
  </si>
  <si>
    <t>스킬을 사용할 수 없어 스킬이 중단 되었습니다.</t>
  </si>
  <si>
    <t>마력이 부족하여 스킬을 사용할수 없습니다.</t>
  </si>
  <si>
    <t>오류가 발생했습니다.(Code: 21000020)</t>
  </si>
  <si>
    <t>오류가 발생했습니다.(Code: 21000021)</t>
  </si>
  <si>
    <t xml:space="preserve">향로 포인트가 부족합니다. </t>
  </si>
  <si>
    <t>ITEM_COMPOSE_FAIL_POINT_SMALL_VALUE</t>
  </si>
  <si>
    <t>합성 향로(실패)포인트가 모자를때 출력</t>
  </si>
  <si>
    <t>금화가 부족합니다.</t>
  </si>
  <si>
    <t>경험치 복구권이 부족합니다.</t>
  </si>
  <si>
    <t xml:space="preserve">SICKNESS_RECOVERY_NOT_ENOUGH_GOLD </t>
    <phoneticPr fontId="2" type="noConversion"/>
  </si>
  <si>
    <t xml:space="preserve">DEATH_PENALTY_FREE_RECOVERY_ITEM_LIMIT </t>
    <phoneticPr fontId="2" type="noConversion"/>
  </si>
  <si>
    <t>매일지급 상품이 아닙니다.</t>
  </si>
  <si>
    <t>SHOP_NOT_PERIOD_GOODS</t>
  </si>
  <si>
    <t>매일지급 상품_210111_김선묵</t>
  </si>
  <si>
    <t>구매된 매일지급 상품이 아닙니다.</t>
  </si>
  <si>
    <t>SHOP_NOT_BUY_PERIOD_GOODS</t>
  </si>
  <si>
    <t>종료된 매일지급 상품입니다.</t>
  </si>
  <si>
    <t>SHOP_PERIOD_GOODS_END_TIME</t>
  </si>
  <si>
    <t>이미 보상을 받았습니다.</t>
  </si>
  <si>
    <t>SHOP_PERIOD_GOODS_ALREADY_TODAY_REWARD</t>
  </si>
  <si>
    <t>매일지급 보상이 진행중인 상품입니다.</t>
  </si>
  <si>
    <t>SHOP_PERIOD_GOODS_NOT_END_TIME</t>
  </si>
  <si>
    <t>SERVER_CHANGE_TABLE_ERROR</t>
  </si>
  <si>
    <t>캐릭터 서버 이전_210114_김선묵</t>
  </si>
  <si>
    <t>캐릭터 서버 이전을 할 수 없는 서버입니다.</t>
  </si>
  <si>
    <t>SERVER_CHANGE_CANNOT_CHANGE_WORLD</t>
  </si>
  <si>
    <t>데이터가 존재하지 않습니다.</t>
  </si>
  <si>
    <t>SERVER_CHANGE_DATA_NULLPTR</t>
  </si>
  <si>
    <t>잘못된 데이터 테이블 값으로 인하여 캐릭터 서버 이전을 할 수 없습니다.</t>
  </si>
  <si>
    <t>SERVER_CHANGE_TABLE_VALUE_ERROR</t>
  </si>
  <si>
    <t>캐릭터 서버 이전 가능한 레벨이 아닙니다.</t>
  </si>
  <si>
    <t>SERVER_CHANGE_SHORTAGE_LEVEL</t>
  </si>
  <si>
    <t>캐릭터 서버 이전을 할 수 없는 지역입니다.</t>
  </si>
  <si>
    <t>SERVER_CHANGE_STAGE_IS_WRONG</t>
  </si>
  <si>
    <t>캐릭터 서버 이전 딜레이 타임이 남아 있는 상태입니다.</t>
  </si>
  <si>
    <t>SERVER_CHANGE_STILL_DELAY_TIME</t>
  </si>
  <si>
    <t>캐릭터 사망 정보 중 내상 정보가 남아 있어 캐릭터 서버 이전을 할 수 없습니다.</t>
  </si>
  <si>
    <t>SERVER_CHANGE_EXIST_DEATHPENALTY_INJURY</t>
  </si>
  <si>
    <t>캐릭터 사망 정보 중 유실물 정보가 남아 있어 캐릭터 서버 이전을 할 수 없습니다.</t>
  </si>
  <si>
    <t>SERVER_CHANGE_EXIST_DEATHPENALTY_ITEM</t>
  </si>
  <si>
    <t>캐릭터 사망 정보 중 경험치 복구 정보가 남아 있어 캐릭터 서버 이전을 할 수 없습니다.</t>
  </si>
  <si>
    <t>SERVER_CHANGE_EXIST_DEATHPENALTY_EXP</t>
  </si>
  <si>
    <t>문파에 가입된 상태에서는 캐릭터 서버 이전을 할 수 없습니다.</t>
  </si>
  <si>
    <t>SERVER_CHANGE_GUILD_MASTER</t>
  </si>
  <si>
    <t>거래소에 등록된 물품이 존재하여 캐릭터 서버 이전을 할 수 없습니다.</t>
  </si>
  <si>
    <t>SERVER_CHANGE_TRADE_REGISTER</t>
  </si>
  <si>
    <t>거래소에 회수 가능한 물품이 존재하여 캐릭터 서버 이전을 할 수 없습니다.</t>
  </si>
  <si>
    <t>SERVER_CHANGE_TRADE_CLOSE</t>
  </si>
  <si>
    <t>거래소에 정산 가능한 정보가 남아 있어 캐릭터 서버 이전을 할 수 없습니다.</t>
  </si>
  <si>
    <t>SERVER_CHANGE_TRADE_CALCULATE</t>
  </si>
  <si>
    <t>상품 보관함에 물품이 남아 있어 캐릭터 서버 이전을 할 수 없습니다.</t>
  </si>
  <si>
    <t>SERVER_CHANGE_EXIST_CASH_BAG</t>
  </si>
  <si>
    <t>계정 우편에 확인하지 않은 정보가 남아 있어 캐릭터 서버 이전을 할 수 없습니다.</t>
  </si>
  <si>
    <t>SERVER_CHANGE_EXIST_ACCOUNT_MAIL</t>
  </si>
  <si>
    <t>시스템 우편에 확인하지 않은 정보가 남아 있어 캐릭터 서버 이전을 할 수 없습니다.</t>
  </si>
  <si>
    <t>SERVER_CHANGE_EXIST_SYSTEM_MAIL</t>
  </si>
  <si>
    <t>개인 우편에 확인하지 않은 정보가 남아 있어 캐릭터 서버 이전을 할 수 없습니다.</t>
  </si>
  <si>
    <t>SERVER_CHANGE_EXIST_CHARACTER_MAIL</t>
  </si>
  <si>
    <t>보고 우편에 확인하지 않은 정보가 남아 있어 캐릭터 서버 이전을 할 수 없습니다.</t>
  </si>
  <si>
    <t>SERVER_CHANGE_EXIST_ACTIVITY_MAIL</t>
  </si>
  <si>
    <t>캐릭터 서버 이전에 필요한 금화를 보유하고 있지 않습니다.</t>
  </si>
  <si>
    <t>SERVER_CHANGE_SHORTAGE_COST</t>
  </si>
  <si>
    <t>캐릭터 서버 이전이 진행 중인 상태입니다. 잠시 후에 확인 부탁드립니다.</t>
  </si>
  <si>
    <t>SERVER_CHANGE_STATE_MOVING</t>
  </si>
  <si>
    <t>캐릭터 생성 슬롯이 부족하여 캐릭터 서버 이전을 할 수 없습니다.</t>
  </si>
  <si>
    <t>SERVER_CHANGE_TARGET_SERVER_CHARACTER_COUNT_FULL</t>
  </si>
  <si>
    <t>캐릭터 서버 이전에 필요한 표국 통행권이 부족하여 서버 이전을 할 수 없습니다.</t>
  </si>
  <si>
    <t>SERVER_CHANGE_SHORTAGE_ITEM</t>
  </si>
  <si>
    <t>스크린 메시지</t>
    <phoneticPr fontId="2" type="noConversion"/>
  </si>
  <si>
    <t>SERVER_CHANGE_CHARCTER_CASTING</t>
    <phoneticPr fontId="2" type="noConversion"/>
  </si>
  <si>
    <t>캐릭터 서버 이전_210118_김선묵</t>
    <phoneticPr fontId="2" type="noConversion"/>
  </si>
  <si>
    <t>비곡 점령전 진행중에는 기능을 사용할 수 없습니다.</t>
  </si>
  <si>
    <t xml:space="preserve">DOMINION_STORAGE_NOT_ENOUGH_COST </t>
  </si>
  <si>
    <t xml:space="preserve">DOMINION_STORAGE_CAN_NOT_USE_TIME </t>
  </si>
  <si>
    <t>영지 자금이 부족</t>
  </si>
  <si>
    <t>영지 창고를 사용 할 수 있는 시간이 아닙니다.</t>
  </si>
  <si>
    <t>파티 (토벌대 포함)에 참여된 상태여서 표국 통행을 할 수 없습니다.</t>
  </si>
  <si>
    <t xml:space="preserve">SERVER_CHANGE_IN_PARTY </t>
  </si>
  <si>
    <t>캐릭터 서버 이전_210119_김선묵</t>
  </si>
  <si>
    <t>봉인해제에 등록된 물품이 있어서 표국 통행을 할 수 없습니다.</t>
  </si>
  <si>
    <t>SERVER_CHANGE_EXIST_UNSEALING_REGISTER</t>
  </si>
  <si>
    <t>봉인해제에 획득 물품이 있어서 표국 통행을 할 수 없습니다.</t>
  </si>
  <si>
    <t>SERVER_CHANGE_EXIST_UNSEALING_GET</t>
  </si>
  <si>
    <t>Lv. 40부터 이용할 수 있습니다.</t>
  </si>
  <si>
    <t>TRADE_CANNOT_USE_REGISTER_CONSTRAINTS_LEVEL</t>
  </si>
  <si>
    <t>등록시 레벨 제약조건으로 사용할수 없습니다.</t>
  </si>
  <si>
    <t>TRADE_CANNOT_USE_PURCHASE_CONSTRAINTS_LEVEL</t>
  </si>
  <si>
    <t>구입시 레벨 제약조건으로 사용할수 없습니다.</t>
  </si>
  <si>
    <t>표국통행을 신청한 캐릭터의 정보가 이전 중이어서 모든 캐릭터가 게임 시작을 할 수 없습니다.</t>
  </si>
  <si>
    <t>SERVER_CHANGE_REQUEST_CHARACTER</t>
  </si>
  <si>
    <t>캐릭터 서버 이전_210122_김선묵</t>
  </si>
  <si>
    <t>표국통행을 신청한 캐릭터의 정보를 받는 중이어서 모든 캐릭터가 게임 시작을 할 수 없습니다.</t>
  </si>
  <si>
    <t>SERVER_CHANGE_NOT_ARRIVAL_CHARACTER</t>
  </si>
  <si>
    <t>문파 우편에 확인하지 않은 정보가 남아 있어 표국 통행을 신청할 수 없습니다.</t>
  </si>
  <si>
    <t>SERVER_CHANGE_EXIST_GUILD_MAIL</t>
  </si>
  <si>
    <t>캐릭터 서버 이전_210125_김선묵</t>
  </si>
  <si>
    <t>위업 승급이 진행 중인 상태에서는 표국 통행을 신청할 수 없습니다.</t>
  </si>
  <si>
    <t>SERVER_CHANGE_GREAT_BUILDING</t>
  </si>
  <si>
    <t>개인창고는 20레벨부터 이용이 가능합니다.</t>
  </si>
  <si>
    <t>ITEM_STORAGE_NOT_ENOUGH_LEVEL</t>
  </si>
  <si>
    <t>개인창고_에러메시지_210125_김선묵</t>
  </si>
  <si>
    <t>개인창고 확장을 할 수 없습니다.</t>
  </si>
  <si>
    <t>ITEM_STORAGE_EXTEND_FAIL</t>
  </si>
  <si>
    <t>재화가 부족하여 개인창고 확장을 할 수 없습니다.</t>
  </si>
  <si>
    <t>ITEM_STORAGE_EXTEND_FAIL_NOT_ENOUGH_MONEY</t>
  </si>
  <si>
    <t>개인창고 최대 확장 상태여서 확장을 할 수 없습니다.</t>
  </si>
  <si>
    <t>ITEM_STORAGE_EXTEND_FAIL_COUNT_OVER</t>
  </si>
  <si>
    <t>개인창고에 적용할 전리품의 정보를 호출할 수 없습니다.</t>
  </si>
  <si>
    <t>ITEM_STORAGE_SAVE_FAIL</t>
  </si>
  <si>
    <t>개인창고에 적용할 전리품이 존재하지 않습니다.</t>
  </si>
  <si>
    <t>ITEM_STORAGE_SAVE_FAIL_NOT_EXISTS_ITEM</t>
  </si>
  <si>
    <t>개인창고에 적용할 전리품의 개수가 맞지 않습니다.</t>
  </si>
  <si>
    <t>ITEM_STORAGE_SAVE_FAIL_WRONG_ITEM_COUNT</t>
  </si>
  <si>
    <t>개인창고 저장 공간이 부족하여 전리품을 이동할 수 없습니다.</t>
  </si>
  <si>
    <t>ITEM_STORAGE_SAVE_FAIL_STORAGE_COUNT_FULL</t>
  </si>
  <si>
    <t>이미 개인창고로 이동한 전리품입니다.</t>
  </si>
  <si>
    <t>ITEM_STORAGE_SAVE_FAIL_EXIST_STORAGE</t>
  </si>
  <si>
    <t>개인창고에 적용된 전리품의 정보를 호출할 수 없습니다.</t>
  </si>
  <si>
    <t>ITEM_STORAGE_OUT_FAIL</t>
  </si>
  <si>
    <t>개인창고에 없는 전리품 정보입니다.</t>
  </si>
  <si>
    <t>ITEM_STORAGE_OUT_FAIL_NOT_EXISTS_ITEM</t>
  </si>
  <si>
    <t>개인창고에서 이동할 전리품의 개수가 맞지 않습니다.</t>
  </si>
  <si>
    <t>ITEM_STORAGE_OUT_FAIL_WRONG_ITEM_COUNT</t>
  </si>
  <si>
    <t>가방 저장공간이 부족하여 전리품 이동을 할 수 없습니다.</t>
  </si>
  <si>
    <t>ITEM_STORAGE_OUT_FAIL_INVEN_FULL</t>
  </si>
  <si>
    <t>이미 가방으로 이동한 전리품입니다.</t>
  </si>
  <si>
    <t>ITEM_STORAGE_OUT_FAIL_EXIST_INVEN</t>
  </si>
  <si>
    <t>개인창고 정보가 정상적으로 호출되지 않았습니다.</t>
  </si>
  <si>
    <t>ITEM_STORAGE_NOT_LOAD_INFO</t>
  </si>
  <si>
    <t>장착 중인 아이템은 개인창고 이동할 수 없습니다.</t>
  </si>
  <si>
    <t>ITEM_STORAGE_SAVE_FAIL_EQUIP_ITEM</t>
  </si>
  <si>
    <t>기간이 설정된 아이템은 개인창고로 이동할 수 없습니다.</t>
  </si>
  <si>
    <t>ITEM_STORAGE_SAVE_FAIL_PERIOD_ITEM</t>
  </si>
  <si>
    <t>SERVER_CHANGE_NOT_USE_TIME</t>
  </si>
  <si>
    <t>표국 통행을 신청이 시스템에 의해서 막혀있는 상태입니다.</t>
  </si>
  <si>
    <t>SERVER_CHANGE_PROHIBITION_CONDITION</t>
  </si>
  <si>
    <t>캐릭터 서버 이전_210126_김선묵</t>
  </si>
  <si>
    <t>해당 캐릭터가 존재하지 않아서, 현상수배를 할 수 없습니다.</t>
  </si>
  <si>
    <t>PK_WANTED_NOT_REGISTER_USER</t>
  </si>
  <si>
    <t>표국 통행을 신청한 서버에 이미 해당 캐릭터의 정보가 존재하여 신청을 할 수 없습니다.</t>
  </si>
  <si>
    <t>LOGIN_EXIST_SERVER_CHANGE_CHARACTER</t>
  </si>
  <si>
    <t>표국 통행을 신청한 서버의 캐릭터 슬롯 여유공간이 부족하여 신청을 할 수 없습니다.</t>
  </si>
  <si>
    <t>LOGIN_ALREADY_MAX_CHARACTER_LIST</t>
  </si>
  <si>
    <t>점령전이 진행중일 때는 동맹 요청, 수락 및 해제를 할 수 없습니다.</t>
  </si>
  <si>
    <t>GUILD_ALLIANCE_STRONG_POINT_TIME</t>
  </si>
  <si>
    <t>옵션감정이 완료되지 않은 아이템은 개인창고로 이동할 수 없습니다.</t>
  </si>
  <si>
    <t>ITEM_STORAGE_SAVE_FAIL_OPTIONING_ITEM</t>
  </si>
  <si>
    <t>개인창고_에러메시지_210202_김선묵</t>
  </si>
  <si>
    <t>SIEGE_ERROR_WEAPON_BUY_PRODUCTION_TIME</t>
  </si>
  <si>
    <t>[공성전] 구입 완료 후 생산 중이다.(생산중 구입 요청시 오류 코드)</t>
  </si>
  <si>
    <t>SIEGE_ERROR_WEAPON_BUY_REPRODUCTION_COOLTIME</t>
  </si>
  <si>
    <t>[공성전] 기존 구입에 의한 재생산 쿨 타임 중이다.(재생산 쿨타임 중 구입 요청시 오류 코드)</t>
  </si>
  <si>
    <t>SIEGE_ERROR_WEAPON_BUY_BATTLE_END_TIME</t>
  </si>
  <si>
    <t>[공성전] 전투 종료 시간에 의해 무기 구입 불가이다.(생산 완료 시간이 전투 종료 시간 보다 늦은 경우 오류 코드)</t>
  </si>
  <si>
    <t>GUILD_GIFT_OPEN_BOX_FAIL_NEW_MEMBER</t>
  </si>
  <si>
    <t>오류가 발생했습니다.(Code: 1)</t>
  </si>
  <si>
    <t>오류가 발생했습니다.(Code: 2)</t>
  </si>
  <si>
    <t>오류가 발생했습니다.(Code: 3)</t>
  </si>
  <si>
    <t>오류가 발생했습니다.(Code: 4)</t>
  </si>
  <si>
    <t>오류가 발생했습니다.(Code: 5)</t>
  </si>
  <si>
    <t>오류가 발생했습니다.(Code: 6)</t>
  </si>
  <si>
    <t>오류가 발생했습니다.(Code: 7)</t>
  </si>
  <si>
    <t>오류가 발생했습니다.(Code: 8)</t>
  </si>
  <si>
    <t>오류가 발생했습니다.(Code: 101)</t>
  </si>
  <si>
    <t>오류가 발생했습니다.(Code: 201)</t>
  </si>
  <si>
    <t>오류가 발생했습니다.(Code: 203)</t>
  </si>
  <si>
    <t>오류가 발생했습니다.(Code: 204)</t>
  </si>
  <si>
    <t>오류가 발생했습니다.(Code: 301)</t>
  </si>
  <si>
    <t>오류가 발생했습니다.(Code: 302)</t>
  </si>
  <si>
    <t>오류가 발생했습니다.(Code: 401)</t>
  </si>
  <si>
    <t>오류가 발생했습니다.(Code: 402)</t>
  </si>
  <si>
    <t>오류가 발생했습니다.(Code: 403)</t>
  </si>
  <si>
    <t>오류가 발생했습니다.(Code: 404)</t>
  </si>
  <si>
    <t>오류가 발생했습니다.(Code: 405)</t>
  </si>
  <si>
    <t>오류가 발생했습니다.(Code: 406)</t>
  </si>
  <si>
    <t>오류가 발생했습니다.(Code: 501)</t>
  </si>
  <si>
    <t>오류가 발생했습니다.(Code: 502)</t>
  </si>
  <si>
    <t>오류가 발생했습니다.(Code: 601)</t>
  </si>
  <si>
    <t>오류가 발생했습니다.(Code: 602)</t>
  </si>
  <si>
    <t>오류가 발생했습니다.(Code: 603)</t>
  </si>
  <si>
    <t>오류가 발생했습니다.(Code: 604)</t>
  </si>
  <si>
    <t>오류가 발생했습니다.(Code: 701)</t>
  </si>
  <si>
    <t>오류가 발생했습니다.(Code: 702)</t>
  </si>
  <si>
    <t>오류가 발생했습니다.(Code: 703)</t>
  </si>
  <si>
    <t>오류가 발생했습니다.(Code: 802)</t>
  </si>
  <si>
    <t>오류가 발생했습니다.(Code: 903)</t>
  </si>
  <si>
    <t>이 문파는 삭제된 문파입니다.</t>
  </si>
  <si>
    <t>추적 가능 시간 종료</t>
  </si>
  <si>
    <t>승자는 추척을 사용할 수 없다.</t>
  </si>
  <si>
    <t>이 캐릭터는 삭제된 캐릭터입니다.</t>
  </si>
  <si>
    <t>문파 포인트 보유량이 최대치입니다.</t>
  </si>
  <si>
    <t>문파 금자의 보유량이 최대치입니다.</t>
  </si>
  <si>
    <t>문파 동전의 보유량이 최대치입니다.</t>
  </si>
  <si>
    <t>문파 흑철의 보유량이 최대치입니다.</t>
  </si>
  <si>
    <t>문파 진기의 보유량이 최대치입니다.</t>
  </si>
  <si>
    <t>오류가 발생했습니다.(Code: 9000)</t>
  </si>
  <si>
    <t>오류가 발생했습니다.(Code: 9001)</t>
  </si>
  <si>
    <t>오류가 발생했습니다.(Code: 9002)</t>
  </si>
  <si>
    <t>오류가 발생했습니다.(Code: 9003)</t>
  </si>
  <si>
    <t>오류가 발생했습니다.(Code: 9004)</t>
  </si>
  <si>
    <t>오류가 발생했습니다.(Code: 9005)</t>
  </si>
  <si>
    <t>오류가 발생했습니다.(Code: 9008)</t>
  </si>
  <si>
    <t>오류가 발생했습니다.(Code: 9009)</t>
  </si>
  <si>
    <t>비속어는 사용할 수 없습니다.</t>
  </si>
  <si>
    <t>금칙어는 사용할 수 없습니다.</t>
  </si>
  <si>
    <t>문자열 길이가 정해진 길이를 넘습니다.</t>
  </si>
  <si>
    <t>별호의 길이는 2 ~ 6 자 사이입니다.</t>
  </si>
  <si>
    <t>오류가 발생했습니다.(Code: 9016)</t>
  </si>
  <si>
    <t>오류가 발생했습니다.(Code: 9017)</t>
  </si>
  <si>
    <t>캐릭터 생성이 제한된 서버</t>
  </si>
  <si>
    <t>존 그룹이 존재하지 않음</t>
  </si>
  <si>
    <t>유저가 존재하지 않음</t>
  </si>
  <si>
    <t>사용안됨</t>
  </si>
  <si>
    <t>컨텐츠를 사용할 수 없음</t>
  </si>
  <si>
    <t>삭제된 캐릭터</t>
  </si>
  <si>
    <t>배틀 패스 미션을 달성하지 않았습니다.</t>
  </si>
  <si>
    <t>이미 배틀 패스 보상을 받았습니다.</t>
  </si>
  <si>
    <t>배틀 패스 미션 정보가 일치하지 않습니다.</t>
  </si>
  <si>
    <t>배틀 패스 보상받을 인벤토리 가득찼습니다.</t>
  </si>
  <si>
    <t>배틀 패스 미션 포인트가 부족합니다.</t>
  </si>
  <si>
    <t>배틀 패스 즉시 완료에 필요한 재화가 부족합니다.</t>
  </si>
  <si>
    <t>배틀 패스 시즌권이 없습니다.</t>
  </si>
  <si>
    <t>배틀 패스 정보 데이터 존재 안함</t>
  </si>
  <si>
    <t>배틀 패스 기간 만료</t>
  </si>
  <si>
    <t>배틀 패스 상품이 존재하지 않음</t>
  </si>
  <si>
    <t>이미 존재 하는 배틀 패스</t>
  </si>
  <si>
    <t>테이타 테이블 오류로 인하여 캐릭터 서버 이전을 할 수 없습니다.</t>
  </si>
  <si>
    <t>캐릭터가 다른 행동 중이어서 서버 이전을 할 수 없습니다. 잠시 후 이용해 주세요.</t>
  </si>
  <si>
    <t>매일 23:30~04:30까지는 표국 통행 이용이 제한됩니다. 다른 시간에 이용 바랍니다</t>
  </si>
  <si>
    <t>문파원이 남아 있으면 문파를 해체할 수 없습니다.</t>
  </si>
  <si>
    <t>존재하지 않는 문파입니다.</t>
  </si>
  <si>
    <t>채집 채광 운기조식에서 얻는 활력 시간 초과</t>
  </si>
  <si>
    <t>경공 레벨이 부족합니다.</t>
  </si>
  <si>
    <t>오류가 발생했습니다.(Code: 4000007)</t>
  </si>
  <si>
    <t>문파에 가입해야 입장이 가능합니다.</t>
  </si>
  <si>
    <t>가방에 빈 공간이 부족합니다.</t>
  </si>
  <si>
    <t>소유권이 없어 습득할 수 없습니다.</t>
  </si>
  <si>
    <t>일일 약탈 가능 횟수를 초과하였습니다.</t>
  </si>
  <si>
    <t>월드 채팅을 위한 아이템의 정보가 없습니다.</t>
  </si>
  <si>
    <t>링크를 보낼 아이템 정보가 없습니다.</t>
  </si>
  <si>
    <t>링크 정보를 보낼 수 없는 아이템입니다.</t>
  </si>
  <si>
    <t>월드 채팅을 위한 아이템의 타입에 오류가 발생하였습니다.</t>
  </si>
  <si>
    <t>밝기 범위를 벗어난 상태입니다.</t>
  </si>
  <si>
    <t>기본 타입은 장착 할 수 없습니다.</t>
  </si>
  <si>
    <t>보석 합성 재료 타입이 맞지 않습니다.</t>
  </si>
  <si>
    <t>보석 합성 재료들의 티어가 같지 않습니다.</t>
  </si>
  <si>
    <t>보석 합성 재료들의 등급이 같지 않습니다.</t>
  </si>
  <si>
    <t>합성 재료가 부족합니다.</t>
  </si>
  <si>
    <t>합성 비용이 부족합니다.</t>
  </si>
  <si>
    <t>잠금 설정을 할 수 없는 아이템입니다.</t>
  </si>
  <si>
    <t>펫 속성이 달라 장착 할수 없습니다.</t>
  </si>
  <si>
    <t>이벤트 기간에만 제작 가능합니다.</t>
  </si>
  <si>
    <t>문파에 가입되어 있으면 캐릭터를 삭제 할 수 없습니다.</t>
  </si>
  <si>
    <t>스킬 숙련도가 부족합니다.</t>
  </si>
  <si>
    <t>유저 스탯 범위 초과</t>
  </si>
  <si>
    <t>구매조건을 달성하지 못했습니다.</t>
  </si>
  <si>
    <t>구입에 필요한 아이템이 없습니다.</t>
  </si>
  <si>
    <t>구입에 필요한 아이템 갯수가 부족합니다.</t>
  </si>
  <si>
    <t>구입에 필요한 머니가 부족합니다.</t>
  </si>
  <si>
    <t>오류가 발생했습니다.(Code: 26000000)</t>
  </si>
  <si>
    <t>오류가 발생했습니다.(Code: 26000005)</t>
  </si>
  <si>
    <t>오류가 발생했습니다.(Code: 29000000)</t>
  </si>
  <si>
    <t>오류가 발생했습니다.(Code: 35000001)</t>
  </si>
  <si>
    <t>이미 현상금을 건 캐릭터이다.</t>
  </si>
  <si>
    <t>추척할 수 없는 캐릭터이다.</t>
  </si>
  <si>
    <t>현상수배 체크 캐릭터가 아니다</t>
  </si>
  <si>
    <t>현상수배가 걸리지 않은 캐릭터</t>
  </si>
  <si>
    <t>PK 점수를 획득할 수 없습니다.</t>
  </si>
  <si>
    <t>오류가 발생했습니다.(Code: 41000000)</t>
  </si>
  <si>
    <t>특수 문자는 사용할 수 없습니다.</t>
  </si>
  <si>
    <t>잘못된 문자열.</t>
  </si>
  <si>
    <t>권한이 없습니다.</t>
  </si>
  <si>
    <t>문파원 모집을 하지 않는 문파입니다.</t>
  </si>
  <si>
    <t>문파재화가 부족합니다.</t>
  </si>
  <si>
    <t>전쟁 중이어서 실패</t>
  </si>
  <si>
    <t>길드전 중에는 정보를 변경 할 수 없습니다.</t>
  </si>
  <si>
    <t>올바르지 않은 옵션 타입입니다.</t>
  </si>
  <si>
    <t>올바르지 않은 옵션 값입니다.</t>
  </si>
  <si>
    <t>올바르지 명성 타입입니다.</t>
  </si>
  <si>
    <t>길드 척살대상 상태입니다.</t>
  </si>
  <si>
    <t>길드가 존재합니다</t>
  </si>
  <si>
    <t>호법으로 지정하려는 유저는 이미 다른 멤버의 호법으로 지정되어있습니다</t>
  </si>
  <si>
    <t>대상을 호법으로 지정 할 수 없습니다.</t>
  </si>
  <si>
    <t>멤버 인원이 최대치를 넘었습니다.</t>
  </si>
  <si>
    <t>적대 길드정보를 지우는 중입니다. 잠시 후 다시 진행해주세요.</t>
  </si>
  <si>
    <t>이미 초대를 받았습니다.</t>
  </si>
  <si>
    <t>가입 신청이 가능 수가 다 찼습니다</t>
  </si>
  <si>
    <t>가입 신청이 정보를 로딩 중입니다.</t>
  </si>
  <si>
    <t>문주는 탈퇴할 수 없습니다.</t>
  </si>
  <si>
    <t>선전포고 상대 길드와 동맹중입니다.</t>
  </si>
  <si>
    <t>적대 길드의 수가 최대입니다.</t>
  </si>
  <si>
    <t>상대 길드 적대 길드수가 최대입니다.</t>
  </si>
  <si>
    <t>직책을 줄 수 있는 상태가 아닙니다.</t>
  </si>
  <si>
    <t>이미 다른 사람이 존재하는 직책입니다.</t>
  </si>
  <si>
    <t>존재하지 않는 멤버 등급 옵션입니다.</t>
  </si>
  <si>
    <t>존재하지 않는 권한 타입입니다.</t>
  </si>
  <si>
    <t>이 문파에 가입하기 위한 전투력이 부족합니다.</t>
  </si>
  <si>
    <t>기존과 같은 길드 이름입니다.</t>
  </si>
  <si>
    <t>기존과 같은 길드 문양입니다.</t>
  </si>
  <si>
    <t>//생길리 없는 버그 그냥 안전코드</t>
  </si>
  <si>
    <t>//기부 아이템이 부족합니다.</t>
  </si>
  <si>
    <t>// 오늘은 더 이상 기부를 할 수 없습니다.</t>
  </si>
  <si>
    <t>동맹숫자가 최대치여서 더 이상 동맹을 맺을 수 없습니다.</t>
  </si>
  <si>
    <t>상대 길드는 동맹 신청 거부 상태 입니다.</t>
  </si>
  <si>
    <t>문파를 탈퇴할 수 없습니다.</t>
  </si>
  <si>
    <t>문파 파티 가입 상태에서는 문파를 탈퇴할 수 없습니다.</t>
  </si>
  <si>
    <t>문파를 해체할 수 없습니다.</t>
  </si>
  <si>
    <t>문파 파티 가입 상태에서는 문파를 해체할 수 없습니다.</t>
  </si>
  <si>
    <t>잠긴 보급입니다.</t>
  </si>
  <si>
    <t>보급 가능 시간이 아직 되지 않았습니다.</t>
  </si>
  <si>
    <t>문파발전 추천은 1개만 가능합니다.</t>
  </si>
  <si>
    <t>문파 연구에 실패 했습니다.</t>
  </si>
  <si>
    <t>문파 기술은 레벨 업 할 수 없습니다.</t>
  </si>
  <si>
    <t>스킬을사용할수 없음</t>
  </si>
  <si>
    <t>스킬 포인트 부족</t>
  </si>
  <si>
    <t>해당 기술은 이미 사용중입니다.</t>
  </si>
  <si>
    <t>같은 깉드의 유저는 등록할 수 없습니다.</t>
  </si>
  <si>
    <t>이미 등록 되어 있는 유저 입니다.</t>
  </si>
  <si>
    <t>더 이상 척살 등록을 할 수 없습니다.</t>
  </si>
  <si>
    <t>척살 등록에 실패했습니다.</t>
  </si>
  <si>
    <t>동맹 문파원은 척살 대상자로 등록할 수 없습니다.</t>
  </si>
  <si>
    <t>문파상점의 상품 개수가 부족합니다.</t>
  </si>
  <si>
    <t>길드 금자가 너무 많아 상점을 오픈 할 수 없습니다.</t>
  </si>
  <si>
    <t>팔려는 재화가 MAX를 넘었습니다.</t>
  </si>
  <si>
    <t>영지가 없어 상점을 오픈 할 수 없습니다.</t>
  </si>
  <si>
    <t>상점이 이미 오픈되어 있습니다.</t>
  </si>
  <si>
    <t>상점이 비어있지 않습니다.</t>
  </si>
  <si>
    <t>오늘은 더이상 상점을 열 수 없습니다.</t>
  </si>
  <si>
    <t>상점이 열려있지 않습니다.</t>
  </si>
  <si>
    <t>상점이 비어 있습니다.</t>
  </si>
  <si>
    <t>설정된 가격이 너무 낮습니다.</t>
  </si>
  <si>
    <t>설정된 가격이 너무 높습니다.</t>
  </si>
  <si>
    <t>상품 수량이 부족합니다.</t>
  </si>
  <si>
    <t>상품 판매가 중단되었습니다.</t>
  </si>
  <si>
    <t>문파발전에서 수비대형을 발전시켜야 합니다.</t>
  </si>
  <si>
    <t>받을 수 있는 보상이 없습니다.</t>
  </si>
  <si>
    <t>이미 습득한 내공입니다.</t>
  </si>
  <si>
    <t>선택한 내공을 습득할 수 없는 직업입니다.</t>
  </si>
  <si>
    <t>재료 아이템이 없습니다.</t>
  </si>
  <si>
    <t>재료 아이템의 수량이 부족합니다.</t>
  </si>
  <si>
    <t>습득하지 않은 내공입니다.</t>
  </si>
  <si>
    <t>혈맥 강화를 실패하였습니다.</t>
  </si>
  <si>
    <t>주화 입마 상태에서는 혈맥을 강화할 수 없습니다.</t>
  </si>
  <si>
    <t>혈맥을 강화할 레벨이 넘어섰습니다.</t>
  </si>
  <si>
    <t>혈맥이 최대 레벨에 도달하였습니다.</t>
  </si>
  <si>
    <t>혈맥을 강화할 진기가 부족합니다.</t>
  </si>
  <si>
    <t>주화 입마 상태입니다.</t>
  </si>
  <si>
    <t>주화 입마 상태가 아닙니다.</t>
  </si>
  <si>
    <t xml:space="preserve">안전 스테이지에서는 사용불가 </t>
  </si>
  <si>
    <t>탈것 탑승중에서는 사용불가</t>
  </si>
  <si>
    <t>비무중에 퀘스트 사용불가</t>
  </si>
  <si>
    <t>비무중에 초대 메시지 시간 초과</t>
  </si>
  <si>
    <t>비무중에 컷신상태에서는 할수 없게 처리</t>
  </si>
  <si>
    <t>상품이 매진되어 구매 할 수 없습니다.</t>
  </si>
  <si>
    <t>스텝 상품 일 때 이전 상품을 구입하지 않았음</t>
  </si>
  <si>
    <t>이이템이 존재하지 않습니다.( 아이템으로 판매하는것 구입시</t>
  </si>
  <si>
    <t>이이템이 모자랍니다.( 아이템으로 판매하는것 구입시</t>
  </si>
  <si>
    <t>추방된 토벌대에는 참가할 수 없습니다.</t>
  </si>
  <si>
    <t>{1}님은 추방된 대상으로 초대할 수 없습니다.</t>
  </si>
  <si>
    <t>친구 요청을 실패하였습니다.</t>
  </si>
  <si>
    <t>친구 요청을 최대로 보낸 상태입니다.</t>
  </si>
  <si>
    <t>대상이 친구 요청을 더 이상 받을 수 없습니다.</t>
  </si>
  <si>
    <t>존재하지 않는 이름입니다.</t>
  </si>
  <si>
    <t>더 이상 친구를 추가할 수 없습니다.</t>
  </si>
  <si>
    <t>대상의 친구가 가득차 더 이상 친구 신청을 보낼수 없습니다.</t>
  </si>
  <si>
    <t>이미 친구 요청을 발송한 캐릭터입니다.</t>
  </si>
  <si>
    <t>친구 상태입니다.</t>
  </si>
  <si>
    <t>닉네임 검색에 실패하였습니다. 이름을 다시 확인해 주세요.</t>
  </si>
  <si>
    <t>자기 자신을 검색할 수 없습니다.</t>
  </si>
  <si>
    <t>세금 인출에 실패하였습니다. 잠시 후 다시 시도하여 주시기 바랍니다.</t>
  </si>
  <si>
    <t>포상을 실패하였습니다. 잠시 후 다시 시도하여 주시기 바랍니다.</t>
  </si>
  <si>
    <t>문파가 없거나 문파원이 아닙니다.</t>
  </si>
  <si>
    <t>지급 제한 수량을 초과하였습니다.</t>
  </si>
  <si>
    <t>칙명 발령에 실패했습니다. 잠시 후 다시 시도하여 주시기 바랍니다.</t>
  </si>
  <si>
    <t>세율 변경에 실패하였습니다. 잠시 후 다시 시도하여 주시기 바랍니다.</t>
  </si>
  <si>
    <t>칭호 변경에 실패하였습니다. 잠시 후 다시 시도하여 주시기 바랍니다.</t>
  </si>
  <si>
    <t>이미 동일한 칭호를 가진 인원입니다.</t>
  </si>
  <si>
    <t>존재하지 않는 사용자입니다.</t>
  </si>
  <si>
    <t>지명 수배 등록에 실패하였습니다. 잠시 후 다시 시도하여 주시기 바랍니다.</t>
  </si>
  <si>
    <t>지명 수배에 이미 등록된 사용자입니다.</t>
  </si>
  <si>
    <t>칙명이 이미 발령중입니다.</t>
  </si>
  <si>
    <t>세율을 변경할 수 없습니다.</t>
  </si>
  <si>
    <t>존재하지 않는 대상입니다.</t>
  </si>
  <si>
    <t>자신은 등록할 수 없습니다.</t>
  </si>
  <si>
    <t>이미 등록된 대상입니다.</t>
  </si>
  <si>
    <t>차단 목록이 가득 찼습니다.</t>
  </si>
  <si>
    <t>이미 삭제되었습니다.</t>
  </si>
  <si>
    <t>가챠 뽑기에 실패 하였습니다.</t>
  </si>
  <si>
    <t>무료 횟수가 모두 소진 되었습니다.</t>
  </si>
  <si>
    <t>무료 뽑기 횟수를 초과 했습니다.</t>
  </si>
  <si>
    <t>무료 뽑기 시간이 아직 부족합니다.</t>
  </si>
  <si>
    <t>획득한 아이템이 없습니다.</t>
  </si>
  <si>
    <t>소환권이 부족합니다.</t>
  </si>
  <si>
    <t>일일 소환 횟수를 초과 했습니다.</t>
  </si>
  <si>
    <t>인벤토리 공간이 부족 합니다.</t>
  </si>
  <si>
    <t>잘못된 물품의 타입입니다.</t>
  </si>
  <si>
    <t>존재하지 않는 아이템 입니다.</t>
  </si>
  <si>
    <t>점령전 상황판 요청 실패 BY 잘못된 요청 이다.</t>
  </si>
  <si>
    <t>거점전 길드 정보를 변경 할 수 없습니다.</t>
  </si>
  <si>
    <t>거점전 길드을 찾을 수 없다.</t>
  </si>
  <si>
    <t>거점전 필드가 아니다.</t>
  </si>
  <si>
    <t>거점전 이미 점령한 길드 이다.</t>
  </si>
  <si>
    <t>거점전 점령 정보가 없다.</t>
  </si>
  <si>
    <t>거점전 요청 실패 BY 점령전 상태에 맞지 않는 요청</t>
  </si>
  <si>
    <t>업그레이드 조건을 만족하지 못한 상태입니다.</t>
  </si>
  <si>
    <t>랭킹 정산 시간입니다.</t>
  </si>
  <si>
    <t>유효하지 않은 랭킹 타입입닏.</t>
  </si>
  <si>
    <t>황금 상자가 문파 가입전에 활성화되어 열 수 없습니다.</t>
  </si>
  <si>
    <t>수리에 필요한 재화가 부족합니다.</t>
  </si>
  <si>
    <t>[부활후유증_문파지원]지원요청을 이미 보낸 경우 요청할 수 없음 메시지</t>
  </si>
  <si>
    <t>[부활후유증_문파지원]문파가 없는 경우</t>
  </si>
  <si>
    <t>[부활후유증_가속포인트]가속포인트가부족합니다.</t>
  </si>
  <si>
    <t>이벤트 데이터를 찾을 수 없습니다.</t>
  </si>
  <si>
    <t>진행중이지 않은 이벤트입니다.</t>
  </si>
  <si>
    <t>이미 참여한 이벤트입니다.</t>
  </si>
  <si>
    <t>유효하지 않은 이벤트 조건입니다.</t>
  </si>
  <si>
    <t>이벤트 조건을 만족하지 못합니다.</t>
  </si>
  <si>
    <t>가방에 공간이 없습니다.</t>
  </si>
  <si>
    <t>거래가능한 아이템이 없습니다.</t>
  </si>
  <si>
    <t>거래 불가능한 아이템입니다.</t>
  </si>
  <si>
    <t>사용 불가능한 아이템입니다.</t>
  </si>
  <si>
    <t>수량이 부족합니다.</t>
  </si>
  <si>
    <t>마석이 장착되어있습니다. 추출 후, 다시 시도하여주세요.</t>
  </si>
  <si>
    <t>잘못된 판매등록 타입입니다. 확인 후, 다시 시도하여 주세요.</t>
  </si>
  <si>
    <t>잘못 입력하셨습니다. 확인 후, 다시 시도하여 주세요.</t>
  </si>
  <si>
    <t>등록 수수료가 부족합니다.</t>
  </si>
  <si>
    <t xml:space="preserve">구매 비용이 부족합니다. </t>
  </si>
  <si>
    <t>등록정보가 없습니다.</t>
  </si>
  <si>
    <t>판매중인 아이템이 없습니다. 확인 후, 다시 시도하여 주세요.</t>
  </si>
  <si>
    <t xml:space="preserve">판매 종료된 아이템입니다. </t>
  </si>
  <si>
    <t>잘못된 정산정보입니다. 확인 후, 다시 시도하여 주세요.</t>
  </si>
  <si>
    <t>정산 비용이 최대값에 도달하였습니다.</t>
  </si>
  <si>
    <t>이미 진행중인 시스템이 있습니다. 확인 후, 다시 시도하여 주세요.</t>
  </si>
  <si>
    <t>잘못된 정보로 취소할 수 없습니다.</t>
  </si>
  <si>
    <t>자신의 아이템은 구매할 수 없습니다.</t>
  </si>
  <si>
    <t>사망 패널티 정보가 존재하지 않습니다.</t>
  </si>
  <si>
    <t>일일 무료 회복 횟수가 부족합니다.</t>
  </si>
  <si>
    <t>수리할 수 없는 아이템 입니다.</t>
  </si>
  <si>
    <t>내구도가 충분하지 않습니다.</t>
  </si>
  <si>
    <t>입장 가능 시간이 아닙니다.</t>
  </si>
  <si>
    <t>정령석이 없어 정령을 획득할 수 없습니다.</t>
  </si>
  <si>
    <t>정령 스킬 획득에 실패했습니다.</t>
  </si>
  <si>
    <t>캐릭터 레벨이 부족해서 정령 슬롯을 오픈할 수 없습니다.</t>
  </si>
  <si>
    <t>상점 정보 갱신중입니다.</t>
  </si>
  <si>
    <t>OCCUPATION_FAIL_BY_INVALID_REQ_IN_BOARD</t>
  </si>
  <si>
    <t xml:space="preserve">SIEGE_ERROR_RANK_REFRESH_TIME </t>
  </si>
  <si>
    <t>SIEGE_ERROR_WEAPON_BUY_INVALID_REQ</t>
  </si>
  <si>
    <t>SIEGE_ERROR_WEAPON_BUY_ALREADY_EXIST</t>
  </si>
  <si>
    <t xml:space="preserve">SIEGE_ERROR_WEAPON_BUY_PROCESSING </t>
  </si>
  <si>
    <t>설치 중인 공성무기가 존재합니다.</t>
  </si>
  <si>
    <t>재료를 준비 중이라 아직은 할 수 없습니다.</t>
  </si>
  <si>
    <t>공성전 종료 시간이 얼마 남지 않아 구매할 수 없습니다.</t>
  </si>
  <si>
    <t>SIEGE_FAIL_BY_INVALID_REQ_ONLY_SELECTED_GUILD</t>
  </si>
  <si>
    <t xml:space="preserve">// 해당 요청은 선출된 길드만 할수 있다. </t>
  </si>
  <si>
    <t>수성 및 공성 자격을 획득한 문파만 입장할 수 있습니다.</t>
  </si>
  <si>
    <t>SIEGE_ZONE_ENTER_FAIL_BY_NOT_BATTLE_GUILD</t>
  </si>
  <si>
    <t xml:space="preserve">수성 및 공성 자격을 획득한 문파만 입장할 수 있습니다. </t>
  </si>
  <si>
    <t>SIEGE_ZONE_ENTER_FAIL_BY_BOTH_ALLIANCE_GUILD</t>
  </si>
  <si>
    <t>소속한 문파에서 수성, 공성 모두 동맹인 상태 입니다. 선정된 길드의 동맹 길드원에게만 가는 에레 메시지</t>
  </si>
  <si>
    <t>관리 중인 공성무기가 존재합니다. 파괴될 때까지 추가로 공성무기를 구입할 수 없습니다.</t>
  </si>
  <si>
    <t>공성전에 선출된 문파만 구입할 수 있습니다.</t>
  </si>
  <si>
    <t>소속한 문파에서 수성, 공성 모두 동맹인 상태입니다. 한 진영과만 동맹상태여야 합니다.</t>
  </si>
  <si>
    <t>공성전을 진행 중인 동안에는 동맹을 결성하거나 해제할 수 없습니다</t>
  </si>
  <si>
    <t>GUILD_ALLIANCE_ERROR_SIEGE_TIME_SELECTED_GUILD</t>
  </si>
  <si>
    <t>//공성전 시간 중에는 선정 길드는 동맹 신청 및 수락, 해제가 되지 않습니다.(공성전 시작 10분 전 포함)</t>
  </si>
  <si>
    <t>공성전을 진행 중인 문파와는 동맹을 결성하거나 해제할 수 없습니다.</t>
  </si>
  <si>
    <t>GUILD_ALLIANCE_ERROR_SIEGE_TIME_WHTH_SELECTED_GUILD</t>
  </si>
  <si>
    <t>/공성전 시간 중에는 선정 길드와는 동맹 신청 및 수락, 해제가 되지 않습니다.(공성전 시작 10분 전 포함)</t>
  </si>
  <si>
    <t>스크린 메시지</t>
    <phoneticPr fontId="2" type="noConversion"/>
  </si>
  <si>
    <t>개인창고를 이용할 수 없는 위치입니다.</t>
    <phoneticPr fontId="2" type="noConversion"/>
  </si>
  <si>
    <t>ITEM_STORAGE_FAIL_NOT_INVALID_STAGE</t>
    <phoneticPr fontId="2" type="noConversion"/>
  </si>
  <si>
    <t>개인창고_에러메시지_210215_김선묵</t>
    <phoneticPr fontId="2" type="noConversion"/>
  </si>
  <si>
    <t>진행 중인 이벤트가 종료되었습니다.</t>
  </si>
  <si>
    <t xml:space="preserve">GACHA_PULL_FAIL_NOT_EVENT_TIME </t>
  </si>
  <si>
    <t>이벤트 시간이 아닌데 이벤트 뽑기 요청이 올 경우</t>
  </si>
  <si>
    <t>이벤트 향로에 사용할 마일리지가 부족합니다.</t>
  </si>
  <si>
    <t>GACHA_PULL_FAIL_NOT_ENOUGH_EVENT_POINT</t>
  </si>
  <si>
    <t>이벤트 포인트(마일리지)부족</t>
  </si>
  <si>
    <t>일일 소환 횟수가 부족하여, 진행할 수 없습니다.</t>
  </si>
  <si>
    <t xml:space="preserve">GACHA_PULL_FAIL_OVER_DAY_COUNT_EVENT  </t>
  </si>
  <si>
    <t>이벤트 뽑기 일일 횟수 오버</t>
  </si>
  <si>
    <t>동맹 문파가 아닙니다.</t>
  </si>
  <si>
    <t xml:space="preserve">GUILD_NOT_ALLIANCE  </t>
  </si>
  <si>
    <t>장착된 정령보물은 제작 재료로 사용할 수 없습니다.</t>
    <phoneticPr fontId="2" type="noConversion"/>
  </si>
  <si>
    <t>ITEM_EQUIP_NOT_USE_METERIAL</t>
    <phoneticPr fontId="2" type="noConversion"/>
  </si>
  <si>
    <t>NPC_제작_정령보물_장착상태_에러메시지_210218_김선묵</t>
    <phoneticPr fontId="2" type="noConversion"/>
  </si>
  <si>
    <t>스크린 메시지</t>
    <phoneticPr fontId="2" type="noConversion"/>
  </si>
  <si>
    <t>제작방식과 다른 타입이어서 제작을 할 수 없습니다.</t>
    <phoneticPr fontId="2" type="noConversion"/>
  </si>
  <si>
    <t>ITEM_DIFF_MAKE_TYPE</t>
    <phoneticPr fontId="2" type="noConversion"/>
  </si>
  <si>
    <t>NPC_제작타입_에러메시지_210219_김선묵</t>
    <phoneticPr fontId="2" type="noConversion"/>
  </si>
  <si>
    <t>스크린 메시지</t>
    <phoneticPr fontId="2" type="noConversion"/>
  </si>
  <si>
    <t>계정 구매제한이 설정된 매일지급 상품이 아닙니다.</t>
    <phoneticPr fontId="2" type="noConversion"/>
  </si>
  <si>
    <t>SHOP_NOT_PERIOD_GOODS_ALL_ACCOUNT</t>
    <phoneticPr fontId="2" type="noConversion"/>
  </si>
  <si>
    <t>매일지급 상품_계정구매제한_210223_김선묵</t>
    <phoneticPr fontId="2" type="noConversion"/>
  </si>
  <si>
    <t>인원이 가득차 입장할 수 없습니다.</t>
    <phoneticPr fontId="2" type="noConversion"/>
  </si>
  <si>
    <t>지금은 사용할 수 없습니다.</t>
    <phoneticPr fontId="2" type="noConversion"/>
  </si>
  <si>
    <t>관직을 부여할 수 없습니다. 잠시후 다시 사용하여 주세요.</t>
  </si>
  <si>
    <t>DOMINION_OFFICIAL_GRADE_CHAGNE_FAIL</t>
  </si>
  <si>
    <t>관직 변경 실패</t>
  </si>
  <si>
    <t>관직을 부여할 수 없습니다. DB에러가 발생하였습니다.</t>
  </si>
  <si>
    <t>DOMINION_OFFICIAL_GRADE_CHAGNE_FAIL_DB_ERROR</t>
  </si>
  <si>
    <t>관직 변경 실패 DB에러</t>
  </si>
  <si>
    <t>관직을 부여할 권한이 없습니다.</t>
  </si>
  <si>
    <t>DOMINION_OFFICIAL_GRADE_CHAGNE_FAIL_NOT_AUTHORITY</t>
  </si>
  <si>
    <t>관직 부여 실패 - 권한 없음</t>
  </si>
  <si>
    <t>관직을 부여할 수 있는 문파가 아닙니다.</t>
  </si>
  <si>
    <t>DOMINION_OFFICIAL_GRADE_CHAGNE_FAIL_NOT_MATCH_GUILD</t>
  </si>
  <si>
    <t>관직 부여 실패 - 점령 문파가 아님</t>
  </si>
  <si>
    <t>관직을 부여할 수 있는 문파원이 아닙니다.</t>
  </si>
  <si>
    <t>DOMINION_OFFICIAL_GRADE_CHAGNE_FAIL_NOT_GUILD_MEMBER</t>
  </si>
  <si>
    <t>관직 부여 실패 - 문파원이 아님</t>
  </si>
  <si>
    <t>존재하지 않는 문파로 관직을 부여할 수 없습니다.</t>
  </si>
  <si>
    <t>DOMINION_OFFICIAL_GRADE_CHAGNE_FAIL_NOT_EXIST_GUILD</t>
  </si>
  <si>
    <t>관직 부여 실패 - 존재하지 않는 문파</t>
  </si>
  <si>
    <t>관직을 부여할 수 없습니다. 잘못된 관직입니다.</t>
  </si>
  <si>
    <t>DOMINION_OFFICIAL_GRADE_CHAGNE_FAIL_WRONG_TYPE</t>
  </si>
  <si>
    <t>관직 부여 실패 - 잘못된 관직 타입</t>
  </si>
  <si>
    <t>칭호를 변경할 수 없습니다. 관직이 아닙니다.</t>
  </si>
  <si>
    <t>DOMINION_TITLE_CHAGNE_FAIL_WRONG_TYPE</t>
  </si>
  <si>
    <t>영지 칭호 변경 실패 - 잘못된 타입의 관직</t>
  </si>
  <si>
    <t>임기 내 사용할 수 있는 칙명 횟수를 모두 사용하였습니다.</t>
  </si>
  <si>
    <t xml:space="preserve">DOMINION_IMPERIAL_ORDER_FAIL_COUNT_ORVER </t>
  </si>
  <si>
    <t>동시에 다수의 인원에게 지명 수배를 할 수 없습니다.</t>
  </si>
  <si>
    <t xml:space="preserve">DOMINION_WANTED_ADD_FAIL_COUNT_ORVER </t>
  </si>
  <si>
    <t xml:space="preserve">DOMINION_PRIZE_FAIL_NOT_EXIST_USER </t>
  </si>
  <si>
    <t>자신에게 칭호를 부여할 수 없습니다.</t>
  </si>
  <si>
    <t xml:space="preserve">DOMINION_TITLE_CHAGNE_FAIL_MYSELF </t>
  </si>
  <si>
    <t>국왕에게 칭호를 부여할 수 없습니다.</t>
  </si>
  <si>
    <t xml:space="preserve">DOMINION_TITLE_CHAGNE_FAIL_MASTER </t>
  </si>
  <si>
    <t>동일한 관직입니다.</t>
  </si>
  <si>
    <t xml:space="preserve">DOMINION_OFFICIAL_GRADE_CHAGNE_FAIL_SAME_GRADE </t>
  </si>
  <si>
    <t>국왕에게 관직을 부여할 수 없습니다.</t>
  </si>
  <si>
    <t xml:space="preserve">DOMINION_OFFICIAL_GRADE_CHAGNE_FAIL_MASTER </t>
  </si>
  <si>
    <t>이벤트 진행 기간이 아닙니다.</t>
    <phoneticPr fontId="2" type="noConversion"/>
  </si>
  <si>
    <t>입찰 금액이 부족합니다. 갱신 버튼을 터치해보세요.</t>
    <phoneticPr fontId="2" type="noConversion"/>
  </si>
  <si>
    <t>영지에 보관중인 재화의 양이 부족합니다.</t>
  </si>
  <si>
    <t>최초 입찰 시에는 최저 입찰 금액만 입력할 수 있습니다.</t>
  </si>
  <si>
    <t>SIEGE_BIDDING_FAIL_BY_INVALID_FIRST_BIDDING_MONEY</t>
  </si>
  <si>
    <t>자기 자신에게 친구를 요청할 수 없습니다.</t>
    <phoneticPr fontId="2" type="noConversion"/>
  </si>
  <si>
    <t>자기 자신에게 친구 요청</t>
    <phoneticPr fontId="2" type="noConversion"/>
  </si>
  <si>
    <t xml:space="preserve">FRIEND_REQUEST_FAIL_MYSELF </t>
  </si>
  <si>
    <t>지명 수배 해제에 실패하였습니다.</t>
  </si>
  <si>
    <t>DOMINION_WANTED_CANCEL_FAIL</t>
  </si>
  <si>
    <t>지명 수배를 해제할 권한이 없습니다.</t>
  </si>
  <si>
    <t>DOMINION_WANTED_CANCEL_FAIL_NOT_AUTHORITY</t>
  </si>
  <si>
    <t xml:space="preserve">DOMINION_WANTED_CANCEL_FAIL_NOT_EXIST_GUILD </t>
  </si>
  <si>
    <t>비천성을 점령하고 있는 문파만 지명 수배를 해제할 수 있습니다.</t>
  </si>
  <si>
    <t>DOMINION_WANTED_CANCEL_FAIL_NOT_MATCH_GUILD</t>
  </si>
  <si>
    <t>DOMINION_WANTED_CANCEL_FAIL_NOT_EXIST_USER</t>
  </si>
  <si>
    <t>이미 수배 해제된 사용자입니다.</t>
  </si>
  <si>
    <t xml:space="preserve">DOMINION_WANTED_CANCEL_FAIL_ALREADY_EXIST_USER </t>
  </si>
  <si>
    <t>최대 레벨입니다.</t>
  </si>
  <si>
    <t>PET_MAX_GRADE</t>
  </si>
  <si>
    <t>정령초월 최대레벨 서버에러메시지_210323_이혜선</t>
  </si>
  <si>
    <t>PARTY_CREATE_FAIL_INVALID_PARTY_STAGE_IN_SIEGE</t>
  </si>
  <si>
    <t>// 공성전 맵에서는 생성 할수 없는 파티 스테이지 타입이다 (보스토벌 및 일반토벌 파티 생성 불가)</t>
  </si>
  <si>
    <t>PARTY_ENTER_FAIL_INVALID_PARTY_STAGE_IN_SIEGE</t>
  </si>
  <si>
    <t>// 공성전 맵에서는 가입 할수 없는 파티 스테이지 타입이다 (보스토벌 및 일반토벌 파티 생성 불가)</t>
  </si>
  <si>
    <t>토벌 파티에 소속된 상태에서는 입장할 수 없습니다.</t>
  </si>
  <si>
    <t>SIEGE_ZONE_ENTER_FAIL_BY_INVALID_PARTY_TYPE</t>
  </si>
  <si>
    <t>입장 할수 없는 파티 타입이다.  (보스토벌 및 일반토벌 파티 입장 불가)</t>
  </si>
  <si>
    <t>초월 대상을 선택하세요.</t>
  </si>
  <si>
    <t>ITEM_NOT_EXISTS_TRANCE_ITEM</t>
  </si>
  <si>
    <t>초월 대상 아이템이 존재 하지 않는다.</t>
  </si>
  <si>
    <t>전설 등급만 초월을 할 수 있습니다.</t>
  </si>
  <si>
    <t>ITEM_NOT_LEGEND_GRADE_TRANCE_ITEM</t>
  </si>
  <si>
    <t>초월 대상 아이템이 전설 등급이 아니다.</t>
  </si>
  <si>
    <t>최대 초월 레벨을 달성하여 더 이상 초월할 수 없습니다.</t>
  </si>
  <si>
    <t>ITEM_TRANCE_ITEM_MAX_LEVEL</t>
  </si>
  <si>
    <t>초월 대상 아이템이 max level이다.</t>
  </si>
  <si>
    <t>잠금 설정된 대상입니다. 초월할 수 없습니다.</t>
  </si>
  <si>
    <t>ITEM_LOCK_TRANCE_ITEM</t>
  </si>
  <si>
    <t>초월 대상 아이템이 잠금 상태이다.</t>
  </si>
  <si>
    <t>재료 아이템을 선택하지 않았습니다.</t>
  </si>
  <si>
    <t>ITEM_NOT_EXISTS_TRANCE_MATERIAL_ITEM</t>
  </si>
  <si>
    <t>초월 재료 아이템이 존재 하지 않는다.</t>
  </si>
  <si>
    <t>재료 아이템의 등급이 달라 초월할 수 없습니다.</t>
  </si>
  <si>
    <t>ITEM_TRANCE_MATERIAL_ITEM_DIFF_GRADE</t>
  </si>
  <si>
    <t>초월 재료 아이템이 대상 아이템과 등급이 다르다</t>
  </si>
  <si>
    <t>잠금 설정된 아이템을 재료로 선택하여 초월을 할 수 없습니다.</t>
  </si>
  <si>
    <t>ITEM_LOCK_TRANCE_MATERIAL_ITEM</t>
  </si>
  <si>
    <t>초월 재료 아이템이 잠금 상태이다.</t>
  </si>
  <si>
    <t>수여한 보물은 초월 재료로 사용할 수 없습니다.</t>
  </si>
  <si>
    <t>ITEM_NOT_USE_EQUIP_TRANCE_MATERIAL_ITEM</t>
  </si>
  <si>
    <t>장착된 초월 재료 아이템은 사용할수 없다</t>
  </si>
  <si>
    <t>공성전에 참가 중일 때는 이용할 수 없습니다.</t>
  </si>
  <si>
    <t xml:space="preserve">GUILD_CAN_NOT_LEAVE_IN_SIEGE </t>
  </si>
  <si>
    <t>공성전 진행 중에는 탈퇴 할 수 없음</t>
  </si>
  <si>
    <t>GUILD_CAN_NOT_DELETE_IN_SIEGE</t>
  </si>
  <si>
    <t xml:space="preserve">공성전 진행 중에는 문파를 해체 할 수 없음 </t>
  </si>
  <si>
    <t>능력치 개방 조건을 충족하지 못했습니다.</t>
  </si>
  <si>
    <t>CLOSED_TRAINING_NOT_MEETING_OPEN_CONDITIONS</t>
  </si>
  <si>
    <t>혈도 능력치 오픈 조건을 충족하지 못함</t>
  </si>
  <si>
    <t>재료가 부족해 강화할 수 없습니다.</t>
  </si>
  <si>
    <t>CLOSED_TRAINING_NOT_ENOUGH_METERIAL</t>
  </si>
  <si>
    <t>재료 부족으로 강화 할수 없음</t>
  </si>
  <si>
    <t>재화가 부족해 강화할 수 없습니다.</t>
  </si>
  <si>
    <t>CLOSED_TRAINING_NOT_ENOUGH_MONEY</t>
  </si>
  <si>
    <t>재화 부족으로 강화 할수 없음</t>
  </si>
  <si>
    <t>최대 레벨에 도달하여 강화할 수 없습니다.</t>
  </si>
  <si>
    <t>CLOSED_TRAINING_MAX_LEVEL_REACHEAD</t>
  </si>
  <si>
    <t>최대 레벨로 강화 실패</t>
  </si>
  <si>
    <t>카오 유저가, 전투 상태에서 워프 시도</t>
  </si>
  <si>
    <t>향로 포인트 증가 아이템 개수가 맞지 않아서 사용할 수 없습니다.</t>
  </si>
  <si>
    <t>ITEM_USE_COUNT_SMALL_COUNT</t>
  </si>
  <si>
    <t>향로 포인트 증가 아이템_210413_김선묵</t>
  </si>
  <si>
    <t>향로 포인트 수치가 최대 값이어서 사용을 할 수 없습니다.</t>
  </si>
  <si>
    <t>ITEM_USE_COMPOSE_POINT_NOT_OVER_MAX</t>
  </si>
  <si>
    <t>GUILD_CHALLENGE_ALREADY_CLEAR</t>
    <phoneticPr fontId="2" type="noConversion"/>
  </si>
  <si>
    <t>이미 문파 도전을 완료하였습니다.</t>
    <phoneticPr fontId="2" type="noConversion"/>
  </si>
  <si>
    <t>문파 도전이 이미 생성되어 있습니다.</t>
  </si>
  <si>
    <t>GUILD_CHALLENGE_ALREADY</t>
  </si>
  <si>
    <t>문파 도전을 생성할 재화가 부족합니다.</t>
  </si>
  <si>
    <t>GUILD_CHALLENGE_NOT_COST_VALUE</t>
  </si>
  <si>
    <t>문파 도전에 진입하지 못했습니다. 잠시 후 다시 시도해 주시기 바랍니다.</t>
  </si>
  <si>
    <t>GUILD_CHALLENGE_ZONE_ENTER</t>
  </si>
  <si>
    <t>입장 가능한 문파 도전이 없습니다.</t>
  </si>
  <si>
    <t>GUILD_CHALLENGE_NOT_CREATE</t>
  </si>
  <si>
    <t>문파 도전 생성 가능 기간이 아닙니다.</t>
  </si>
  <si>
    <t>GUILD_CHALLENGE_CREATE_TIME</t>
  </si>
  <si>
    <t>더 이상 문파 도전을 소환할 수 없습니다.</t>
  </si>
  <si>
    <t>GUILD_CHALLENGE_NO_MORE_CREATE</t>
  </si>
  <si>
    <t>야인 원정대 중에는 문파를 해체 할 수 없습니다</t>
  </si>
  <si>
    <t>GUILD_DELETE_SERVER_EXPEDITION</t>
  </si>
  <si>
    <t>야인 원정대 중에는 문파를 탈퇴할 수 없습니다.</t>
  </si>
  <si>
    <t>GUILD_MEMBER_LEAVE_SERVER_EXPEDITION</t>
  </si>
  <si>
    <t>//문파 가입 후 일정 시간 동안 기부를 할 수 없습니다.</t>
  </si>
  <si>
    <t xml:space="preserve">GUILD_DONATION_MEMBER_JOIN_TIME_LIMIT </t>
  </si>
  <si>
    <t>// 야인 원정대 중에는 흑철 상점을 이용 할 수 없습니다.</t>
  </si>
  <si>
    <t>GUILD_NPC_SHOP_SERVER_EXPEDITION</t>
  </si>
  <si>
    <t>원정대 진행 중에는 초대를 할 수 없습니다.</t>
  </si>
  <si>
    <t>GUILD_MEMBER_INVITE_SERVER_EXPEDITION</t>
  </si>
  <si>
    <t>원정대_김선묵_210426</t>
  </si>
  <si>
    <t>원정대 진행 중에는 사용할 수 없는 기능입니다.</t>
  </si>
  <si>
    <t>GUILD_CAN_NOT_FUNCTION_SERVER_EXPEDITION</t>
  </si>
  <si>
    <t>원정대 진행 중에는 척살 등록을 할 수 없습니다.</t>
  </si>
  <si>
    <t xml:space="preserve">GUILD_WANTED_SERVER_EXPEDITION </t>
  </si>
  <si>
    <t>원정대원은 동일 서버 원정대원과 파티가 가능합니다.</t>
  </si>
  <si>
    <t>CANNOT_PARTY_IN_EXPEDITION_SERVER</t>
  </si>
  <si>
    <t>원정대_0426_김선묵</t>
  </si>
  <si>
    <t>스크린 메시지</t>
    <phoneticPr fontId="2" type="noConversion"/>
  </si>
  <si>
    <t>원정대 참여 캐릭터가 이동을 할 수 없는 지역입니다.</t>
    <phoneticPr fontId="2" type="noConversion"/>
  </si>
  <si>
    <t>CANNOT_WARP_STAGE_IN_EXPEDITION_SERVER</t>
    <phoneticPr fontId="2" type="noConversion"/>
  </si>
  <si>
    <t>원정대_0427_김선묵</t>
    <phoneticPr fontId="2" type="noConversion"/>
  </si>
  <si>
    <t>원정대 오픈 후 문파에 가입한 캐릭터는 원정대에 참여할 수 없습니다.</t>
  </si>
  <si>
    <t>SERVER_EXPEDITION_MEMBER_JOIN_TIME_LATE</t>
  </si>
  <si>
    <t>원정대_0427_김선묵</t>
  </si>
  <si>
    <t>스크린 메시지</t>
    <phoneticPr fontId="2" type="noConversion"/>
  </si>
  <si>
    <t>원정대 이용가능 시간이 아니어서 이용을 할 수 없습니다.</t>
    <phoneticPr fontId="2" type="noConversion"/>
  </si>
  <si>
    <t>SERVER_EXPEDITION_CANNOT_USE_TIME</t>
    <phoneticPr fontId="2" type="noConversion"/>
  </si>
  <si>
    <t>원정대_서버에러</t>
    <phoneticPr fontId="2" type="noConversion"/>
  </si>
  <si>
    <t>원정대에 참여한 캐릭터는 이용을 할 수 없습니다.</t>
    <phoneticPr fontId="2" type="noConversion"/>
  </si>
  <si>
    <t>원정대_0427_김선묵</t>
    <phoneticPr fontId="2" type="noConversion"/>
  </si>
  <si>
    <t>스크린 메시지</t>
    <phoneticPr fontId="2" type="noConversion"/>
  </si>
  <si>
    <t>캐릭터가 다른 행동 중이어서 원정대 신청을 할 수 없습니다.</t>
    <phoneticPr fontId="2" type="noConversion"/>
  </si>
  <si>
    <t>SERVER_EXPEDITION_CHARCTER_CASTING</t>
    <phoneticPr fontId="2" type="noConversion"/>
  </si>
  <si>
    <t>원정대_서버에러</t>
    <phoneticPr fontId="2" type="noConversion"/>
  </si>
  <si>
    <t>원정대 참여중인 원정대원은 친구 요청을 할 수 없습니다.</t>
  </si>
  <si>
    <t>FRIEND_REQUEST_FAIL_IN_EXPEDITION</t>
  </si>
  <si>
    <t>원정대_0429_김선묵</t>
  </si>
  <si>
    <t>원정대 참여중인 원정대원은 친구 수락을 할 수 없습니다.</t>
  </si>
  <si>
    <t>FRIEND_AGREE_FAIL_IN_EXPEDITION</t>
  </si>
  <si>
    <t>호패를 사용하여 호칭을 생성해 주세요.</t>
    <phoneticPr fontId="2" type="noConversion"/>
  </si>
  <si>
    <t>CHARACTER_CUSTOM_TITLE_SHOW_NOT_EXIST_TITLE</t>
  </si>
  <si>
    <t>호칭을 보유하지 않은 상태에서 호칭 표시 버튼을 터치</t>
    <phoneticPr fontId="2" type="noConversion"/>
  </si>
  <si>
    <t>원정대 참여 중인 문파원은 추방할 수 없습니다.</t>
  </si>
  <si>
    <t>GUILD_MEMBER_KICK_SERVER_EXPEDITION</t>
  </si>
  <si>
    <t>원정대_0430_김선묵</t>
  </si>
  <si>
    <t>위상 생성에 실패하였습니다.</t>
  </si>
  <si>
    <t>위상을 생성하기 위한 레벨이 부족합니다.</t>
  </si>
  <si>
    <t>동일한 직업의 위상은 생성하실 수 없습니다.</t>
  </si>
  <si>
    <t>잘못된 위상입니다.</t>
  </si>
  <si>
    <t>위상생성은 비천성에서 진행 가능합니다.</t>
  </si>
  <si>
    <t>파티 및 토벌에서 탈퇴 후 위상 생성이 가능합니다.</t>
  </si>
  <si>
    <t>위상전환 대기 시간 종료 후 위상 생성이 가능합니다.</t>
  </si>
  <si>
    <t>위상생성에 필요한 금화가 부족합니다.</t>
  </si>
  <si>
    <t>이미 생성된 위상입니다.</t>
  </si>
  <si>
    <t>동일한 위상으로 생성할 수 없습니다.</t>
  </si>
  <si>
    <t>위상 전환에 실패하였습니다.</t>
  </si>
  <si>
    <t>동일한 직업으로 변경할 수 없습니다.</t>
  </si>
  <si>
    <t>잘못된 직업입니다.</t>
  </si>
  <si>
    <t>위상 변경은 비천성에서 진행 가능합니다.</t>
  </si>
  <si>
    <t>파티 및 토벌에서 탈퇴 후 위상 변경이 가능합니다.</t>
  </si>
  <si>
    <t>위상 전환 대기 시간 종료 후 위상 변경이 가능합니다.</t>
  </si>
  <si>
    <t>생성되지 않은 위상입니다.</t>
  </si>
  <si>
    <t>CHARACTER_PHASE_CREATE_FAIL</t>
  </si>
  <si>
    <t>CHARACTER_PHASE_CREATE_FAIL_NOT_ENOUGH_LEVEL</t>
  </si>
  <si>
    <t>CHARACTER_PHASE_CREATE_FAIL_ORIGIN_CLASS</t>
  </si>
  <si>
    <t>CHARACTER_PHASE_CREATE_FAIL_WRONG_CLASS</t>
  </si>
  <si>
    <t>CHARACTER_PHASE_CREATE_FAIL_WRONG_STAGE</t>
  </si>
  <si>
    <t>CHARACTER_PHASE_CREATE_FAIL_IN_PARTY</t>
  </si>
  <si>
    <t>CHARACTER_PHASE_CREATE_FAIL_NOT_END_COOLTIME</t>
  </si>
  <si>
    <t>CHARACTER_PHASE_CREATE_FAIL_NOT_ENOUGH_MONEY</t>
  </si>
  <si>
    <t>CHARACTER_PHASE_CREATE_FAIL_ALREADY_OPEN</t>
  </si>
  <si>
    <t>CHARACTER_PHASE_CREATE_FAIL_SAME_CLASS</t>
  </si>
  <si>
    <t>CHARACTER_PHASE_FAIL</t>
  </si>
  <si>
    <t>CHARACTER_PHASE_FAIL_SAME_CLASS</t>
  </si>
  <si>
    <t>CHARACTER_PHASE_FAIL_WRONG_CLASS</t>
  </si>
  <si>
    <t>CHARACTER_PHASE_FAIL_WRONG_STAGE</t>
  </si>
  <si>
    <t>CHARACTER_PHASE_FAIL_IN_PARTY</t>
  </si>
  <si>
    <t>CHARACTER_PHASE_FAIL_NOT_END_COOLTIME</t>
  </si>
  <si>
    <t>CHARACTER_PHASE_FAIL_NOT_OPEN</t>
  </si>
  <si>
    <t>캐릭터 전환 실패</t>
  </si>
  <si>
    <t>전환 가능한 레벨이 아님</t>
  </si>
  <si>
    <t>진상 캐릭터 클래스로는 생성 불가</t>
  </si>
  <si>
    <t>잘못된 클래스</t>
  </si>
  <si>
    <t>비천성이 아님</t>
  </si>
  <si>
    <t>파티에 가입되어 있는 상태에서는 전환 불가</t>
  </si>
  <si>
    <t>전환 쿨타임이 끝나지 않은 상태서는 전환 불가</t>
  </si>
  <si>
    <t>전환 재화 부족</t>
  </si>
  <si>
    <t>이미 오픈된 클래스</t>
  </si>
  <si>
    <t>현재 캐릭터 클래스로는 불가</t>
  </si>
  <si>
    <t>전환 쿨타임이 끝나지 않은 상태에서는 전환 불가</t>
  </si>
  <si>
    <t>오픈(생성)되지 않은 위상</t>
  </si>
  <si>
    <t>관전자 등급이 아닙니다.</t>
  </si>
  <si>
    <t>SIEGE_WATCHER_TRACE_FAIL_BY_INVALID_GRADE</t>
  </si>
  <si>
    <t xml:space="preserve">관전자 모드 추적 요청 실패, 관전자 모드 가능 등급이 아니다. </t>
  </si>
  <si>
    <t>대상이 맵에 존재하지 않습니다.</t>
  </si>
  <si>
    <t xml:space="preserve">SIEGE_WATCHER_TRACE_FAIL_BY_TARGET_NOT_IN_ZONE </t>
  </si>
  <si>
    <t xml:space="preserve">관전자 모드 추적 요청 실패, 타겟이 맵에 없다 </t>
  </si>
  <si>
    <t>대상이 사망한 상태입니다.</t>
  </si>
  <si>
    <t xml:space="preserve">SIEGE_WATCHER_TRACE_FAIL_BY_TARGET_IS_DIE </t>
  </si>
  <si>
    <t>관전자 모드 추적 요청 실패, 타겟이 죽어 있는 상태이다.</t>
  </si>
  <si>
    <t>요구 아이템이 부족합니다.</t>
  </si>
  <si>
    <t xml:space="preserve">USER_EVENT_NOT_ENOUGH_METERIAL  </t>
  </si>
  <si>
    <t>필요 아이템 부족</t>
  </si>
  <si>
    <t>USER_EVENT_EXCEEDED_MAX_NUMBER_OF_REWARDS</t>
  </si>
  <si>
    <t>교환 가능 횟수 초과</t>
  </si>
  <si>
    <t>응원 가능 횟수를 초과했습니다.</t>
    <phoneticPr fontId="2" type="noConversion"/>
  </si>
  <si>
    <t>의상을 구매할 수 없습니다.</t>
  </si>
  <si>
    <t>COSTUME_NOT_COMPLATE_CLASS</t>
  </si>
  <si>
    <t>의상구매 실패 시</t>
  </si>
  <si>
    <t>제작 횟수가 부족한 아이템 입니다.</t>
  </si>
  <si>
    <t>ITEM_MAKE_AGENCY_EXCEEDED_MAX_COUNT</t>
  </si>
  <si>
    <t>표국제작 갯수 최대 카운트 초과</t>
  </si>
  <si>
    <t>제작 기간이 종료된 아이템 입니다.</t>
  </si>
  <si>
    <t>ITEM_MAKE_AGENCY_INVALID_PERIOD</t>
  </si>
  <si>
    <t>표국제작 유효하지 않은 기간</t>
  </si>
  <si>
    <t>배틀 패스 구매 레벨 제한</t>
  </si>
  <si>
    <t>BATTLE_PASS_CANNOT_PURCHASE_LEVEL</t>
  </si>
  <si>
    <t>서버와의 연결이 원활하지 않습니다.</t>
  </si>
  <si>
    <t>ZONE_ERROR_ENTER_LOGIN_FAILURE</t>
  </si>
  <si>
    <t>로그인시 존입장 실패</t>
  </si>
  <si>
    <t>DataOnOff</t>
    <phoneticPr fontId="2" type="noConversion"/>
  </si>
  <si>
    <t>데이터적용여부</t>
    <phoneticPr fontId="2" type="noConversion"/>
  </si>
  <si>
    <t>0 : Json 추출 시 해당 행 추출되지 않음
1 : 해당 행을 추출함</t>
    <phoneticPr fontId="2" type="noConversion"/>
  </si>
  <si>
    <t>!Refer</t>
  </si>
  <si>
    <t>!</t>
  </si>
  <si>
    <t>국내업데이트</t>
  </si>
  <si>
    <t>국내업데이트 날짜를 MM.YY.DD 형식으로 기입</t>
  </si>
  <si>
    <t>수정업데이트</t>
  </si>
  <si>
    <t>국내 수정업데이트 날짜를 MM.YY.DD 형식으로 기입</t>
  </si>
  <si>
    <t>글로벌업데이트</t>
  </si>
  <si>
    <t>글로벌 업데이트 날짜를 MM.YY.DD 형식으로 기입</t>
  </si>
  <si>
    <t>DataOnOff_G</t>
  </si>
  <si>
    <t>int</t>
  </si>
  <si>
    <t>글로벌 OnOFF</t>
  </si>
  <si>
    <t>글로벌 데이터의 OnOff 값 / 0:적용안함, 1:추출적용</t>
  </si>
  <si>
    <t xml:space="preserve">MIR4는 현재 지역에서는 접속할 수 없습니다. </t>
  </si>
  <si>
    <t>AUTH_ERROR_UNABLE_TO_CONNECT_COUNTRY</t>
  </si>
  <si>
    <t>글로벌 접속 가능 국가 아닌 경우</t>
    <phoneticPr fontId="2" type="noConversion"/>
  </si>
  <si>
    <t>이미 해당 등급의 포상을 받은 캐릭터 입니다.</t>
  </si>
  <si>
    <t>DOMINION_PRIZE_FAIL_ALREADY_RECEIVE_USER</t>
  </si>
  <si>
    <t>포상 등급 중복 수여 불가.</t>
  </si>
  <si>
    <t>성소를 소환할 수 없는 지역입니다.</t>
  </si>
  <si>
    <t>SANCTUM_ERROR_NOT_SANCTUM_BATTLE_FIELD</t>
  </si>
  <si>
    <t>성소 필드가 아니다</t>
  </si>
  <si>
    <t>성소 소환 정보가 없습니다.</t>
  </si>
  <si>
    <t>SANCTUM_ERROR_NOT_EXIST_OCCUPATION_INFO</t>
  </si>
  <si>
    <t>성소 점령 정보가 없다.</t>
  </si>
  <si>
    <t>성소가 설치되어 있어 문파를 해체할 수 없습니다.</t>
  </si>
  <si>
    <t>SANCTUM_ERROR_CAN_NOT_DELETE_GUILD</t>
  </si>
  <si>
    <t>성소 점령중일 때는 길드를 삭제할 수 없다</t>
  </si>
  <si>
    <t>성소 기능을 점검 중입니다.</t>
  </si>
  <si>
    <t>SANCTUM_OBJECT_ERROR_STATUS_SEAL</t>
  </si>
  <si>
    <t>성지 캐스팅 에러, 성소 기능을 점검 중이다.</t>
  </si>
  <si>
    <t>소환된 성소가 존재하여 성소를 소환할 수 없습니다.</t>
  </si>
  <si>
    <t>SANCTUM_OBJECT_ERROR_ALREADY_EXIST</t>
  </si>
  <si>
    <t>성지 캐스팅 에러. 성소가 이미 설치되어 있다.</t>
  </si>
  <si>
    <t>원정대 상태에서는 이용할 수 없습니다.</t>
  </si>
  <si>
    <t>SANCTUM_OBJECT_ERROR_EXPEDITION_MEMBER</t>
  </si>
  <si>
    <t>성지 캐스팅 에러. 원정대 상태에서는 이용할 수 없다.</t>
  </si>
  <si>
    <t>성소를 소환하기 위한 문파기술을 습득하지 않았습니다.</t>
  </si>
  <si>
    <t>SANCTUM_OBJECT_ERROR_GUILD_DEVELOP_NOT_EXIST</t>
  </si>
  <si>
    <t>성지 캐스팅 에러. 성소를 사용하기 위해서는 문파 기술을 습득해야 한다.</t>
  </si>
  <si>
    <t>영지를 보유한 상태에서는 성소를 소환 할 수 없습니다.</t>
  </si>
  <si>
    <t>SANCTUM_OBJECT_ERROR_DOMINION_EXIST</t>
  </si>
  <si>
    <t>성지 캐스팅 에러. 영지를 보유한 상태에서는 성소를 설치할 수 없다.</t>
  </si>
  <si>
    <t>성소를 설치할 권한이 없습니다.</t>
  </si>
  <si>
    <t>SANCTUM_OBJECT_ERROR_GUILD_MEMBER_AUTHORITY_NOT_EXIST</t>
  </si>
  <si>
    <t>성지 캐스팅 에러. 권한이 없다.</t>
  </si>
  <si>
    <t>6레벨 이후부터 채팅 입력이 가능합니다.</t>
    <phoneticPr fontId="2" type="noConversion"/>
  </si>
  <si>
    <t>오류가 발생했습니다.(Code: 9021)</t>
    <phoneticPr fontId="2" type="noConversion"/>
  </si>
  <si>
    <t>COMMON_CLIENT_CHECK</t>
    <phoneticPr fontId="2" type="noConversion"/>
  </si>
  <si>
    <t>캐릭터 레벨이 부족하여 기부를 할 수 없습니다.</t>
  </si>
  <si>
    <t>GUILD_DONATION_NOT_LEVEL</t>
  </si>
  <si>
    <t>문파에 가입 후 문파 채팅창에 초대를 보낼 수 있습니다.</t>
    <phoneticPr fontId="2" type="noConversion"/>
  </si>
  <si>
    <t>PARTY_INVITE_CHATTING_FAIL_NOT_IN_GUILD</t>
    <phoneticPr fontId="2" type="noConversion"/>
  </si>
  <si>
    <t>파티 채팅 초대 ; 문파원이 아닌데 문파 채팅으로 초대 보낼 수 없음</t>
    <phoneticPr fontId="2" type="noConversion"/>
  </si>
  <si>
    <t>존재하지 않는 문파입니다.</t>
    <phoneticPr fontId="2" type="noConversion"/>
  </si>
  <si>
    <t>PARTY_INVITE_CHATTING_FAIL_NOT_EXIST_GUILD</t>
  </si>
  <si>
    <t>파티 채팅 초대 ; 존재하지 않는 문파</t>
    <phoneticPr fontId="2" type="noConversion"/>
  </si>
  <si>
    <t>동맹문파가 아니므로 초대를 보낼 수 없습니다.</t>
    <phoneticPr fontId="2" type="noConversion"/>
  </si>
  <si>
    <t>PARTY_INVITE_CHATTING_FAIL_NOT_ALLIANCE_GUILD</t>
  </si>
  <si>
    <t>파티 채팅 초대 ; 동맹 길드가 아님</t>
    <phoneticPr fontId="2" type="noConversion"/>
  </si>
  <si>
    <t>상대 캐릭터는 미접속 상태입니다.</t>
    <phoneticPr fontId="2" type="noConversion"/>
  </si>
  <si>
    <t>PARTY_INVITE_CHATTING_FAIL_NOT_ONLINE_USER</t>
  </si>
  <si>
    <t>파티 채팅 초대 ; 1:1 채팅 초대 시 유저가 로그인되어있지 않음</t>
    <phoneticPr fontId="2" type="noConversion"/>
  </si>
  <si>
    <t>이미 참가중인 파티입니다.</t>
    <phoneticPr fontId="2" type="noConversion"/>
  </si>
  <si>
    <t>PARTY_INVITE_CHATTING_FAIL_MYSELF</t>
  </si>
  <si>
    <t>파티 채팅 초대 ; 1:1 채팅 초대 시 자기자신 초대</t>
    <phoneticPr fontId="2" type="noConversion"/>
  </si>
  <si>
    <t>PARTY_INVITE_CHATTING_FAILALREADY_IN_PARTY</t>
  </si>
  <si>
    <t>2021.11.11</t>
  </si>
  <si>
    <t>2021.11.02</t>
  </si>
  <si>
    <t>비곡을 점령중인 문파가 없습니다.</t>
  </si>
  <si>
    <t>STRONG_POINT_ERROR_DEOS_NOT_EXIST_OCCUPY_GUILD</t>
  </si>
  <si>
    <t xml:space="preserve">거점전 요청 실패, 점령 길드가 없다 </t>
  </si>
  <si>
    <t>비곡을 점령중인 문파가 아닙니다.</t>
  </si>
  <si>
    <t>STRONG_POINT_ERROR_IS_NOT_OCCUPY_GUILD</t>
  </si>
  <si>
    <t>거점전 요청 실패, 점령 길드가 아니다</t>
  </si>
  <si>
    <t>입력된 포고문이 기존과 동일합니다.</t>
  </si>
  <si>
    <t>STRONG_POINT_ERROR_SAME_GUILD_PROCLAMATION</t>
  </si>
  <si>
    <t xml:space="preserve">거점전 요청 실패, 기존 포고문과 동일하다 </t>
  </si>
  <si>
    <t>잠시 후 다시 시도해 주세요.</t>
  </si>
  <si>
    <t>STRONG_POINT_ERROR_SAME_GUILD_PROCLAMATION_COOLTIME</t>
  </si>
  <si>
    <t>거점전 요청 실패, 포고문 작성 쿨타임, 잠시 후 다시 시도 해 주세용</t>
  </si>
  <si>
    <t>포고문은 최대 [ 1000 ] 자 까지 작성할 수 있습니다.</t>
  </si>
  <si>
    <t>STRONG_POINT_ERROR_SAME_GUILD_PROCLAMATION_LENGTH</t>
  </si>
  <si>
    <t>거점전 요청 실패, 포고문 작성 길이가 설정값 보다 많다</t>
  </si>
  <si>
    <t>기간이 만료되어 물품을 받을 수 없습니다.</t>
  </si>
  <si>
    <t>MAIL_NOT_RECV_TIME</t>
  </si>
  <si>
    <t>2021.10.19</t>
    <phoneticPr fontId="2" type="noConversion"/>
  </si>
  <si>
    <t>입장하기 위한 위업을 달성하지 못했습니다.</t>
    <phoneticPr fontId="2" type="noConversion"/>
  </si>
  <si>
    <t>스테이지 입장 시 위업달성조건을 충족하지 못할때 뜨는 메시지</t>
    <phoneticPr fontId="2" type="noConversion"/>
  </si>
  <si>
    <t xml:space="preserve">WARP_NOT_COMPLETE_GREAT_BUILDING </t>
    <phoneticPr fontId="2" type="noConversion"/>
  </si>
  <si>
    <t>일시적인 서버 부하로 인해 로그인 창으로 돌아갑니다.</t>
  </si>
  <si>
    <t>AUTH_ERROR_FRONT_SERVER_BUSY</t>
  </si>
  <si>
    <t>인증중에 프론트서버 바쁨</t>
  </si>
  <si>
    <t>XDRACO 창고 이용 관련 메시지</t>
    <phoneticPr fontId="2" type="noConversion"/>
  </si>
  <si>
    <t>xdraco창고 보관 실패 - xdraco창고에 이미 해당 아이템이 존재</t>
  </si>
  <si>
    <t>xdraco창고 꺼내기 실패 - 기타</t>
  </si>
  <si>
    <t>xdraco창고 꺼내기 실패 - xdraco창고에 해당 아이템이 없음</t>
  </si>
  <si>
    <r>
      <t>xdraco</t>
    </r>
    <r>
      <rPr>
        <sz val="9"/>
        <color rgb="FF333333"/>
        <rFont val="맑은 고딕"/>
        <family val="3"/>
        <charset val="129"/>
      </rPr>
      <t>창고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꺼내기</t>
    </r>
    <r>
      <rPr>
        <sz val="9"/>
        <color rgb="FF333333"/>
        <rFont val="Verdana"/>
        <family val="2"/>
      </rPr>
      <t xml:space="preserve"> - </t>
    </r>
    <r>
      <rPr>
        <sz val="9"/>
        <color rgb="FF333333"/>
        <rFont val="맑은 고딕"/>
        <family val="3"/>
        <charset val="129"/>
      </rPr>
      <t>인벤이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꽉차서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꺼내지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못함</t>
    </r>
    <phoneticPr fontId="2" type="noConversion"/>
  </si>
  <si>
    <r>
      <t>xdraco</t>
    </r>
    <r>
      <rPr>
        <sz val="9"/>
        <color rgb="FF333333"/>
        <rFont val="맑은 고딕"/>
        <family val="3"/>
        <charset val="129"/>
      </rPr>
      <t>창고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보관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실패</t>
    </r>
    <r>
      <rPr>
        <sz val="9"/>
        <color rgb="FF333333"/>
        <rFont val="Verdana"/>
        <family val="2"/>
      </rPr>
      <t xml:space="preserve"> - xdraco</t>
    </r>
    <r>
      <rPr>
        <sz val="9"/>
        <color rgb="FF333333"/>
        <rFont val="맑은 고딕"/>
        <family val="3"/>
        <charset val="129"/>
      </rPr>
      <t>창고에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유효한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저장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장소가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부족</t>
    </r>
    <phoneticPr fontId="2" type="noConversion"/>
  </si>
  <si>
    <t>xdraco창고 보관 실패 - 저장하려는 아이템이 인벤에 존재하지 않음</t>
    <phoneticPr fontId="2" type="noConversion"/>
  </si>
  <si>
    <t>xdraco창고 보관 실패 - 기타</t>
    <phoneticPr fontId="2" type="noConversion"/>
  </si>
  <si>
    <t>xdraco창고 사용 가능 레벨이 아님</t>
    <phoneticPr fontId="2" type="noConversion"/>
  </si>
  <si>
    <t>xdraco창고 꺼내기 - 인벤에 이미 있음</t>
  </si>
  <si>
    <t>xdraco창고 정보가 로드되어 있지 않은 상태</t>
  </si>
  <si>
    <t>xdraco창고 보관 실패 - 장착 중인 아이템은 이동불가</t>
  </si>
  <si>
    <t>xdraco창고 보관 실패 -기간제 아이템은 이동불가</t>
  </si>
  <si>
    <t>xdraco창고 보관 실패 -옵션감정 진행중인 아이템 이동 불가</t>
  </si>
  <si>
    <t>xdraco창고 보관 실패 -xdraco아이템이 아님</t>
  </si>
  <si>
    <t>xdraco창고 보관 실패 -위믹스 로그인되지 않음</t>
  </si>
  <si>
    <t>xdraco창고 보관 실패 -xdraco창고 이동 비용 부족</t>
  </si>
  <si>
    <t>xdraco창고 보관 실패 -이동하려는 아이템이 창고에 있음</t>
  </si>
  <si>
    <t>마패 보유량이 최대치를 넘어, 수령할 수 없습니다.</t>
    <phoneticPr fontId="2" type="noConversion"/>
  </si>
  <si>
    <t>COST_OVER_MAX_VALUE_MAPAE</t>
    <phoneticPr fontId="2" type="noConversion"/>
  </si>
  <si>
    <t>단일 메일 수령시 가능한 시간이 아님</t>
  </si>
  <si>
    <t>기간이 만료된 우편이 삭제되었습니다.</t>
  </si>
  <si>
    <t>MAIL_NOT_RECV_TIME_ALL</t>
  </si>
  <si>
    <t>모두 수령시 가능한 시간이 아님</t>
  </si>
  <si>
    <t>ADS_ERROR_NOT_ENOUGH_VIEW_POINT</t>
  </si>
  <si>
    <t>ADS_ERROR_REWARD_GAIN_FAIL_INVEN_FULL</t>
  </si>
  <si>
    <t>ADS_ERROR_CREATE_ITEM_FAILURE</t>
  </si>
  <si>
    <t>ADS_ERROR_VIEW_COUNT_LIMIT</t>
  </si>
  <si>
    <t>ADS_ERROR_REWARD_COST_FAILURE</t>
  </si>
  <si>
    <t>ADS_WEB_ERROR_WRONG_PARAM</t>
  </si>
  <si>
    <t>ADS_WEB_ERROR_DB</t>
  </si>
  <si>
    <t>ADS_WEB_ERROR_NOT_EXIST_DATA</t>
  </si>
  <si>
    <t>ADS_WEB_ERROR_ALREADY_VIEW_END</t>
  </si>
  <si>
    <t>ADS_WEB_ERROR_UNKNOWN</t>
  </si>
  <si>
    <t>View Point 가 부족하다</t>
  </si>
  <si>
    <t>인벤꽉참</t>
  </si>
  <si>
    <t>아이템 생성 오류</t>
  </si>
  <si>
    <t>시청횟수 제한</t>
  </si>
  <si>
    <t>시청보상 Cost 지급 오류</t>
  </si>
  <si>
    <t>플랫폼 오류 - 파라미터 오류</t>
  </si>
  <si>
    <t>플랫폼 오류 - DB 오류</t>
  </si>
  <si>
    <t>플랫폼 오류 - 해당 광고 없음</t>
  </si>
  <si>
    <t>플랫폼 오류 - 보상 인증이 완료된 광고</t>
  </si>
  <si>
    <t>플랫폼 오류 - 알수없는 오류</t>
  </si>
  <si>
    <t>감상 횟수가 부족합니다.</t>
  </si>
  <si>
    <t>가방에 빈 공간이 부족합니다.</t>
    <phoneticPr fontId="2" type="noConversion"/>
  </si>
  <si>
    <t>마패를 더 이상 획득할 수 없습니다.</t>
    <phoneticPr fontId="2" type="noConversion"/>
  </si>
  <si>
    <t>마패 지급에 오류가 발생하였습니다. 다시 시도 해주세요</t>
    <phoneticPr fontId="2" type="noConversion"/>
  </si>
  <si>
    <t>아이템 생성 오류가 발생했습니다. 다시 시도 해주세요</t>
    <phoneticPr fontId="2" type="noConversion"/>
  </si>
  <si>
    <t>광고 시청에 오류가 발생하였습니다. 다시 시도 해주세요.</t>
    <phoneticPr fontId="2" type="noConversion"/>
  </si>
  <si>
    <t>2021.11.02</t>
    <phoneticPr fontId="2" type="noConversion"/>
  </si>
  <si>
    <t>전투력 부족으로 방이동 불가</t>
    <phoneticPr fontId="2" type="noConversion"/>
  </si>
  <si>
    <t>MAGIC_SQUARE_CANNOT_CHANGE_ROOM_SMALL_COMBATPOINT</t>
    <phoneticPr fontId="2" type="noConversion"/>
  </si>
  <si>
    <t>방이동 시 전투력이 부족할때 뜨는 메시지</t>
    <phoneticPr fontId="2" type="noConversion"/>
  </si>
  <si>
    <t>CASTING_FAIL_REASON_CRITICAL_INJURY</t>
    <phoneticPr fontId="2" type="noConversion"/>
  </si>
  <si>
    <t>내상 페널티로 인한 흑철 채광 불가 관련 메시지</t>
    <phoneticPr fontId="2" type="noConversion"/>
  </si>
  <si>
    <t>내상으로 인하여 흑철 채광이 불가능합니다. 내상 치료 후 시도해주세요.</t>
    <phoneticPr fontId="2" type="noConversion"/>
  </si>
  <si>
    <t xml:space="preserve">흑철 {1}개 이상 보유해야 이용이 가능합니다. </t>
    <phoneticPr fontId="2" type="noConversion"/>
  </si>
  <si>
    <t>DRACO_NOT_ENOUGH_MINIMUM_RESERVE</t>
    <phoneticPr fontId="2" type="noConversion"/>
  </si>
  <si>
    <t>제련소 이용 최소 흑철이 부족함(흑철 보유량 부족)</t>
    <phoneticPr fontId="2" type="noConversion"/>
  </si>
  <si>
    <t>2021.11.16</t>
    <phoneticPr fontId="2" type="noConversion"/>
  </si>
  <si>
    <t>2021.12.09</t>
    <phoneticPr fontId="2" type="noConversion"/>
  </si>
  <si>
    <t>EQUIPSLOT_NOT_EXIST_ITEM</t>
  </si>
  <si>
    <t>EQUIPSLOT_NOT_MYSTICAL_PIECE</t>
  </si>
  <si>
    <t>EQUIPSLOT_NOT_OVERLAB</t>
  </si>
  <si>
    <t>장착하려는 아이템이 존재하지 않습니다.</t>
    <phoneticPr fontId="2" type="noConversion"/>
  </si>
  <si>
    <t>보패가 아닌 아이템은 착용할 수 없습니다.</t>
    <phoneticPr fontId="2" type="noConversion"/>
  </si>
  <si>
    <t>동일한 고유 능력치를 가진 아이템은 중복 착용할 수 없습니다.</t>
    <phoneticPr fontId="2" type="noConversion"/>
  </si>
  <si>
    <t>장착된 아이템은 보감에 등록할 수 없습니다.</t>
    <phoneticPr fontId="2" type="noConversion"/>
  </si>
  <si>
    <t>COLLECTION_NOT_EQUIP_ITEM</t>
    <phoneticPr fontId="2" type="noConversion"/>
  </si>
  <si>
    <t xml:space="preserve">장착된 아이템은 보감등록 할수 없다 </t>
    <phoneticPr fontId="2" type="noConversion"/>
  </si>
  <si>
    <t>다른 서버 동맹 문파에는 파티 초대를 할 수 없습니다.</t>
    <phoneticPr fontId="2" type="noConversion"/>
  </si>
  <si>
    <t>PARTY_INVITE_CHATTING_FAIL_ALLIANCE_OTHER_WORLD</t>
    <phoneticPr fontId="2" type="noConversion"/>
  </si>
  <si>
    <t>레드마인: 49121_김선묵_211118_추가</t>
    <phoneticPr fontId="2" type="noConversion"/>
  </si>
  <si>
    <r>
      <t>xdraco</t>
    </r>
    <r>
      <rPr>
        <sz val="9"/>
        <color rgb="FF333333"/>
        <rFont val="돋움"/>
        <family val="3"/>
        <charset val="129"/>
      </rPr>
      <t>창고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돋움"/>
        <family val="3"/>
        <charset val="129"/>
      </rPr>
      <t>꺼내기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돋움"/>
        <family val="3"/>
        <charset val="129"/>
      </rPr>
      <t>실패</t>
    </r>
    <r>
      <rPr>
        <sz val="9"/>
        <color rgb="FF333333"/>
        <rFont val="Verdana"/>
        <family val="2"/>
      </rPr>
      <t xml:space="preserve"> - </t>
    </r>
    <r>
      <rPr>
        <sz val="9"/>
        <color rgb="FF333333"/>
        <rFont val="돋움"/>
        <family val="3"/>
        <charset val="129"/>
      </rPr>
      <t>거래소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돋움"/>
        <family val="3"/>
        <charset val="129"/>
      </rPr>
      <t>등록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돋움"/>
        <family val="3"/>
        <charset val="129"/>
      </rPr>
      <t>상태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돋움"/>
        <family val="3"/>
        <charset val="129"/>
      </rPr>
      <t>아이템</t>
    </r>
  </si>
  <si>
    <t>ITEM_XDRACO_STORAGE_NOT_ENOUGH_LEVEL</t>
  </si>
  <si>
    <t>ITEM_XDRACO_STORAGE_SAVE_FAIL</t>
  </si>
  <si>
    <t>ITEM_XDRACO_STORAGE_SAVE_FAIL_NOT_EXISTS_ITEM</t>
  </si>
  <si>
    <t>ITEM_XDRACO_STORAGE_SAVE_FAIL_STORAGE_COUNT_FULL</t>
  </si>
  <si>
    <t>ITEM_XDRACO_STORAGE_SAVE_FAIL_EXIST_STORAGE</t>
  </si>
  <si>
    <t>ITEM_XDRACO_STORAGE_OUT_FAIL</t>
  </si>
  <si>
    <t>ITEM_XDRACO_STORAGE_OUT_FAIL_NOT_EXISTS_ITEM</t>
  </si>
  <si>
    <t>ITEM_XDRACO_STORAGE_OUT_FAIL_INVEN_FULL</t>
  </si>
  <si>
    <t>ITEM_XDRACO_STORAGE_OUT_FAIL_EXIST_INVEN</t>
  </si>
  <si>
    <t>ITEM_XDRACO_STORAGE_NOT_LOAD_INFO</t>
  </si>
  <si>
    <t>ITEM_XDRACO_STORAGE_SAVE_FAIL_EQUIP_ITEM</t>
  </si>
  <si>
    <t>ITEM_XDRACO_STORAGE_SAVE_FAIL_PERIOD_ITEM</t>
  </si>
  <si>
    <t>ITEM_XDRACO_STORAGE_SAVE_FAIL_OPTIONING_ITEM</t>
  </si>
  <si>
    <t>ITEM_XDRACO_STORAGE_SAVE_FAIL_NOT_XDRACO_ITEM</t>
  </si>
  <si>
    <t>ITEM_XDRACO_STORAGE_SAVE_FAIL_NOT_WEMIX_LOGIN</t>
  </si>
  <si>
    <t>ITEM_XDRACO_STORAGE_SAVE_FAIL_NOT_ENOUGH_COST</t>
  </si>
  <si>
    <t>ITEM_XDRACO_STORAGE_SAVE_FAIL_ITEM_IN_STORAGE</t>
  </si>
  <si>
    <t>ITEM_XDRACO_STORAGE_OUT_FAIL_LOCK_ITEM</t>
  </si>
  <si>
    <t>2021.11.30</t>
    <phoneticPr fontId="2" type="noConversion"/>
  </si>
  <si>
    <t>글로벌 서버 이전_211126_이선호</t>
    <phoneticPr fontId="2" type="noConversion"/>
  </si>
  <si>
    <t>SERVER_CHANGE_XDRACO_STORAGE_ITEM_LOCK</t>
  </si>
  <si>
    <t>EXD에 거래 등록하면 표국 통행을 이용할 수 없습니다.\r\n등록 해제 후 이용 부탁 드립니다.</t>
  </si>
  <si>
    <t>CHARACTER_NFT_CREATE_FAIL_NOT_ENOUGH_LEVEL</t>
  </si>
  <si>
    <t>CHARACTER_NFT_CREATE_FAIL_NOT_ENOUGH_COMBAT_POINT</t>
  </si>
  <si>
    <t>CHARACTER_NFT_SEAL_FAIL_NOT_ENOUGH_COMBAT_POINT</t>
  </si>
  <si>
    <t>CHARACTER_NFT_SEAL_FAIL_WRONG_STAGE</t>
  </si>
  <si>
    <t>CHARACTER_NFT_SEAL_FAIL_SERVER_CHANGE_STILL_DELAY_TIME</t>
  </si>
  <si>
    <t>CHARACTER_NFT_SEAL_FAIL_NOT_ORIGIN_CLASS</t>
  </si>
  <si>
    <t>CHARACTER_NFT_SEAL_FAIL_COOL_TIME</t>
  </si>
  <si>
    <t>CHARACTER_NFT_FAIL_NOT_ENOUGH_COST</t>
  </si>
  <si>
    <t>CHARACTER_NFT_FAIL_NOT_EXIST_DATA</t>
  </si>
  <si>
    <t>CHARACTER_NFT_SEAL_FAIL_NOT_MINT</t>
  </si>
  <si>
    <t>CHARACTER_NFT_CREATE_FAIL_ALREADY_MINT</t>
  </si>
  <si>
    <t>CHARACTER_NFT_CREATE_FAIL_NOT_END_STATE</t>
  </si>
  <si>
    <t>CHARACTER_NFT_SEAL_FAIL_NOT_END_STATE</t>
  </si>
  <si>
    <t>CHARACTER_NFT_CREATE_FAIL</t>
  </si>
  <si>
    <t>CHARACTER_NFT_SEAL_FAIL</t>
  </si>
  <si>
    <t>NFT 캐릭터 거래 에러 메시지</t>
    <phoneticPr fontId="2" type="noConversion"/>
  </si>
  <si>
    <t>캐릭터의 레벨이 낮아서 NFT 생성에 실패하였습니다.</t>
  </si>
  <si>
    <t>캐릭터의 전투력이 낮아서 NFT 생성에 실패하였습니다.</t>
  </si>
  <si>
    <t>캐릭터의 전투력이 낮아서 NFT 봉인에 실패하였습니다.</t>
  </si>
  <si>
    <t>NFT 캐릭터 봉인은 비천성에서 진행할 수 있습니다.</t>
  </si>
  <si>
    <t>서버 이전 대기 시간이 적용 중입니다.</t>
  </si>
  <si>
    <t>위상 전환 대기 시간이 적용 중입니다.</t>
  </si>
  <si>
    <t>캐릭터 봉인 대기 시간이 적용 중입니다.</t>
  </si>
  <si>
    <t>재화가 부족하여 NFT에 실패하였습니다.</t>
  </si>
  <si>
    <t>데이터 오류로 인해 NFT에 실패하였습니다.</t>
  </si>
  <si>
    <t>NFT 등록되지 않은 캐릭터입니다.</t>
  </si>
  <si>
    <t>이미 NFT 등록된 캐릭터입니다.</t>
  </si>
  <si>
    <t>아직 NFT가 생성이 완료되지 않은 캐릭터입니다.</t>
  </si>
  <si>
    <t>아직 캐릭터 봉인 처리가 완료되지 않은 캐릭터입니다.</t>
  </si>
  <si>
    <t>캐릭터 NFT 생성에 실패하였습니다.</t>
  </si>
  <si>
    <t>캐릭터 봉인에 실패하였습니다.</t>
  </si>
  <si>
    <t>캐릭터 봉인 해제에 실패하였습니다.</t>
    <phoneticPr fontId="2" type="noConversion"/>
  </si>
  <si>
    <t>CHARACTER_NFT_UNSEAL_FAIL</t>
  </si>
  <si>
    <t>이미 획득한 아이템 정보를 처리중입니다. 잠시 후 다시 시도해 주세요.</t>
  </si>
  <si>
    <t>UNSEALING_STILL_PRCESSING</t>
  </si>
  <si>
    <t>봉인해제] 이전 봉인해제가 아직 처리중입니다.</t>
  </si>
  <si>
    <t>등록된 주소와 내용이 같지 않음</t>
  </si>
  <si>
    <t>DB_ALREADY_WEMIX_ADDRESS_ACCOUNT</t>
  </si>
  <si>
    <t>기존에 연결한 Wemix ID와 일치하지 않습니다.\r\n최초에 연결했던 Wemix ID로 로그인해야 이용할 수 있습니다.</t>
    <phoneticPr fontId="2" type="noConversion"/>
  </si>
  <si>
    <t>WARP_FAIL_PLUNDER_STATUS</t>
  </si>
  <si>
    <t>약탈전 진행 중에는 문파를 탈퇴할 수 없습니다.</t>
  </si>
  <si>
    <t>GUILD_ERROR_MEMBER_LEAVE_PLUNDER_TIME</t>
  </si>
  <si>
    <t>//비천성 소유 문파는 약탈전 시간 중에는 문파 탈퇴 을 할수 없습니다.</t>
  </si>
  <si>
    <t>약탈전 진행 시간 동안에는 문파를 탈퇴할 수 없습니다.</t>
  </si>
  <si>
    <t>GUILD_ERROR_MEMBER_LEAVE_PLUNDER_STAGE</t>
  </si>
  <si>
    <t>//비천성 소유 문파 이외의 문파는 약탈전 지역 에서는 문파 탈퇴 을 할수 없습니다.</t>
  </si>
  <si>
    <t>약탈전 진행 시간 동안에는 문파원을 추방할 수 없습니다.</t>
  </si>
  <si>
    <t>GUILD_ERROR_MEMBER_KICK_PLUNDER_TIME</t>
  </si>
  <si>
    <t>//비천성 소유 문파는 약탈전 시간 중에는 문파원 추방 을 할수 없습니다.</t>
  </si>
  <si>
    <t>대상이 약탈전을 진행하고 있어 문파에서 추방할 수 없습니다.</t>
  </si>
  <si>
    <t>GUILD_ERROR_MEMBER_KICK_PLUNDER_STAGE</t>
  </si>
  <si>
    <t>//비천성 소유 문파 이외의 문파는 약탈전 지역에 있는 문파원 추방 을 할수 없습니다.</t>
  </si>
  <si>
    <t>약탈전을 진행중일 동안에는 문파를 해체할 수 없습니다.</t>
  </si>
  <si>
    <t>GUILD_ERROR_GUILD_DELETE_PLUNDER_TIME</t>
  </si>
  <si>
    <t>//비천성 소유 문파는 약탈전 시간 중에는 문파 해체 을 할수 없습니다.</t>
  </si>
  <si>
    <t>약탈전 진행 시간 동안에는 문파를 해체할 수 없습니다.</t>
  </si>
  <si>
    <t>GUILD_ERROR_GUILD_DELETE_PLUNDER_STAGE</t>
  </si>
  <si>
    <t>//비천성 소유 문파 이외의 문파는 약탈전 지역 에서는 문파 해체 을 할수 없습니다.</t>
  </si>
  <si>
    <t>약탈전 진행 시간 동안에는 문파동맹 기능을 이용할 수 없습니다.</t>
  </si>
  <si>
    <t>GUILD_ALLIANCE_PLUNDER_TIME</t>
  </si>
  <si>
    <t>//약탈전 시간 중에는 모든 문파가 동맹 신청 및 수락, 해제가 되지 않습니다.</t>
  </si>
  <si>
    <t>이 지역에서는 비무를 진행할 수 없습니다.</t>
  </si>
  <si>
    <t>DUEL_CANNOT_PLUNDER_BATTLE_FIELD</t>
  </si>
  <si>
    <t>// 약탈전 맵에서는 할수 없다.</t>
  </si>
  <si>
    <t>약탈전 지역이 아닙니다.</t>
  </si>
  <si>
    <t>PLUNDER_ERROR_NOT_PLUNDER_BATTLE_FIELD</t>
  </si>
  <si>
    <t>// 약탈전 전투 맵 이 아니다.</t>
  </si>
  <si>
    <t>약탈전 정보가 존재하지 않습니다.</t>
  </si>
  <si>
    <t>PLUNDER_DOES_NOT_EXIST_PLUNDER_INFO</t>
  </si>
  <si>
    <t>// 약탈전 기본 정보가 존재 하지 않는다.</t>
  </si>
  <si>
    <t>요청을 진행할 수 없는 약탈전 상태입니다.</t>
  </si>
  <si>
    <t>PLUNDER_FAIL_BY_INVALID_REQ_IN_STATUS</t>
  </si>
  <si>
    <t>// 약탈전 요청 실패 BY 약탈전 상태에 맞지 않는 요청</t>
  </si>
  <si>
    <t>구매할 수 없는 함정입니다.</t>
  </si>
  <si>
    <t>PLUNDER_ERROR_TRAP_BUY_INVALID_REQ</t>
  </si>
  <si>
    <t>// 공성 무기 구입 잘못된 요청이다.</t>
  </si>
  <si>
    <t>이미 설치되어 있는 함정입니다.</t>
  </si>
  <si>
    <t>PLUNDER_ERROR_TRAP_BUY_ALREADY_EXIST</t>
  </si>
  <si>
    <t>// 구입 하려는 공성 무기가 이미 존재 한다.</t>
  </si>
  <si>
    <t>함정 제작 요청을 처리 중입니다.</t>
  </si>
  <si>
    <t>PLUNDER_ERROR_TRAP_BUY_PROCESSING</t>
  </si>
  <si>
    <t>// 구입 처리 중이다.(같은 무기을 동시에 구입 요청할 경우 나올수 있다)</t>
  </si>
  <si>
    <t>생산 중인 함정입니다.</t>
  </si>
  <si>
    <t>PLUNDER_ERROR_TRAP_BUY_PRODUCTION_TIME</t>
  </si>
  <si>
    <t>// 구입 완료 후 생산 중이다.(생산중 구입 요청시 오류 코드)</t>
  </si>
  <si>
    <t>함정을 설치할 수 있는 시간이 아닙니다.</t>
  </si>
  <si>
    <t>PLUNDER_ERROR_TRAP_BUY_POSSIBLE_TIME</t>
  </si>
  <si>
    <t>// 구입 함정을 설치 할 수 있기까지 {1} 남았습니다</t>
  </si>
  <si>
    <t>재 생산 대기 중입니다.</t>
  </si>
  <si>
    <t>PLUNDER_ERROR_TRAP_BUY_REPRODUCTION_COOLTIME</t>
  </si>
  <si>
    <t>// 기존 구입에 의한 재생산 쿨 타임 중이다.(재생산 쿨타임 중 구입 요청시 오류 코드)</t>
  </si>
  <si>
    <t>PLUNDER_ERROR_TRAP_BUY_BATTLE_END_TIME</t>
  </si>
  <si>
    <t>// 전투 종료 시간에 의해 무기 구입 불가이다.(생산 완료 시간이 전투 종료 시간 보다 늦은 경우 오류 코드)</t>
  </si>
  <si>
    <t>PLUNDER_ZONE_ENTER_FAIL_BY_INVALID_PARTY_TYPE</t>
  </si>
  <si>
    <t>// 입장 할수 없는 파티 타입이다.  (보스토벌 및 일반토벌 파티 입장 불가)</t>
  </si>
  <si>
    <t>약탈팀만 상자를 오픈할 수 있습니다.</t>
  </si>
  <si>
    <t>PLUNDER_ERROR_REWARD_BOX_NOT_OFFENSE_GUILD</t>
  </si>
  <si>
    <t xml:space="preserve">// 공격측 길드가 아니면 보물 상자를 오픈 할수 없습니다. </t>
  </si>
  <si>
    <t>원정 중인 약탈팀만 보물상자를 오픈할 수 있습니다.</t>
  </si>
  <si>
    <t xml:space="preserve">PLUNDER_ERROR_REWARD_BOX_NOT_EXPEDITION_USER       </t>
  </si>
  <si>
    <t xml:space="preserve">// 원정대만 보물상자 약탈 가능 합니다. </t>
  </si>
  <si>
    <t>소속 문파의 문파 랭킹이 낮아 입장할 수 없습니다.</t>
  </si>
  <si>
    <t>PLUNDER_ZONE_ENTER_FAIL_BY_GUILD_RANKING</t>
  </si>
  <si>
    <t>// 입장하기 위해서는 소속 문파의 문파랭킹이 {1}위 이상이어야 합니다.</t>
  </si>
  <si>
    <r>
      <rPr>
        <sz val="9"/>
        <color theme="1"/>
        <rFont val="맑은 고딕"/>
        <family val="3"/>
        <charset val="129"/>
      </rPr>
      <t>커스터마이즈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없음</t>
    </r>
    <phoneticPr fontId="2" type="noConversion"/>
  </si>
  <si>
    <r>
      <rPr>
        <sz val="9"/>
        <color theme="1"/>
        <rFont val="맑은 고딕"/>
        <family val="3"/>
        <charset val="129"/>
      </rPr>
      <t>커스터마이즈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수량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부족</t>
    </r>
    <phoneticPr fontId="2" type="noConversion"/>
  </si>
  <si>
    <r>
      <rPr>
        <sz val="9"/>
        <color theme="1"/>
        <rFont val="맑은 고딕"/>
        <family val="3"/>
        <charset val="129"/>
      </rPr>
      <t>커스터마이즈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타입이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없음</t>
    </r>
    <phoneticPr fontId="2" type="noConversion"/>
  </si>
  <si>
    <r>
      <rPr>
        <sz val="9"/>
        <color theme="1"/>
        <rFont val="맑은 고딕"/>
        <family val="3"/>
        <charset val="129"/>
      </rPr>
      <t>커스터마이즈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값오류</t>
    </r>
    <phoneticPr fontId="2" type="noConversion"/>
  </si>
  <si>
    <r>
      <rPr>
        <sz val="9"/>
        <color theme="1"/>
        <rFont val="맑은 고딕"/>
        <family val="3"/>
        <charset val="129"/>
      </rPr>
      <t>봉인해제</t>
    </r>
    <r>
      <rPr>
        <sz val="9"/>
        <color theme="1"/>
        <rFont val="Arial"/>
        <family val="3"/>
      </rPr>
      <t xml:space="preserve">] </t>
    </r>
    <r>
      <rPr>
        <sz val="9"/>
        <color theme="1"/>
        <rFont val="맑은 고딕"/>
        <family val="3"/>
        <charset val="129"/>
      </rPr>
      <t>빈슬롯이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존재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하지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않음</t>
    </r>
    <phoneticPr fontId="2" type="noConversion"/>
  </si>
  <si>
    <r>
      <rPr>
        <sz val="9"/>
        <color theme="1"/>
        <rFont val="맑은 고딕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봉인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해제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인벤에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없다</t>
    </r>
    <phoneticPr fontId="2" type="noConversion"/>
  </si>
  <si>
    <r>
      <rPr>
        <sz val="9"/>
        <color theme="1"/>
        <rFont val="맑은 고딕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봉인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해제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갯수가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부족하다</t>
    </r>
    <phoneticPr fontId="2" type="noConversion"/>
  </si>
  <si>
    <r>
      <rPr>
        <sz val="9"/>
        <color theme="1"/>
        <rFont val="맑은 고딕"/>
        <family val="2"/>
        <charset val="129"/>
      </rPr>
      <t>봉인해제</t>
    </r>
    <r>
      <rPr>
        <sz val="9"/>
        <color theme="1"/>
        <rFont val="Arial"/>
        <family val="2"/>
      </rPr>
      <t>] 등</t>
    </r>
    <r>
      <rPr>
        <sz val="9"/>
        <color theme="1"/>
        <rFont val="맑은 고딕"/>
        <family val="3"/>
        <charset val="129"/>
      </rPr>
      <t>록에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필요한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재화가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부족하다</t>
    </r>
    <r>
      <rPr>
        <sz val="9"/>
        <color theme="1"/>
        <rFont val="Arial"/>
        <family val="2"/>
      </rPr>
      <t>.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</si>
  <si>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진행되고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있는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봉인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해제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데이터가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없다</t>
    </r>
    <r>
      <rPr>
        <sz val="9"/>
        <color theme="1"/>
        <rFont val="Arial"/>
        <family val="2"/>
      </rPr>
      <t>.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</si>
  <si>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유효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하지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않은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봉인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해제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슬롯이다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</si>
  <si>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비어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있는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슬롯이다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</si>
  <si>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가속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할수가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</si>
  <si>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가속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없다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</si>
  <si>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가속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아이템이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부족하다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</si>
  <si>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가속에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필요한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재화가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부족하다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</si>
  <si>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봉인해제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시간이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남아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있습니다</t>
    </r>
    <r>
      <rPr>
        <sz val="9"/>
        <color theme="1"/>
        <rFont val="Arial"/>
        <family val="2"/>
      </rPr>
      <t>.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</si>
  <si>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인벤이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가득참</t>
    </r>
    <phoneticPr fontId="2" type="noConversion"/>
  </si>
  <si>
    <r>
      <rPr>
        <sz val="9"/>
        <color theme="1"/>
        <rFont val="돋움"/>
        <family val="2"/>
        <charset val="129"/>
      </rPr>
      <t>봉인해제</t>
    </r>
    <r>
      <rPr>
        <sz val="9"/>
        <color theme="1"/>
        <rFont val="Arial"/>
        <family val="2"/>
      </rPr>
      <t xml:space="preserve">] </t>
    </r>
    <r>
      <rPr>
        <sz val="9"/>
        <color theme="1"/>
        <rFont val="맑은 고딕"/>
        <family val="3"/>
        <charset val="129"/>
      </rPr>
      <t>잠겨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있는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슬롯</t>
    </r>
    <phoneticPr fontId="2" type="noConversion"/>
  </si>
  <si>
    <t>EXD에 아이템을 등록한 상태입니다.</t>
    <phoneticPr fontId="2" type="noConversion"/>
  </si>
  <si>
    <t>기간제 아이템을 착용 중이어서 봉인에 실패하였습니다.</t>
    <phoneticPr fontId="2" type="noConversion"/>
  </si>
  <si>
    <t>CHARACTER_NFT_SEAL_FAIL_EXIST_EXD_ITEM</t>
  </si>
  <si>
    <t>CHARACTER_NFT_WRONG_DATA</t>
  </si>
  <si>
    <t>CHARACTER_NFT_SEAL_FAIL_EQUIP_PERIOD_ITEM</t>
  </si>
  <si>
    <t>NFT 캐릭터 관련하여 잘못된 데이터입니다.</t>
    <phoneticPr fontId="2" type="noConversion"/>
  </si>
  <si>
    <t>2021.12.21</t>
    <phoneticPr fontId="2" type="noConversion"/>
  </si>
  <si>
    <t>파티 가입 상태여서 NFT 캐릭터 봉인에 실패하였습니다.</t>
    <phoneticPr fontId="2" type="noConversion"/>
  </si>
  <si>
    <t>문파 가입 상태여서 NFT 캐릭터 봉인에 실패하였습니다.</t>
    <phoneticPr fontId="2" type="noConversion"/>
  </si>
  <si>
    <t>CHARACTER_NFT_SEAL_FAIL_IN_PARTY</t>
  </si>
  <si>
    <t>CHARACTER_NFT_SEAL_FAIL_IN_GUILD</t>
  </si>
  <si>
    <t>아직은 할 수 없습니다.</t>
    <phoneticPr fontId="2" type="noConversion"/>
  </si>
  <si>
    <t>GUILD_COMMAND_MARK_COOL_TIME</t>
    <phoneticPr fontId="2" type="noConversion"/>
  </si>
  <si>
    <t>//쿨타임 중일때</t>
    <phoneticPr fontId="2" type="noConversion"/>
  </si>
  <si>
    <t>중복된 요청입니다.</t>
    <phoneticPr fontId="2" type="noConversion"/>
  </si>
  <si>
    <t>GUILD_COMMAND_MARK_ALREADY_TARGET</t>
    <phoneticPr fontId="2" type="noConversion"/>
  </si>
  <si>
    <t>//패킷 여러 번 보냈을 때 예외처리</t>
    <phoneticPr fontId="2" type="noConversion"/>
  </si>
  <si>
    <t>CHARACTER_NFT_FAIL_NOT_CONNECTED_BLOCK_CHAIN_SERVER</t>
  </si>
  <si>
    <t>CHARACTER_NFT_UNSEAL_FAIL_IS_EXIST_REQ_DATA</t>
  </si>
  <si>
    <t>NFT 서버 연결에 실패하였습니다.</t>
    <phoneticPr fontId="2" type="noConversion"/>
  </si>
  <si>
    <t>NFT 봉인해제에 실패하였습니다.(이미 요청중인 데이터가 있습니다.)</t>
    <phoneticPr fontId="2" type="noConversion"/>
  </si>
  <si>
    <t>CHARACTER_NFT_UNSEAL_FAIL_NOT_EXIST_SLOT</t>
    <phoneticPr fontId="2" type="noConversion"/>
  </si>
  <si>
    <t>NFT 봉인해제에 실패하였습니다.(빈슬롯이 없습니다.)</t>
    <phoneticPr fontId="2" type="noConversion"/>
  </si>
  <si>
    <t>21.12.23</t>
    <phoneticPr fontId="2" type="noConversion"/>
  </si>
  <si>
    <t>21.12.21</t>
    <phoneticPr fontId="2" type="noConversion"/>
  </si>
  <si>
    <t>동맹 신청을 받은 문파입니다.동맹 신청을 받은 문파입니다. / STRING_MESSAGE StringID : 1400589 잘못 연결 사항 수정 / 211220_김선묵_수정</t>
    <phoneticPr fontId="2" type="noConversion"/>
  </si>
  <si>
    <t>EQUIPSLOT_NOT_MAGIC_STONE_RAINBOW</t>
  </si>
  <si>
    <t>21.08.25</t>
  </si>
  <si>
    <t>홍예석이 아니어서 장착 할수 없다</t>
  </si>
  <si>
    <t>22.01.11</t>
    <phoneticPr fontId="2" type="noConversion"/>
  </si>
  <si>
    <t>21.12.21 유경호 추가: 홍예석이 아닌 마석을 홍에석 슬롯에 장착 시 출력</t>
    <phoneticPr fontId="2" type="noConversion"/>
  </si>
  <si>
    <t>2022.01.11</t>
    <phoneticPr fontId="2" type="noConversion"/>
  </si>
  <si>
    <t>CHARACTER_NFT_SEAL_FAIL_PK_POINT</t>
  </si>
  <si>
    <t>캐릭터 성향 점수가 0 미만이어서 봉인에 실패하였습니다.</t>
    <phoneticPr fontId="2" type="noConversion"/>
  </si>
  <si>
    <t>ITEM_XDRACO_STORAGE_OUT_FAIL_DELAY_ITEM</t>
    <phoneticPr fontId="2" type="noConversion"/>
  </si>
  <si>
    <r>
      <t>xdraco</t>
    </r>
    <r>
      <rPr>
        <sz val="9"/>
        <color rgb="FF333333"/>
        <rFont val="맑은 고딕"/>
        <family val="2"/>
        <charset val="129"/>
      </rPr>
      <t>창고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꺼내기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실패</t>
    </r>
    <r>
      <rPr>
        <sz val="9"/>
        <color rgb="FF333333"/>
        <rFont val="Verdana"/>
        <family val="2"/>
      </rPr>
      <t xml:space="preserve"> - </t>
    </r>
    <r>
      <rPr>
        <sz val="9"/>
        <color rgb="FF333333"/>
        <rFont val="맑은 고딕"/>
        <family val="2"/>
        <charset val="129"/>
      </rPr>
      <t>봉인딜레이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상태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아이템</t>
    </r>
    <phoneticPr fontId="2" type="noConversion"/>
  </si>
  <si>
    <t>존재하지 않는 유저</t>
  </si>
  <si>
    <t>MAIL_NOT_EXISTS_CHARACTER</t>
  </si>
  <si>
    <t>우편을 받을 대상이 존재하지 않습니다.</t>
    <phoneticPr fontId="2" type="noConversion"/>
  </si>
  <si>
    <t>2022.1.11</t>
    <phoneticPr fontId="2" type="noConversion"/>
  </si>
  <si>
    <t>22.01.20</t>
  </si>
  <si>
    <t>22.02.08</t>
  </si>
  <si>
    <t>파티장만 변경이 가능하다</t>
  </si>
  <si>
    <t>GAME_OPTION_ENABLE_PARTY_LEADER</t>
  </si>
  <si>
    <t>// 파티장만 변경이 가능하다</t>
  </si>
  <si>
    <t>토벌/보스토벌 파티가 아니다</t>
  </si>
  <si>
    <t>GAME_OPTION_NOT_DUNGEON_PARTY</t>
  </si>
  <si>
    <t>// 토벌/보스토벌 파티가 아니다</t>
  </si>
  <si>
    <t>CASTING_OBJECT_PANALTY_DEBUFF</t>
    <phoneticPr fontId="2" type="noConversion"/>
  </si>
  <si>
    <t>오브젝트 캐스팅 시 디버프(스피드핵 패널티 버프 소지중 채집 시도시 에러 메시지)</t>
    <phoneticPr fontId="2" type="noConversion"/>
  </si>
  <si>
    <t>탈진 상태가 회복될 때까지 채집할 수 없습니다.</t>
    <phoneticPr fontId="2" type="noConversion"/>
  </si>
  <si>
    <t>치명적인 오류가 발생하여, 게임을 종료합니다.(Code:100031)</t>
    <phoneticPr fontId="2" type="noConversion"/>
  </si>
  <si>
    <t xml:space="preserve">AUTH_ERROR_UNCHEATER_FAILED </t>
    <phoneticPr fontId="2" type="noConversion"/>
  </si>
  <si>
    <t>2022.01.04_추가_김선묵_서버실_요청</t>
    <phoneticPr fontId="2" type="noConversion"/>
  </si>
  <si>
    <t>2022.01.20</t>
    <phoneticPr fontId="2" type="noConversion"/>
  </si>
  <si>
    <t>토벌파티를 이용할 수 없는 지역입니다.</t>
  </si>
  <si>
    <t>PARTY_WRONG_STAGE_TYPE</t>
  </si>
  <si>
    <t>전장 안에서는 이용할 수 없습니다.</t>
  </si>
  <si>
    <t>대상이 토벌 파티를 이용할 수 없는 지역에 있습니다.</t>
  </si>
  <si>
    <t>PARTY_INVITE_FAIL_TARGET_IS_BATTLE_FIELD</t>
  </si>
  <si>
    <t>2021.09.01</t>
  </si>
  <si>
    <t>2021.09.01</t>
    <phoneticPr fontId="2" type="noConversion"/>
  </si>
  <si>
    <t>2022.02.22</t>
  </si>
  <si>
    <t>2022.02.22</t>
    <phoneticPr fontId="2" type="noConversion"/>
  </si>
  <si>
    <t>이동할 수 없는 원정지역입니다.</t>
  </si>
  <si>
    <t>SERVER_EXPEDITION_CANNOT_CHANGE_WORLD</t>
  </si>
  <si>
    <t>레드마인:46302_2021.08.26_원정대_서버에러_김선묵</t>
  </si>
  <si>
    <t>데이터 테이블 문제로 원정대 진행이 불가합니다.</t>
  </si>
  <si>
    <t>SERVER_EXPEDITION_TABLE_ERROR</t>
  </si>
  <si>
    <t>원정대 이동 중입니다.</t>
  </si>
  <si>
    <t>SERVER_EXPEDITION_ALREADY_MOVE</t>
  </si>
  <si>
    <t>원정대에 신청에 필요한 아이템이 부족합니다.</t>
  </si>
  <si>
    <t>SERVER_EXPEDITION_SHORTAGE_ITEM</t>
  </si>
  <si>
    <t>2021.08.11</t>
  </si>
  <si>
    <t>인증 작업에 실패하였습니다. 재 접속 부탁드립니다.</t>
  </si>
  <si>
    <t>레드마인:없음_원정대이동시인증실패_210806_김선묵</t>
  </si>
  <si>
    <t>2021.10.07</t>
  </si>
  <si>
    <t>공격제외 문파 최대 등록 상태입니다.</t>
  </si>
  <si>
    <t>GUILD_EXCEPT_ATTACK_COUNT_MAX</t>
  </si>
  <si>
    <t>레드마인: 46623_공격제외문파등록_210913_김선묵</t>
  </si>
  <si>
    <t>이미 공격제외 문파에 등록된 상태입니다.</t>
  </si>
  <si>
    <t>GUILD_EXCEPT_ATTACK_ALREADY_ADD</t>
  </si>
  <si>
    <t>정기형 채굴권이 적용되어 있어 사용이 불가능 합니다.</t>
    <phoneticPr fontId="2" type="noConversion"/>
  </si>
  <si>
    <t>ITEM_USE_FAIL_ALREADY_APPLY_DARKSTEELGUARD_DAY</t>
    <phoneticPr fontId="2" type="noConversion"/>
  </si>
  <si>
    <t>정기 채굴권 버프를 적용중인 동안 채굴권 버프 아이템 사용 시도</t>
    <phoneticPr fontId="2" type="noConversion"/>
  </si>
  <si>
    <t>DRACO 제련소</t>
    <phoneticPr fontId="2" type="noConversion"/>
  </si>
  <si>
    <t>DRACO_NOT_ENOUGH_DARKSTEEL</t>
  </si>
  <si>
    <t>DRACO_INVALID_EXCHANGE_REQUEST</t>
  </si>
  <si>
    <t>DRACO_LIMIT_DAILY_EXCHANGE</t>
  </si>
  <si>
    <t>DRACO_LIMIT_MAXIMUM_EXCHANGE</t>
  </si>
  <si>
    <t>DRACO_REQUEST_TIMEOUT</t>
  </si>
  <si>
    <t>DRACO_ERROR_RESPONSE_FROM_WEMIX</t>
  </si>
  <si>
    <t>DRACO_NOT_REGISTERED_USER_ADDRESS</t>
  </si>
  <si>
    <t>DRACO_MISS_MATCH_REGISTERED_USER_ADDRESS</t>
  </si>
  <si>
    <t>DRACO_DAILY_SMELT_LIMIT</t>
  </si>
  <si>
    <t>DRACO_RECOVERMESSAGE_MISMATCH</t>
  </si>
  <si>
    <t>DRACO_DERBY_KEEPTIME</t>
  </si>
  <si>
    <t>DRACO_WAIT_TIME_NOT_YET</t>
  </si>
  <si>
    <t>등록되지 않은 어드레스 사용자입니다.</t>
  </si>
  <si>
    <t>등록한 어드레스와 맞지 않은 사용자입니다.</t>
  </si>
  <si>
    <t>대기 시간이 아닙니다.</t>
  </si>
  <si>
    <r>
      <t>허용되지 않은 요청이 </t>
    </r>
    <r>
      <rPr>
        <sz val="11"/>
        <color rgb="FF3399FF"/>
        <rFont val="Arial"/>
        <family val="2"/>
      </rPr>
      <t>전송되었습니다</t>
    </r>
    <r>
      <rPr>
        <sz val="11"/>
        <color rgb="FF333333"/>
        <rFont val="Arial"/>
        <family val="2"/>
      </rPr>
      <t>.</t>
    </r>
  </si>
  <si>
    <r>
      <t>하루에 교환할 수 있는 </t>
    </r>
    <r>
      <rPr>
        <sz val="11"/>
        <color rgb="FF3399FF"/>
        <rFont val="Arial"/>
        <family val="2"/>
      </rPr>
      <t>일일 허용량을</t>
    </r>
    <r>
      <rPr>
        <sz val="11"/>
        <color rgb="FF333333"/>
        <rFont val="Arial"/>
        <family val="2"/>
      </rPr>
      <t> </t>
    </r>
    <r>
      <rPr>
        <sz val="11"/>
        <color rgb="FF3399FF"/>
        <rFont val="Arial"/>
        <family val="2"/>
      </rPr>
      <t>초과하였습니다</t>
    </r>
    <r>
      <rPr>
        <sz val="11"/>
        <color rgb="FF333333"/>
        <rFont val="Arial"/>
        <family val="2"/>
      </rPr>
      <t>.</t>
    </r>
  </si>
  <si>
    <r>
      <t>하루에 교환할 수 있는 총 </t>
    </r>
    <r>
      <rPr>
        <sz val="11"/>
        <color rgb="FF3399FF"/>
        <rFont val="Arial"/>
        <family val="2"/>
      </rPr>
      <t>허용량을</t>
    </r>
    <r>
      <rPr>
        <sz val="11"/>
        <color rgb="FF333333"/>
        <rFont val="Arial"/>
        <family val="2"/>
      </rPr>
      <t> </t>
    </r>
    <r>
      <rPr>
        <sz val="11"/>
        <color rgb="FF3399FF"/>
        <rFont val="Arial"/>
        <family val="2"/>
      </rPr>
      <t>초과하였습니다</t>
    </r>
    <r>
      <rPr>
        <sz val="11"/>
        <color rgb="FF333333"/>
        <rFont val="Arial"/>
        <family val="2"/>
      </rPr>
      <t>.</t>
    </r>
  </si>
  <si>
    <r>
      <t>요청 시간이 </t>
    </r>
    <r>
      <rPr>
        <sz val="11"/>
        <color rgb="FF3399FF"/>
        <rFont val="Arial"/>
        <family val="2"/>
      </rPr>
      <t>초과하였습니다</t>
    </r>
    <r>
      <rPr>
        <sz val="11"/>
        <color rgb="FF333333"/>
        <rFont val="Arial"/>
        <family val="2"/>
      </rPr>
      <t>.</t>
    </r>
  </si>
  <si>
    <r>
      <t>WEMIX에서</t>
    </r>
    <r>
      <rPr>
        <sz val="11"/>
        <color rgb="FF333333"/>
        <rFont val="Arial"/>
        <family val="2"/>
      </rPr>
      <t> 에러가 </t>
    </r>
    <r>
      <rPr>
        <sz val="11"/>
        <color rgb="FF3399FF"/>
        <rFont val="Arial"/>
        <family val="2"/>
      </rPr>
      <t>전송되었습니다</t>
    </r>
    <r>
      <rPr>
        <sz val="11"/>
        <color rgb="FF333333"/>
        <rFont val="Arial"/>
        <family val="2"/>
      </rPr>
      <t>.</t>
    </r>
  </si>
  <si>
    <r>
      <t>하루에 제련할 수 있는 수량을 </t>
    </r>
    <r>
      <rPr>
        <sz val="11"/>
        <color rgb="FF3399FF"/>
        <rFont val="Arial"/>
        <family val="2"/>
      </rPr>
      <t>초과하였습니다</t>
    </r>
    <r>
      <rPr>
        <sz val="11"/>
        <color rgb="FF333333"/>
        <rFont val="Arial"/>
        <family val="2"/>
      </rPr>
      <t>.</t>
    </r>
  </si>
  <si>
    <r>
      <rPr>
        <sz val="11"/>
        <color rgb="FF333333"/>
        <rFont val="맑은 고딕"/>
        <family val="3"/>
        <charset val="129"/>
      </rPr>
      <t>제련을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맑은 고딕"/>
        <family val="3"/>
        <charset val="129"/>
      </rPr>
      <t>위한</t>
    </r>
    <r>
      <rPr>
        <sz val="11"/>
        <color rgb="FF333333"/>
        <rFont val="Arial"/>
        <family val="2"/>
      </rPr>
      <t> </t>
    </r>
    <r>
      <rPr>
        <sz val="11"/>
        <color rgb="FFFF0029"/>
        <rFont val="맑은 고딕"/>
        <family val="3"/>
        <charset val="129"/>
      </rPr>
      <t>흑철이</t>
    </r>
    <r>
      <rPr>
        <sz val="11"/>
        <color rgb="FF333333"/>
        <rFont val="Arial"/>
        <family val="2"/>
      </rPr>
      <t> </t>
    </r>
    <r>
      <rPr>
        <sz val="11"/>
        <color rgb="FF3399FF"/>
        <rFont val="맑은 고딕"/>
        <family val="3"/>
        <charset val="129"/>
      </rPr>
      <t>부족합니다</t>
    </r>
    <r>
      <rPr>
        <sz val="11"/>
        <color rgb="FF333333"/>
        <rFont val="Arial"/>
        <family val="2"/>
      </rPr>
      <t>.</t>
    </r>
    <phoneticPr fontId="2" type="noConversion"/>
  </si>
  <si>
    <r>
      <t xml:space="preserve">DERBY </t>
    </r>
    <r>
      <rPr>
        <sz val="11"/>
        <color rgb="FF333333"/>
        <rFont val="맑은 고딕"/>
        <family val="3"/>
        <charset val="129"/>
      </rPr>
      <t>정산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맑은 고딕"/>
        <family val="3"/>
        <charset val="129"/>
      </rPr>
      <t>시간입니다</t>
    </r>
    <r>
      <rPr>
        <sz val="11"/>
        <color rgb="FF333333"/>
        <rFont val="Arial"/>
        <family val="2"/>
      </rPr>
      <t>.</t>
    </r>
    <phoneticPr fontId="2" type="noConversion"/>
  </si>
  <si>
    <t>HYDRA 제련소</t>
    <phoneticPr fontId="2" type="noConversion"/>
  </si>
  <si>
    <t>HYDRA_NOT_ENOUGH_DRACO</t>
  </si>
  <si>
    <t xml:space="preserve"> HYDRA_INVALID_EXCHANGE_REQUEST</t>
  </si>
  <si>
    <r>
      <rPr>
        <sz val="11"/>
        <color rgb="FF333333"/>
        <rFont val="Arial Unicode MS"/>
        <family val="2"/>
        <charset val="129"/>
      </rPr>
      <t xml:space="preserve">정제를 위한 </t>
    </r>
    <r>
      <rPr>
        <sz val="11"/>
        <color rgb="FF333333"/>
        <rFont val="Arial"/>
        <family val="2"/>
      </rPr>
      <t>DRACO</t>
    </r>
    <r>
      <rPr>
        <sz val="11"/>
        <color rgb="FF333333"/>
        <rFont val="Arial Unicode MS"/>
        <family val="2"/>
        <charset val="129"/>
      </rPr>
      <t>가 부족합니다.</t>
    </r>
    <phoneticPr fontId="2" type="noConversion"/>
  </si>
  <si>
    <t>HYDRA_NOT_ENOUGH_SEPTARIA</t>
    <phoneticPr fontId="2" type="noConversion"/>
  </si>
  <si>
    <t>정제를 위한 Septaria가 부족합니다.</t>
    <phoneticPr fontId="2" type="noConversion"/>
  </si>
  <si>
    <t>요청하신 정보와 서명이 일치하지 않습니다.</t>
    <phoneticPr fontId="2" type="noConversion"/>
  </si>
  <si>
    <t>잘못된 토큰입니다. (Code: 100032)</t>
    <phoneticPr fontId="2" type="noConversion"/>
  </si>
  <si>
    <t>CAPTCHA 인증에 실패하였습니다. (Code: 100033)</t>
    <phoneticPr fontId="2" type="noConversion"/>
  </si>
  <si>
    <t>CAPTCHA 인증에 실패하였습니다. (Code: 100034)</t>
    <phoneticPr fontId="2" type="noConversion"/>
  </si>
  <si>
    <t>AUTH_ERROR_CAPTCHA_WRONG_PARAM</t>
    <phoneticPr fontId="2" type="noConversion"/>
  </si>
  <si>
    <t>AUTH_ERROR_CAPTCHA_AUTH_FAIL</t>
    <phoneticPr fontId="2" type="noConversion"/>
  </si>
  <si>
    <t>AUTH_ERROR_CAPTCHA_UNKNOWN_ERROR</t>
    <phoneticPr fontId="2" type="noConversion"/>
  </si>
  <si>
    <t>잘못된 파라미터 (TokenId)</t>
    <phoneticPr fontId="2" type="noConversion"/>
  </si>
  <si>
    <t>캡챠 인증 실패</t>
    <phoneticPr fontId="2" type="noConversion"/>
  </si>
  <si>
    <t>알수없는 웹 에러</t>
    <phoneticPr fontId="2" type="noConversion"/>
  </si>
  <si>
    <t>2022.01.25</t>
    <phoneticPr fontId="2" type="noConversion"/>
  </si>
  <si>
    <t>흑철 상점 구매 레벨 제한 (40레벨)</t>
    <phoneticPr fontId="2" type="noConversion"/>
  </si>
  <si>
    <t>SHOP_DARK_STEEL_BUY_LEVEL_LIMIT</t>
    <phoneticPr fontId="2" type="noConversion"/>
  </si>
  <si>
    <t>흑철상점NPC를 통해 흑철 구매 시, 캐릭터 레벨 제한 조건 추가</t>
    <phoneticPr fontId="2" type="noConversion"/>
  </si>
  <si>
    <t>미라지</t>
    <phoneticPr fontId="2" type="noConversion"/>
  </si>
  <si>
    <t>CHARACTER_NFT_UNSEAL_FAIL_EXISTS_MIRAGE</t>
  </si>
  <si>
    <t>NFT 캐릭터가 미라지에 스테이킹 중입니다.</t>
    <phoneticPr fontId="2" type="noConversion"/>
  </si>
  <si>
    <t>검증중이지 않다</t>
    <phoneticPr fontId="2" type="noConversion"/>
  </si>
  <si>
    <t>이미 만료처리중</t>
    <phoneticPr fontId="2" type="noConversion"/>
  </si>
  <si>
    <t>만료처리 상태가 아니다</t>
    <phoneticPr fontId="2" type="noConversion"/>
  </si>
  <si>
    <t>플랫폼 오류 - 만료처리 실패</t>
    <phoneticPr fontId="2" type="noConversion"/>
  </si>
  <si>
    <t>플랫폼 오류 - 만료처리중 알수없는 오류</t>
    <phoneticPr fontId="2" type="noConversion"/>
  </si>
  <si>
    <t>플랫폼 오류 - 재인증처리 실패</t>
    <phoneticPr fontId="2" type="noConversion"/>
  </si>
  <si>
    <t>플랫폼 오류 - 재인증처리중 알수없는 오류</t>
    <phoneticPr fontId="2" type="noConversion"/>
  </si>
  <si>
    <t>CAPTCHA_DO_NOT_VERIFING</t>
    <phoneticPr fontId="2" type="noConversion"/>
  </si>
  <si>
    <t>CAPTCHA_ALREADY_DOING_REVOKE</t>
    <phoneticPr fontId="2" type="noConversion"/>
  </si>
  <si>
    <t>CAPTCHA_IS_NOT_REVOKE_STATE</t>
    <phoneticPr fontId="2" type="noConversion"/>
  </si>
  <si>
    <t>CAPTCHA_REVOKE_PLATFORM_FAILURE</t>
    <phoneticPr fontId="2" type="noConversion"/>
  </si>
  <si>
    <t>CAPTCHA_REVOKE_PLATFORM_UNKNOWN_ERROR</t>
    <phoneticPr fontId="2" type="noConversion"/>
  </si>
  <si>
    <t>CAPTCHA_REAUTH_PLATFORM_FAILURE</t>
    <phoneticPr fontId="2" type="noConversion"/>
  </si>
  <si>
    <t>CAPTCHA_REAUTH_PLATFORM_UNKNOWN_ERROR</t>
    <phoneticPr fontId="2" type="noConversion"/>
  </si>
  <si>
    <t>아직 재인증 가능시간이 아니다</t>
    <phoneticPr fontId="2" type="noConversion"/>
  </si>
  <si>
    <t>자격의 증명 인증 가능한 시간이 아닙니다.</t>
    <phoneticPr fontId="2" type="noConversion"/>
  </si>
  <si>
    <t>CAPTCHA_NOT_YET_REAUTH_TIME</t>
    <phoneticPr fontId="2" type="noConversion"/>
  </si>
  <si>
    <t>현재 자격의 증명 인증이 불가능합니다. 잠시 후 다시 시도해주세요. (Code: 91000)</t>
  </si>
  <si>
    <t>자격의 증명 인증이 이미 만료되었습니다. (Code: 91001)</t>
  </si>
  <si>
    <t>자격의 증명 인증 만료 상태가 아닙니다. (Code: 91002)</t>
  </si>
  <si>
    <t>자격의 증명 인증 만료처리에 실패하였습니다. (Code: 91003)</t>
  </si>
  <si>
    <t>자격의 증명 인증 만료처리 중 오류가 발생하였습니다. (Code: 91004)</t>
  </si>
  <si>
    <t>자격의 증명 재인증 처리에 실패하였습니다. (Code: 91005)</t>
  </si>
  <si>
    <t>자격의 증명 재인증 처리 중 오류가 발생하였습니다. (Code: 91006)</t>
  </si>
  <si>
    <t>지급 가능한 금액이 한계를 넘었습니다.</t>
    <phoneticPr fontId="2" type="noConversion"/>
  </si>
  <si>
    <t>GUILD_COST_GIVE_LIMIT</t>
    <phoneticPr fontId="2" type="noConversion"/>
  </si>
  <si>
    <t>// 지급 가능한 금액이 한계를 넘었습니다.</t>
    <phoneticPr fontId="2" type="noConversion"/>
  </si>
  <si>
    <t>COMMON_NOTIFY_FORCE_WARP_MESSAGE</t>
  </si>
  <si>
    <t>비곡 임시 제재</t>
    <phoneticPr fontId="2" type="noConversion"/>
  </si>
  <si>
    <t>비곡 입장 제재 중으로 비곡에 입장할 수 없습니다.</t>
  </si>
  <si>
    <t>22.03.03</t>
  </si>
  <si>
    <t>22.03.22</t>
  </si>
  <si>
    <t>유효하지 않은 랭크입니다.</t>
  </si>
  <si>
    <t>RANKING_INVALID_RANK</t>
  </si>
  <si>
    <t>유효하지 않은 랭크 이다</t>
  </si>
  <si>
    <t>랭킹 정보를 찾을 수 없습니다.</t>
  </si>
  <si>
    <t>RANKING_NOT_FOUND_RANKING_DATA</t>
  </si>
  <si>
    <t>랭킹정보를 찾을 수 없다</t>
  </si>
  <si>
    <t>오늘의 랭킹 보상을 이미 획득하여 더 이상 획득할 수 없습니다.</t>
  </si>
  <si>
    <t>RANKING_ALREADY_GET_REWARD</t>
  </si>
  <si>
    <t>보상을 이미 수령 했다</t>
  </si>
  <si>
    <t>RANKING_NOT_FOUND_TABLE_DATA</t>
  </si>
  <si>
    <t>테이블 데이터를 찾지 못함</t>
  </si>
  <si>
    <t>가방의 빈 공간이 부족하여 보상을 획득할 수 없습니다.</t>
  </si>
  <si>
    <t>RANKING_NOT_ENOUGH_INVEN_COUNT</t>
  </si>
  <si>
    <t>인밴 공간이 부족함</t>
  </si>
  <si>
    <t>재화 보유량이 최대치를 넘어, 보상을 획득할 수 없습니다.</t>
  </si>
  <si>
    <t>RANKING_MAX_CALCULATE_COST</t>
  </si>
  <si>
    <t>재화 최대값에 도달함</t>
  </si>
  <si>
    <t>&lt;span color="#98CCFE"&gt;{1}&lt;/&gt;님의 자격의 증명 인증 시간이 30분 이하로 초대가 거절되었습니다.</t>
    <phoneticPr fontId="2" type="noConversion"/>
  </si>
  <si>
    <t>PARTY_TARGET_IS_CAPTCHA_APPROACH_REAUTH_TIME</t>
    <phoneticPr fontId="2" type="noConversion"/>
  </si>
  <si>
    <t>타겟이 캡차재인증시간에 가까워져있음</t>
    <phoneticPr fontId="2" type="noConversion"/>
  </si>
  <si>
    <t>ADS_ERROR_REWARD_GAIN_FAIL_STATE</t>
    <phoneticPr fontId="2" type="noConversion"/>
  </si>
  <si>
    <t>유저가 보상을 받을수 있는 상태가 아니다.</t>
    <phoneticPr fontId="2" type="noConversion"/>
  </si>
  <si>
    <t>현재 마패를 획득할 수 있는 상태가 아닙니다. (Code : 90010)</t>
    <phoneticPr fontId="2" type="noConversion"/>
  </si>
  <si>
    <t>2022.02.03</t>
  </si>
  <si>
    <t>2022.04.05</t>
  </si>
  <si>
    <t>원정대 참여 캐릭터는 생명력이 없는 상태에서 특정 지역으로 이동이 불가합니다.</t>
  </si>
  <si>
    <t>레드마인: 50608_원정대_차원의문이용_김선묵_220113_추가</t>
  </si>
  <si>
    <t>2022.03.31</t>
  </si>
  <si>
    <t>원정대 참여 상태에서는 임무, 의뢰, 기연을 받을 수 없습니다.</t>
  </si>
  <si>
    <t>SERVER_EXPEDITION_CANNOT_ACCEPT_QUEST</t>
  </si>
  <si>
    <t>레드마인:50913_원정대_0316_김선묵</t>
  </si>
  <si>
    <t>2022.03.31</t>
    <phoneticPr fontId="2" type="noConversion"/>
  </si>
  <si>
    <t>2022.04.19</t>
    <phoneticPr fontId="2" type="noConversion"/>
  </si>
  <si>
    <t>국가 우편은 삭제할 수 없습니다.</t>
  </si>
  <si>
    <t>MAIL_SYSTEM_KING_ERROR</t>
  </si>
  <si>
    <t>메일 전체 삭제 시 국가 우편이 존재할 경우의 메시지</t>
  </si>
  <si>
    <t>잘못된 퀵슬롯 번호</t>
  </si>
  <si>
    <t>퀵슬롯 등록에 실패하였습니다. 잠시후 다시 시도하여 주세요.</t>
    <phoneticPr fontId="2" type="noConversion"/>
  </si>
  <si>
    <t>USER_WRONG_QUICK_SLOT_INDEX</t>
    <phoneticPr fontId="2" type="noConversion"/>
  </si>
  <si>
    <t>어둠의 제단 필드가 아니다.</t>
    <phoneticPr fontId="2" type="noConversion"/>
  </si>
  <si>
    <t>DARK_ALTAR_ERROR_NOT_DARK_ALTAR_BATTLE_FIELD</t>
  </si>
  <si>
    <t>어둠의 제단</t>
    <phoneticPr fontId="2" type="noConversion"/>
  </si>
  <si>
    <t>어둠의 제단 점령 정보가 없다.</t>
    <phoneticPr fontId="2" type="noConversion"/>
  </si>
  <si>
    <t>DARK_ALTAR_ERROR_NOT_EXIST_DARK_ALTAR_INFO</t>
  </si>
  <si>
    <t>2022.04.28</t>
  </si>
  <si>
    <t>2022.04.19</t>
  </si>
  <si>
    <t>토벌 시작 중에는 탈퇴할 수 없습니다.</t>
  </si>
  <si>
    <t>PARTY_LEAVE_FAIL_DUNGEON_START</t>
  </si>
  <si>
    <t>구매제한 - 일일. 주간. 월간 횟수 초과</t>
    <phoneticPr fontId="2" type="noConversion"/>
  </si>
  <si>
    <t>GACHA_PULL_FAIL_OVER_COUNT_LIMIT</t>
    <phoneticPr fontId="2" type="noConversion"/>
  </si>
  <si>
    <t>최근에 비무를 진행하여 비무를 신청할 수 없습니다.</t>
  </si>
  <si>
    <t>DUEL_CANNOT_REQUEST_DUEL_RECENTLY_USER</t>
  </si>
  <si>
    <t>// 최근에 비무를 진행하여 비무를 신청할 수 없다. (내가)</t>
  </si>
  <si>
    <t>상대가 최근에 비무를 진행하여 비무를 할 수 없는 상태입니다.</t>
  </si>
  <si>
    <t>DUEL_CANNOT_REQUEST_DUEL_RECENTLY_TARGET</t>
  </si>
  <si>
    <t>// 상대가 최근에 비무를 진행하여 비무를 할 수 없는 상태이다. (상대방이)</t>
  </si>
  <si>
    <t>입장 가능한 시간이 아닙니다.</t>
    <phoneticPr fontId="2" type="noConversion"/>
  </si>
  <si>
    <t>// 약탈전 입장 가능 상태가 아니다, Prepare, Battle 상태에서만 입장 가능
주의! 국내는 26000035로 들어가 있음.</t>
    <phoneticPr fontId="2" type="noConversion"/>
  </si>
  <si>
    <t>2022.05.26</t>
  </si>
  <si>
    <t>2022.07.12</t>
  </si>
  <si>
    <t>본진 서버와 통신 문제로 이용을 할 수 없습니다.</t>
  </si>
  <si>
    <t>SERVER_EXPEDITION_NOT_CONNECT_HOME_SERVER</t>
  </si>
  <si>
    <t>레드마인: 54406_정복서버_서버에러메시지_김선묵 / 홈 서버 다운 시 문파 지원, 기술, 기부 이용 불가</t>
  </si>
  <si>
    <t>2022.05.12</t>
  </si>
  <si>
    <t>본진 서버에서만 이동할 수 있습니다.</t>
  </si>
  <si>
    <t>CONQUER_SERVER_CANNOT_START_ANOTHER_SERVER</t>
  </si>
  <si>
    <t>레드마인: 54406_정복서버_서버에러메시지_김선묵</t>
  </si>
  <si>
    <t>정복 서버 이동 중입니다.</t>
  </si>
  <si>
    <t>CONQUER_SERVER_ALREADY_MOVE</t>
  </si>
  <si>
    <t>캐릭터가 다른 행동 중이어서 정복 서버 신청을 할 수 없습니다.</t>
  </si>
  <si>
    <t>CONQUER_SERVER_CHARCTER_CASTING</t>
  </si>
  <si>
    <t>원정대 이용 상태에서는 정복 서버에 입장 할 수 없습니다.</t>
  </si>
  <si>
    <t>CONQUER_SERVER_EXPEDITION_ALREADY_MOVE</t>
  </si>
  <si>
    <t>데이터 테이블 문제로 정복 서버 진행이 불가합니다.</t>
  </si>
  <si>
    <t>CONQUER_SERVER_TABLE_ERROR</t>
  </si>
  <si>
    <t>유효하지 않은 데이터여서 정복 서버 이동이 불가합니다.</t>
  </si>
  <si>
    <t>CONQUER_SERVER_DATA_NULLPTR</t>
  </si>
  <si>
    <t>CONQUER_SERVER_TABLE_VALUE_ERROR</t>
  </si>
  <si>
    <t>정복 서버 이용 시간이 아닙니다.</t>
  </si>
  <si>
    <t>CONQUER_SERVER_NOT_EXIST_ROUND_IN_PROGRESS</t>
  </si>
  <si>
    <t>정복 서버 이용 시간이 10분 이하여서 입장을 할 수 없습니다.</t>
  </si>
  <si>
    <t>CONQUER_SERVER_SHORTAGE_REMAINING_TIME</t>
  </si>
  <si>
    <t>정복 서버 입장 횟수가 부족하여 입장 할 수 없습니다.</t>
  </si>
  <si>
    <t>CONQUER_SERVER_SHORTAGE_ROUND_USE_COUNT</t>
  </si>
  <si>
    <t>인증 키가 없어 입장을 할 수 없습니다.</t>
  </si>
  <si>
    <t>CONQUER_SERVER_NOT_EXIST_AUTH_KEY</t>
  </si>
  <si>
    <t>현재는 정복 서버에 입장할 수 없습니다.</t>
  </si>
  <si>
    <t>CONQUER_SERVER_NOT_EXIST_WORLD</t>
  </si>
  <si>
    <t>정복 서버 참여 인원 수가 최대여서 입장 할 수 없습니다.</t>
  </si>
  <si>
    <t>CONQUER_SERVER_USER_IS_FULL</t>
  </si>
  <si>
    <t>CONQUER_SERVER_ADD_USE_COUNT</t>
  </si>
  <si>
    <t>데이터 갱신 문제로 정복 서버에 입장 할 수 없습니다.</t>
  </si>
  <si>
    <t>CONQUER_SERVER_DB_UPDATE_FAILURE</t>
  </si>
  <si>
    <t>정복 서버에서는 이동 할 수 없는 지역입니다.</t>
  </si>
  <si>
    <t>CONQUER_SERVER_CANNOT_WARP_STAGE</t>
  </si>
  <si>
    <t>정복 서버에서는 이동 할 수 없는 서버입니다.</t>
  </si>
  <si>
    <t>CONQUER_SERVER_CANNOT_CHANGE_WORLD</t>
  </si>
  <si>
    <t>정복 서버에서는 이용 할 수 없는 지역입니다.</t>
  </si>
  <si>
    <t>CONQUER_SERVER_STAGE_IS_WRONG</t>
  </si>
  <si>
    <t>정복 서버 이용 레벨이 부족합니다.</t>
  </si>
  <si>
    <t>CONQUER_SERVER_SHORTAGE_LEVEL</t>
  </si>
  <si>
    <t>파티 참여 상태입니다.</t>
  </si>
  <si>
    <t>CONQUER_SERVER_IN_PARTY</t>
  </si>
  <si>
    <t>정복 서버에서 PK 사망으로 더 이상 드롭을 할 수 없습니다.</t>
  </si>
  <si>
    <t>CONQUER_SERVER_DIE_USER_DROP_EMPTY</t>
  </si>
  <si>
    <t>정복 서버에서 PK 승리로 더 이상 획득 할 수 없습니다.</t>
  </si>
  <si>
    <t>CONQUER_SERVER_GAIN_COUNT_FULL</t>
  </si>
  <si>
    <t>가방 저장 공간이 부족하여 더 이상 획득할 수 없습니다.</t>
  </si>
  <si>
    <t>CONQUER_SERVER_REWARD_GAIN_FAIL_INVEN_FULL</t>
  </si>
  <si>
    <t>생명력이 없기 때문에 지역 이동을 할 수 없습니다.</t>
  </si>
  <si>
    <t>CONQUER_SERVER_NO_HEART_CANNOT_WARP_STAGE</t>
  </si>
  <si>
    <t>레드마인: 54406_정복서버_서버에러메시지_김선묵 / 캐릭터 생명력 0 지역 이동 불가</t>
  </si>
  <si>
    <t>서버 위치가 달라서 파티를 맺을 수 없습니다.</t>
  </si>
  <si>
    <t>CONQUER_SERVER_NOT_SAME_WORLD_NOT_PARTY_JOIN</t>
  </si>
  <si>
    <t>레드마인: 54406_정복서버_서버에러메시지_김선묵 / 홈 서버 캐릭터와 파티를 맺을 수 없음</t>
  </si>
  <si>
    <t>정복 서버에서 생성한 파티만 가입할 수 있습니다.</t>
  </si>
  <si>
    <t>CONQUER_SERVER_NOT_CONQUER_SERVER_PARTY</t>
  </si>
  <si>
    <t>레드마인: 54406_정복서버_서버에러메시지_김선묵 / 정복 서버에서만 파티 맺기 기능</t>
  </si>
  <si>
    <t>정복 서버 참여 중인 캐릭터는 추방을 할 수 없습니다.</t>
  </si>
  <si>
    <t>CONQUER_SERVER_NOT_KICK_OFF_GUILD_MEMBER</t>
  </si>
  <si>
    <t>레드마인: 54406_정복서버_서버에러메시지_김선묵 / 정복 서버에서 문파 탈퇴 불가</t>
  </si>
  <si>
    <t>정복 서버 참여 중인 캐릭터가 존재하여 문파 해제를 할 수 없습니다.</t>
  </si>
  <si>
    <t>CONQUER_SERVER_NOT_GUILD_DISBAND</t>
  </si>
  <si>
    <t>레드마인: 54406_정복서버_서버에러메시지_김선묵 / 문파원이 정복 서버 참여 중이서 문파 해체 불가</t>
  </si>
  <si>
    <t>정복 서버 참여 중에는 척살 등록을 할 수 없습니다.</t>
  </si>
  <si>
    <t>CONQUER_SERVER_NOT_ENROLL_GUILD_WANTED</t>
  </si>
  <si>
    <t>레드마인: 54406_정복서버_서버에러메시지_김선묵 / 정복 서버 척살 등록 불가</t>
  </si>
  <si>
    <t>정복 서버 참여중인 캐릭터에게 친구 요청을 할 수 없습니다.</t>
  </si>
  <si>
    <t>CONQUER_SERVER_FRIEND_NOT_REQUEST</t>
  </si>
  <si>
    <t>레드마인: 54406_정복서버_서버에러메시지_김선묵 / 정복 서버에서 친구 요청 불가</t>
  </si>
  <si>
    <t>정복 서버 참여중인 캐릭터에게 친구 수락을 할 수 없습니다.</t>
  </si>
  <si>
    <t>CONQUER_SERVER_FRIEND_NOT_ACCEPT</t>
  </si>
  <si>
    <t>레드마인: 54406_정복서버_서버에러메시지_김선묵 / 정복 서버에서 친구 수락 불가</t>
  </si>
  <si>
    <t>정복 서버 참여중에는 문파 탈퇴를 할 수 없습니다.</t>
  </si>
  <si>
    <t>CONQUER_SERVER_GUILD_MEMBER_NOT_LEAVE</t>
  </si>
  <si>
    <t>레드마인: 54406_정복서버_서버에러메시지_김선묵 / 정복 서버 참여 중 문파 탈퇴 불가</t>
  </si>
  <si>
    <t>CONQUER_SERVER_NOT_CONNECT_HOME_SERVER</t>
  </si>
  <si>
    <t>판매 기간이 종료되어 구입할 수 없습니다.</t>
  </si>
  <si>
    <t>SHOP_NOT_BUY_PERIOD_END</t>
  </si>
  <si>
    <t>레드마인: 55787_2022_05_27_김선묵_공격제외문파_등록_해제_재사용 시간 (단위: 초)</t>
  </si>
  <si>
    <t>지금은 이용을 할 수 없습니다. 잠시 후에 이용해 주세요.</t>
  </si>
  <si>
    <t>COMMON_TRY_AGAIN_IN_A_FEW_MINUTES</t>
  </si>
  <si>
    <t>2022.06.09</t>
  </si>
  <si>
    <t>2022.05.27</t>
  </si>
  <si>
    <t>초상화 이벤트가 종료되어 교환할 수 없습니다.</t>
  </si>
  <si>
    <t>PAINTING_GUILD_TRADE_EXPIRE_EVENT</t>
  </si>
  <si>
    <t>초상화이벤트_문파교환소_이혜진</t>
  </si>
  <si>
    <t>이미 거래된 교환입니다.</t>
  </si>
  <si>
    <t>PAINTING_GUILD_TRADE_ALREADY_EXCHANGE</t>
  </si>
  <si>
    <t>유효하지 않은 교환 내역입니다.</t>
  </si>
  <si>
    <t>PAINTING_GUILD_TRADE_INVALID_EXCHANGE</t>
  </si>
  <si>
    <t>초상화 거래 등록 개수 제한을 초과했습니다.</t>
  </si>
  <si>
    <t>PAINTING_GUILD_TRADE_LIMIT_COUNT</t>
  </si>
  <si>
    <t>COMMON_NOTIFY_FORCE_WARP_PKGRADE_MESSAGE</t>
    <phoneticPr fontId="2" type="noConversion"/>
  </si>
  <si>
    <t>비곡 입장 제한</t>
    <phoneticPr fontId="2" type="noConversion"/>
  </si>
  <si>
    <r>
      <rPr>
        <sz val="9"/>
        <color theme="1"/>
        <rFont val="맑은 고딕"/>
        <family val="3"/>
        <charset val="129"/>
      </rPr>
      <t>성향이</t>
    </r>
    <r>
      <rPr>
        <sz val="9"/>
        <color theme="1"/>
        <rFont val="Arial"/>
        <family val="3"/>
      </rPr>
      <t xml:space="preserve"> {1} </t>
    </r>
    <r>
      <rPr>
        <sz val="9"/>
        <color theme="1"/>
        <rFont val="맑은 고딕"/>
        <family val="3"/>
        <charset val="129"/>
      </rPr>
      <t>이상이면</t>
    </r>
    <r>
      <rPr>
        <sz val="9"/>
        <color theme="1"/>
        <rFont val="Arial"/>
        <family val="3"/>
      </rPr>
      <t xml:space="preserve"> {2}</t>
    </r>
    <r>
      <rPr>
        <sz val="9"/>
        <color theme="1"/>
        <rFont val="맑은 고딕"/>
        <family val="3"/>
        <charset val="129"/>
      </rPr>
      <t>에</t>
    </r>
    <r>
      <rPr>
        <sz val="9"/>
        <color theme="1"/>
        <rFont val="Arial"/>
        <family val="3"/>
      </rPr>
      <t xml:space="preserve"> </t>
    </r>
    <r>
      <rPr>
        <sz val="9"/>
        <color theme="1"/>
        <rFont val="맑은 고딕"/>
        <family val="3"/>
        <charset val="129"/>
      </rPr>
      <t>입장할</t>
    </r>
    <r>
      <rPr>
        <sz val="9"/>
        <color theme="1"/>
        <rFont val="Arial"/>
        <family val="3"/>
      </rPr>
      <t xml:space="preserve"> </t>
    </r>
    <r>
      <rPr>
        <sz val="9"/>
        <color theme="1"/>
        <rFont val="맑은 고딕"/>
        <family val="3"/>
        <charset val="129"/>
      </rPr>
      <t>수</t>
    </r>
    <r>
      <rPr>
        <sz val="9"/>
        <color theme="1"/>
        <rFont val="Arial"/>
        <family val="3"/>
      </rPr>
      <t xml:space="preserve"> </t>
    </r>
    <r>
      <rPr>
        <sz val="9"/>
        <color theme="1"/>
        <rFont val="맑은 고딕"/>
        <family val="3"/>
        <charset val="129"/>
      </rPr>
      <t>없습니다</t>
    </r>
    <r>
      <rPr>
        <sz val="9"/>
        <color theme="1"/>
        <rFont val="Arial"/>
        <family val="3"/>
      </rPr>
      <t>. {3}</t>
    </r>
    <r>
      <rPr>
        <sz val="9"/>
        <color theme="1"/>
        <rFont val="맑은 고딕"/>
        <family val="3"/>
        <charset val="129"/>
      </rPr>
      <t>으로</t>
    </r>
    <r>
      <rPr>
        <sz val="9"/>
        <color theme="1"/>
        <rFont val="Arial"/>
        <family val="3"/>
      </rPr>
      <t xml:space="preserve"> </t>
    </r>
    <r>
      <rPr>
        <sz val="9"/>
        <color theme="1"/>
        <rFont val="맑은 고딕"/>
        <family val="3"/>
        <charset val="129"/>
      </rPr>
      <t>이동됩니다</t>
    </r>
    <r>
      <rPr>
        <sz val="9"/>
        <color theme="1"/>
        <rFont val="Arial"/>
        <family val="3"/>
      </rPr>
      <t>.</t>
    </r>
    <phoneticPr fontId="2" type="noConversion"/>
  </si>
  <si>
    <t>캐릭터 가방이 가득차서 더 이상 아이템을 획득할 수 없습니다.</t>
  </si>
  <si>
    <t>PAINTING_GUILD_TRADE_FULL_INVEN</t>
  </si>
  <si>
    <t>감탄하기 대기 시간입니다.</t>
  </si>
  <si>
    <t>PROUD_ITEM_WONDER_DELAY_TIME</t>
  </si>
  <si>
    <t>자랑하기 감탄 딜레이 시간</t>
  </si>
  <si>
    <t>유효하지 않은 자랑하기 아이템입니다.</t>
  </si>
  <si>
    <t>PROUD_ITEM_WRONG_ITEM_UID</t>
  </si>
  <si>
    <t>유효하지 않은 자랑하기 아이템 uid</t>
  </si>
  <si>
    <t>해당 지역에서 자랑할 수 있는 아이템 개수를 초과하였습니다.</t>
  </si>
  <si>
    <t>PROUD_ITEM_MAX_COUNT_IN_ZONE</t>
  </si>
  <si>
    <t>존내에 설치할수 있는 최대수를 넘어섬</t>
  </si>
  <si>
    <t>이미 자랑하기가 진행 중인 위치입니다.</t>
  </si>
  <si>
    <t>PROUD_ITEM_TOO_CLOSE_DISTANCE</t>
  </si>
  <si>
    <t>다른 자랑하기 오브젝트와 가깝다.</t>
  </si>
  <si>
    <t>자랑할 수 있는 개수를 초과하였습니다.</t>
  </si>
  <si>
    <t>PROUD_ITEM_MAX_COUNT_BY_CHAR</t>
  </si>
  <si>
    <t>캐릭터가 설치할수 있는 최대수를 넘어섬</t>
  </si>
  <si>
    <t>자랑할 수 없는 아이템입니다.</t>
  </si>
  <si>
    <t>PROUD_ITEM_CAN_NOT_ITEM</t>
  </si>
  <si>
    <t>자랑하기할 수 없는 아이템</t>
  </si>
  <si>
    <t>자랑할 수 있는 오브젝트가 존재하지 않습니다.</t>
  </si>
  <si>
    <t>PROUD_ITEM_WRONG_OBJECT_UID</t>
  </si>
  <si>
    <t>유효하지 않은 자랑하기 오브젝트 uid</t>
  </si>
  <si>
    <t>2022.07.12</t>
    <phoneticPr fontId="2" type="noConversion"/>
  </si>
  <si>
    <t>지금은 이용을 할 수 없습니다. 잠시 후에 이용해 주세요.</t>
    <phoneticPr fontId="2" type="noConversion"/>
  </si>
  <si>
    <t xml:space="preserve">GUILD_ALLIANCE_DELAY_TIME	</t>
    <phoneticPr fontId="2" type="noConversion"/>
  </si>
  <si>
    <t xml:space="preserve">//문파동맹기능-신청, 해제, 수락, 거절 4가지 버튼의 쿨타임 </t>
    <phoneticPr fontId="2" type="noConversion"/>
  </si>
  <si>
    <t>2022.07.26</t>
    <phoneticPr fontId="2" type="noConversion"/>
  </si>
  <si>
    <t>2022.08.04</t>
    <phoneticPr fontId="2" type="noConversion"/>
  </si>
  <si>
    <t>// 운철 주화가 최대치이다</t>
    <phoneticPr fontId="2" type="noConversion"/>
  </si>
  <si>
    <t>운철 보유량이 최대치를 넘어, 수령할 수 없습니다.</t>
    <phoneticPr fontId="2" type="noConversion"/>
  </si>
  <si>
    <t>COST_OVER_MAX_VALUE_DRAGON_STEEL</t>
    <phoneticPr fontId="2" type="noConversion"/>
  </si>
  <si>
    <t>성향 점수가 낮아, 아공행법을 사용할 수 없습니다.</t>
    <phoneticPr fontId="2" type="noConversion"/>
  </si>
  <si>
    <t>2022.07.26</t>
  </si>
  <si>
    <t>공성전 진행 중에는 표국 통행을 신청할 수 없습니다.</t>
  </si>
  <si>
    <t>SERVER_CHANGE_SIEGE_PARTICIPATE</t>
  </si>
  <si>
    <t>레드마인: 56367_20220621_김선묵</t>
  </si>
  <si>
    <t>보유 가능한 감탄 점수를 초과하여 더 이상 받을 수 없습니다.</t>
  </si>
  <si>
    <t>COST_OVER_MAX_VALUE_WONDER</t>
  </si>
  <si>
    <t>보유 가능한 감탄 점수를 초과하여 더 이상 받을 수 없습니다.</t>
    <phoneticPr fontId="2" type="noConversion"/>
  </si>
  <si>
    <t>일일 협동임무 완료횟수가 최대치에 도달하여 수락할 수 없습니다.</t>
  </si>
  <si>
    <t>GUILD_COOP_MISSION_ALL_CLEAR_COUNT</t>
  </si>
  <si>
    <t>5회 완료한 상태에서 수락/완료 요청시</t>
  </si>
  <si>
    <t>문파 가입 후 [ 24 ] 시간이 지나야 협동임무를 수락할 수 있습니다.</t>
  </si>
  <si>
    <t>GUILD_COOP_MISSION_MEMBER_JOIN_TIME_LIMIT</t>
  </si>
  <si>
    <t>문파 가입 후 24시간이내 협동임무 수락 불가</t>
  </si>
  <si>
    <t>콘텐츠 이용 제약이 설정되어 지금은 이용할 수 없습니다.</t>
  </si>
  <si>
    <t>GUILD_COOP_MISSION_OBJECT_ERROR_CONTENTS_LOCK</t>
  </si>
  <si>
    <t>협동임무 보스소환 컨텐츠락 에러</t>
  </si>
  <si>
    <t>소속된 문파가 없어 협동 보스를 소환할 수 없습니다.</t>
  </si>
  <si>
    <t xml:space="preserve">GUILD_COOP_MISSION_OBJECT_ERROR_NOT_GUILD_MEMBER	</t>
  </si>
  <si>
    <t>협동임무 보스소환 문파 소속 아닐 경우</t>
  </si>
  <si>
    <t>협동 보스는 [전쟁]권한을 가진 문파원만 소환할 수 있습니다.</t>
  </si>
  <si>
    <t>GUILD_COOP_MISSION_OBJECT_ERROR_MEMBER_AUTHORITY_NOT_EXIST</t>
  </si>
  <si>
    <t>협동임무 보스소환 권한이 없을 경우</t>
  </si>
  <si>
    <t>소환 가능한 횟수가 없어 소환할 수 없습니다.</t>
  </si>
  <si>
    <t>GUILD_COOP_MISSION_OBJECT_NOT_EXIST_BOSS_COUNT</t>
  </si>
  <si>
    <t>협동임무 보스소환 횟수가 부족할 경우</t>
  </si>
  <si>
    <t>문파기술 [협동의 길]을 연구하여 협동 보스를 소환할 수 있습니다.</t>
  </si>
  <si>
    <t>GUILD_COOP_MISSION_OBJECT_ERROR_GUILD_DEV_LEVEL</t>
  </si>
  <si>
    <t>문파 발전 요구조건 안될경우</t>
  </si>
  <si>
    <t>원정대 이용 중에는 협동보스를 소환할 수 없습니다.</t>
  </si>
  <si>
    <t>GUILD_COOP_MISSION_OBJECT_NOT_SERVER_TYPE</t>
  </si>
  <si>
    <t>다른서버 원정대/정복서버 에서 협동임무 보스소환 불가</t>
  </si>
  <si>
    <t>다른 지역에 소환되어 있는 협동보스가 있어 소환할 수 없습니다.</t>
  </si>
  <si>
    <t>GUILD_COOP_MISSION_OBJECT_ALREADY_MONSTER_SPAWNED</t>
  </si>
  <si>
    <t>다른 지역에 소환되어 있는 협동보스가 있어서 소환 불가</t>
  </si>
  <si>
    <t>임무를 수락할 수 없습니다. 잠시후 다시 시도하여 주세요.</t>
  </si>
  <si>
    <t>NOT_MATCH_GUILD_COOP_MISSION_GROUP_ID</t>
  </si>
  <si>
    <t>협동임무 수락 시 그룹id가 안맞을 경우</t>
  </si>
  <si>
    <t>NOT_MATCH_GUILD_COOP_MISSION_ID</t>
  </si>
  <si>
    <t>협동임무 수락 시 (랜덤으로 설정된) 미션id가 안맞을 경우</t>
  </si>
  <si>
    <t>2022.08.18</t>
  </si>
  <si>
    <t>2022.08.09</t>
  </si>
  <si>
    <t>서버를 선택하세요.</t>
  </si>
  <si>
    <t xml:space="preserve">SERVER_EXPEDITION_SELECT_SERVER                     </t>
  </si>
  <si>
    <t>레드마인:없음_원정대_서버에러메시지_2022.07.25_김선묵</t>
  </si>
  <si>
    <t>출발할수 없는 서버</t>
  </si>
  <si>
    <t xml:space="preserve">SERVER_EXPEDITION_CANNOT_STARTING_SERVER            </t>
  </si>
  <si>
    <t>도착할수 없는 서버</t>
  </si>
  <si>
    <t xml:space="preserve">SERVER_EXPEDITION_CANNOT_DESTINATION_SERVER         </t>
  </si>
  <si>
    <t>다른 서버 그룹</t>
  </si>
  <si>
    <t xml:space="preserve">SERVER_EXPEDITION_DIFFERENT_SERVER_GROUP            </t>
  </si>
  <si>
    <t>테이블값 오류</t>
  </si>
  <si>
    <t xml:space="preserve">SERVER_EXPEDITION_TABLE_VALUE_ERROR                 </t>
  </si>
  <si>
    <t>이미 선택한 (진행된) 월드서버가 있다.</t>
  </si>
  <si>
    <t xml:space="preserve">SERVER_EXPEDITION_ALREADY_EXIST_TARGET_WORLD        </t>
  </si>
  <si>
    <t>데이터가 없다</t>
  </si>
  <si>
    <t xml:space="preserve">SERVER_EXPEDITION_DATA_NULLPTR                      </t>
  </si>
  <si>
    <t>문파소속이 아니다.</t>
  </si>
  <si>
    <t xml:space="preserve">SERVER_EXPEDITION_NOT_GUILD_MEMBER                  </t>
  </si>
  <si>
    <t>문파랭킹이 낮다</t>
  </si>
  <si>
    <t xml:space="preserve">SERVER_EXPEDITION_SHORTAGE_GUILD_RANK               </t>
  </si>
  <si>
    <t xml:space="preserve">SERVER_EXPEDITION_SHORTAGE_COST                     </t>
  </si>
  <si>
    <t>인원 초과</t>
  </si>
  <si>
    <t xml:space="preserve">SERVER_EXPEDITION_OVER_MAX_USERS                    </t>
  </si>
  <si>
    <t>이미 등록된 유저</t>
  </si>
  <si>
    <t xml:space="preserve">SERVER_EXPEDITION_ALREADY_EXIST_USER                </t>
  </si>
  <si>
    <t>접속가능한 Gateway 정보가 없음</t>
  </si>
  <si>
    <t xml:space="preserve">SERVER_EXPEDITION_NOT_EXIST_GATEWAY_INFO            </t>
  </si>
  <si>
    <t>타겟 월드에 대한 정보가 없음</t>
  </si>
  <si>
    <t xml:space="preserve">SERVER_EXPEDITION_NOT_EXIST_TARGET_WORLD_INFO       </t>
  </si>
  <si>
    <t>Auth Key 등록 실패</t>
  </si>
  <si>
    <t xml:space="preserve">SERVER_EXPEDITION_FAILURE_ASSIGN_AUTH_KEY           </t>
  </si>
  <si>
    <t>인벤이 가득차서 보상획득 실패</t>
  </si>
  <si>
    <t xml:space="preserve">SERVER_EXPEDITION_REWARD_GAIN_FAIL_INVEN_FULL       </t>
  </si>
  <si>
    <t xml:space="preserve">SERVER_EXPEDITION_SHORTAGE_LEVEL                    </t>
  </si>
  <si>
    <t>서버변경할수 있는 맵이 아님</t>
  </si>
  <si>
    <t xml:space="preserve">SERVER_EXPEDITION_STAGE_IS_WRONG                    </t>
  </si>
  <si>
    <t>파티에 속해있습니다</t>
  </si>
  <si>
    <t xml:space="preserve">SERVER_EXPEDITION_IN_PARTY                          </t>
  </si>
  <si>
    <t>사망 유저는 더이상 드랍할수 없다.</t>
  </si>
  <si>
    <t xml:space="preserve">SERVER_EXPEDITION_DIE_USER_DROP_EMPTY               </t>
  </si>
  <si>
    <t>더이상 획득 할수 없다</t>
  </si>
  <si>
    <t xml:space="preserve">SERVER_EXPEDITION_GAIN_COUNT_FULL                   </t>
  </si>
  <si>
    <t>서버원정대 생명력은 최대치를 넘길수 없다.</t>
  </si>
  <si>
    <t xml:space="preserve">ITEM_USE_SERVER_EXPEDITION_LIFE_NOT_OVER_MAX    </t>
  </si>
  <si>
    <t>서버원정대 생명력은 원정중에만 채울수 있다.</t>
  </si>
  <si>
    <t xml:space="preserve">ITEM_USE_SERVER_EXPEDITION_NOT_STARTING         </t>
  </si>
  <si>
    <t>원정대용 MODE 는 선택할 수 없음</t>
  </si>
  <si>
    <t xml:space="preserve">PK_CAN_NOT_SELECT_EXPEDITION_MODE   </t>
  </si>
  <si>
    <t>부활 후유증으로 인해 요청할 수 없습니다.</t>
    <phoneticPr fontId="2" type="noConversion"/>
  </si>
  <si>
    <t>USER_REBIRTH_CANNOT_REQUEST_HAS_REFUSE</t>
    <phoneticPr fontId="2" type="noConversion"/>
  </si>
  <si>
    <t>부활후유증이 있는 상태에서 부활 요청</t>
    <phoneticPr fontId="2" type="noConversion"/>
  </si>
  <si>
    <t>2022.09.20</t>
  </si>
  <si>
    <t>자객모드 상태인 캐릭터는 이용을 할 수 없습니다.</t>
  </si>
  <si>
    <t>PK_CAN_NOT_SELECT_MODE_ASSASSIN</t>
  </si>
  <si>
    <t>레드마인: 58228_자객모드_20220729_김선묵</t>
  </si>
  <si>
    <t>자객모드 설정 아이템이 부족하여 원정대 참여를 할 수 없습니다.</t>
  </si>
  <si>
    <t>ASSASSIN_MODE_NOT_ENOUGH_ITEM</t>
  </si>
  <si>
    <t>NOT_AVAILABLE_EXPEDITION_ASSASSIN_MODE</t>
  </si>
  <si>
    <t>대상이 자객모드 캐릭터이면 이용을 할 수 없습니다.</t>
  </si>
  <si>
    <t>NOT_AVAILABLE_TO_EXPEDITION_ASSASSIN_MODE</t>
  </si>
  <si>
    <t>2022.08.01</t>
    <phoneticPr fontId="2" type="noConversion"/>
  </si>
  <si>
    <t>AUTH_ERROR_NFT_SERVER_NOT_CREATE_CHARACTER_LIMIT</t>
  </si>
  <si>
    <t>NFT 서버 사용 불가</t>
  </si>
  <si>
    <t>NFT 불러오기가 제한된 서버입니다. \r\n&lt;span color="#FFCC00"&gt;캐릭터 생성이 가능한 서버에서 이용 부탁드립니다.&lt;/&gt;</t>
    <phoneticPr fontId="2" type="noConversion"/>
  </si>
  <si>
    <t>레벨이 부족하여 아이템을 사용하실 수 없습니다.</t>
    <phoneticPr fontId="2" type="noConversion"/>
  </si>
  <si>
    <t>ITEM_NOT_USE_NOT_ENOUGH_LEVEL</t>
    <phoneticPr fontId="2" type="noConversion"/>
  </si>
  <si>
    <t>아이템 사용 레벨을 만족하지 못함</t>
    <phoneticPr fontId="2" type="noConversion"/>
  </si>
  <si>
    <t>정복서버 이용중에는 문파를 해체 할 수 없습니다.</t>
  </si>
  <si>
    <t>GUILD_DELETE_CONQUER_SERVER</t>
  </si>
  <si>
    <t>레드마인:없음 정복서버_서버_에러메시지_220812_김선묵</t>
  </si>
  <si>
    <t>정복서버 이용중에는 멤버 탈퇴를 할 수 없습니다.</t>
  </si>
  <si>
    <t>GUILD_MEMBER_LEAVE_CONQUER_SERVER</t>
  </si>
  <si>
    <t>정복서버 이용중에는 멤버 추방을 할 수 없습니다.</t>
  </si>
  <si>
    <t>GUILD_MEMBER_KICK_CONQUER_SERVER</t>
  </si>
  <si>
    <t>성공 확률 증가 기능을 사용할수 없는 아이템입니다.</t>
  </si>
  <si>
    <t>ITEM_SMELTING_NOT_ADD_PROBABILITY_ITEM</t>
    <phoneticPr fontId="2" type="noConversion"/>
  </si>
  <si>
    <t>성공확률 증가를 사용할수 없는 아이템 이다</t>
    <phoneticPr fontId="2" type="noConversion"/>
  </si>
  <si>
    <t>옵션감정이 완료되지 않은 아이템은 거래소에 등록할 수 없습니다.</t>
  </si>
  <si>
    <t>TRADE_CANNOT_REGISTER_HOLD_OPTIONING_ITEM</t>
  </si>
  <si>
    <t xml:space="preserve">등록시 미결정된 옵션이 있을겨우 등록할수 없습니다. </t>
  </si>
  <si>
    <t>대상 장비와 동일한 등급, 티어의 재료만 사용할 수 있습니다.</t>
    <phoneticPr fontId="2" type="noConversion"/>
  </si>
  <si>
    <t>ITEM_TRANCE_MATERIAL_ITEM_DIFF_TIER</t>
    <phoneticPr fontId="2" type="noConversion"/>
  </si>
  <si>
    <t>초월 재료 아이템이 대상 아이템과 티어가 다르다</t>
    <phoneticPr fontId="2" type="noConversion"/>
  </si>
  <si>
    <t>GetUser 데이터에서 정보가 없습니다.</t>
  </si>
  <si>
    <t>CHINA_PANHO_WEB_GET_USER_NOT_HAS_DATA_FIELD</t>
  </si>
  <si>
    <t>GetUser 데이터에서 Data Field 정보가 없다</t>
  </si>
  <si>
    <t>잘못된 GetUser 호출 입니다.</t>
  </si>
  <si>
    <t>CHINA_PANHO_WEB_GET_USER_WRONG_REQUEST</t>
  </si>
  <si>
    <t>GetUser 잘못된 호출</t>
  </si>
  <si>
    <t>GetUser 호출에 실패 하였습니다.</t>
  </si>
  <si>
    <t>CHINA_PANHO_WEB_GET_USER_FAILURE_REQUEST</t>
  </si>
  <si>
    <t>GetUser 호출 실패</t>
  </si>
  <si>
    <t>플레이 할 수 있는 시간이 아닙니다.</t>
  </si>
  <si>
    <t>CHINA_PANHO_IS_NOT_PLAY_TIME</t>
  </si>
  <si>
    <t>플레이 할수 있는 시간이 아니다</t>
  </si>
  <si>
    <t>CHINA_PANHO_IS_NOT_GAME_TIME</t>
  </si>
  <si>
    <t>WEB 에서 체크한 플레이 할수 있는 시간이 아니다</t>
  </si>
  <si>
    <t>CHINA_PANHO_IS_NOT_PLAY_TIME_INIT_DATA</t>
  </si>
  <si>
    <t>플레이 할수 있는 시간이 아니다.(서버에서 체크한 INIT DATA 기준)</t>
  </si>
  <si>
    <t>플레이 시간이 종료 되었습니다.</t>
  </si>
  <si>
    <t>CHINA_PANHO_CLOSE_PLAY_TIME</t>
  </si>
  <si>
    <t>플레이 시간 종료로 유저 종료시킴</t>
  </si>
  <si>
    <t>2022.09.29</t>
  </si>
  <si>
    <t>정복서버에서는 이용을 할 수 없습니다.</t>
  </si>
  <si>
    <t>CONQUER_SERVER_CAN_NOT_USE</t>
  </si>
  <si>
    <t>레드마인: 59789_서버_에러메시지_220919_김선묵</t>
  </si>
  <si>
    <t>이미 완료된 임무입니다.</t>
  </si>
  <si>
    <t>ALREADY_COMPLETE_MISSIONQUEST</t>
  </si>
  <si>
    <t>이미 완료된 임무를 수락 시도</t>
  </si>
  <si>
    <t>SABUK_ERROR_NOT_SABUK_BATTLE_FIELD</t>
  </si>
  <si>
    <t>// 사북 공성전 맵이 아니다.</t>
  </si>
  <si>
    <t>SABUK_FAIL_BY_INVALID_REQ_IN_STATUS</t>
  </si>
  <si>
    <t>// 사북 공성전 요청 실패 BY 공성전 상태에 맞지 않는 요청</t>
  </si>
  <si>
    <t>SABUK_WARP_FAIL_SABUK_STATUS</t>
  </si>
  <si>
    <t>// 사북 공성전 입장 가능 시간이 아니다.</t>
  </si>
  <si>
    <t>SABUK_ERROR_RANK_REFRESH_TIME</t>
  </si>
  <si>
    <t>// 사북 공성전 랭킹 리플레스 시간이 아니다, 클라이언트에서 요 패킷을 받으면 기존 정보을 표시 해줘야 한다.</t>
  </si>
  <si>
    <t>SABUK_FAIL_BY_INVALID_REQ_ONLY_SELECTED_GUILD</t>
  </si>
  <si>
    <t xml:space="preserve">// 사북 공성전 해당 요청은 선출된 길드만 할수 있다. </t>
  </si>
  <si>
    <t>SABUK_ZONE_ENTER_FAIL_BY_INVALID_PARTY_TYPE</t>
  </si>
  <si>
    <t>// 사북 공성전 입장 할수 없는 파티 타입이다.  (보스토벌 및 일반토벌 파티 입장 불가)</t>
  </si>
  <si>
    <t>GUILD_CAN_NOT_LEAVE_IN_SABUK</t>
  </si>
  <si>
    <t>// 사북 공성전 진행 중에는 탈퇴 및 추방 할 수 없음</t>
  </si>
  <si>
    <t>GUILD_CAN_NOT_DELETE_IN_SABUK</t>
  </si>
  <si>
    <t xml:space="preserve">// 사북 공성전 진행 중에는 문파를 해체 할 수 없음 </t>
  </si>
  <si>
    <t>GUILD_ALLIANCE_ERROR_IN_SABUK</t>
  </si>
  <si>
    <t>// 사북 공성전 진행 중에는 동맹 신청 및 수락, 해제가 되지 않습니다</t>
  </si>
  <si>
    <t>DUEL_CANNOT_SABUK_BATTLE_FIELD</t>
  </si>
  <si>
    <t>SABUK_ERROR_OUTPOST_CASTING_COOLIME</t>
  </si>
  <si>
    <t>// 사북 공성전 전초기지 설치 쿨타임 에러</t>
  </si>
  <si>
    <t>진영이 일치하지 않아 설치할 수 없습니다.</t>
  </si>
  <si>
    <t>SABUK_ERROR_OUTPOST_CASTING_CAMP</t>
  </si>
  <si>
    <t>// 사북 공성전 전초기지 설치 잘못된 진영 에러, 3라운드 전용</t>
  </si>
  <si>
    <t>CHINA_PANHO_NOT_EXIST_GOODS_ID</t>
  </si>
  <si>
    <t>CHINA_PANHO_NOT_EXIST_GOODS_ID_IN_VERSION</t>
  </si>
  <si>
    <t>CHINA_PANHO_PERIOD_END_GOODS_ID</t>
  </si>
  <si>
    <t>시간 만료된 Goods</t>
  </si>
  <si>
    <t>CHINA_PANHO_BUY_FAILURE</t>
  </si>
  <si>
    <t>구입실패</t>
  </si>
  <si>
    <t>CHINA_PANHO_NOT_EXIST_PURCHASE_LIMIT_DATA</t>
  </si>
  <si>
    <t>제한정보가 없어서 구입불가</t>
  </si>
  <si>
    <t>CHINA_PANHO_EXCESS_AMOUNT_DAY</t>
  </si>
  <si>
    <t>일일 금액 초과</t>
  </si>
  <si>
    <t>CHINA_PANHO_EXCESS_AMOUNT_MONTHLY</t>
  </si>
  <si>
    <t>월간 금액 초과</t>
  </si>
  <si>
    <t>CHINA_PANHO_CANNOT_LOGIN_AGE</t>
  </si>
  <si>
    <t>로그인할 수없는 나이(99번에러:클라종료)</t>
  </si>
  <si>
    <t>CHINA_PANHO_AUTH_TO_SELECT_WORLD_TIME_OVER</t>
  </si>
  <si>
    <t>인증 이후 SelectWorld까지 걸린 시간이 너무 길었다(99번에러:클라종료)</t>
  </si>
  <si>
    <t>CHINA_PANHO_AUTH_ERROR_IS_NOT_PLAY_TIME</t>
  </si>
  <si>
    <t>현재는 플레이 할수 있는 시간이 아니다.(99번에러:클라종료)</t>
  </si>
  <si>
    <t>결제에 실패 하였습니다. (Code: 92008)</t>
  </si>
  <si>
    <t>없는 Goods Id</t>
  </si>
  <si>
    <t>결제에 실패 하였습니다. (Code: 92009)</t>
  </si>
  <si>
    <t>해당 Version 에 없는 Goods Id</t>
  </si>
  <si>
    <t>결제에 실패 하였습니다. (Code: 92010)</t>
  </si>
  <si>
    <t>결제에 실패 하였습니다. (Code: 92011)</t>
  </si>
  <si>
    <t>결제에 실패 하였습니다. (Code: 92012)</t>
  </si>
  <si>
    <t>일간 구매할 수 있는 금액을 초과하였습니다.</t>
  </si>
  <si>
    <t>월간 구매할 수 있는 금액을 초과하였습니다.</t>
  </si>
  <si>
    <t>결제할 수 없는 연령입니다.</t>
  </si>
  <si>
    <t>CHINA_PANHO_CANNOT_PURCHASE_AGE_LIMIT_TYPE</t>
  </si>
  <si>
    <t>결제할수 없는 나이대</t>
  </si>
  <si>
    <t>로그인할 수 없는 연령입니다.</t>
  </si>
  <si>
    <t>인증 이후 대기 시간을 초과하였습니다.</t>
  </si>
  <si>
    <t>플레이 할 수 있는 시간이 아닙니다. (Code: 92018)</t>
  </si>
  <si>
    <t>SABUK_ERROR_R3_PK_MODE_NOT_CHANGE</t>
  </si>
  <si>
    <t>외치기는 10초에 한 번씩 가능합니다.</t>
  </si>
  <si>
    <t>CHATTING_FAIL_SABUK_MASTER_COOL_TIME</t>
    <phoneticPr fontId="2" type="noConversion"/>
  </si>
  <si>
    <t>황제 외치기 실패 - 쿨타임 오류</t>
    <phoneticPr fontId="2" type="noConversion"/>
  </si>
  <si>
    <t>외치기는 [황제]만 이용할 수 있습니다.</t>
  </si>
  <si>
    <t>CHATTING_FAIL_NOT_SABUK_GUILD_MASTER</t>
    <phoneticPr fontId="2" type="noConversion"/>
  </si>
  <si>
    <t>황제 외치기 실패 - 황제가 아님</t>
    <phoneticPr fontId="2" type="noConversion"/>
  </si>
  <si>
    <t>CHATTING_FAIL_IS_ASSASSIN_MODE</t>
    <phoneticPr fontId="2" type="noConversion"/>
  </si>
  <si>
    <t>황제 외치기 실패 - 자객 모드에서는 보낼 수 없음</t>
    <phoneticPr fontId="2" type="noConversion"/>
  </si>
  <si>
    <t>포상을 지급할 수 없습니다.</t>
  </si>
  <si>
    <t>DOMINION_PRIZE_FAIL_WRONG_PRIZE_TYPE</t>
  </si>
  <si>
    <t>사북성영지 // 영지 포상 실패 - 유효한 타입이아님</t>
  </si>
  <si>
    <t>2022.11.10</t>
    <phoneticPr fontId="2" type="noConversion"/>
  </si>
  <si>
    <t>세율 조정을 실패했습니다. 다시 시도하세요.</t>
  </si>
  <si>
    <t>DOMINION_SABUK_TAXRATE_CHANGE_FAIL</t>
  </si>
  <si>
    <t>사북성영지 // 사북영지 세율 변경 실패</t>
  </si>
  <si>
    <t>사북쟁패 점령 문파 정보를 확인할 수 없습니다.</t>
  </si>
  <si>
    <t>DOMINION_SABUK_TAXRATE_CHANGE_FAIL_NOT_EXIST_GUILD</t>
  </si>
  <si>
    <t>사북성영지 // 사북영지 세율 변경 실패 - 길드 정보 없음</t>
  </si>
  <si>
    <t>황제 문파가 아닙니다.</t>
  </si>
  <si>
    <t>DOMINION_SABUK_TAXRATE_CHANGE_FAIL_NOT_MATCH_GUILD</t>
  </si>
  <si>
    <t>사북성영지 // 사북영지 세율 변경 실패 - 점령 길드가 아님</t>
  </si>
  <si>
    <t>세율 조정 권한이 없어 기능을 이용할 수 없습니다.</t>
  </si>
  <si>
    <t>DOMINION_SABUK_TAXRATE_CHANGE_FAIL_NOT_AUTHORITY</t>
  </si>
  <si>
    <t>사북성영지 // 사북영지 세율 변경 실패 - 권한이 없음</t>
  </si>
  <si>
    <t>세율 조정 가능한 최소/최대 범위가 아닙니다.</t>
  </si>
  <si>
    <t>DOMINION_SABUK_TAXRATE_CHANGE_FAIL_WRONG_TAXRATE</t>
  </si>
  <si>
    <t>사북성영지 // 사북영지 세율 변경 실패 - 세율 최대/ 최저 값이 맞지 않음</t>
  </si>
  <si>
    <t>세율을 설정할 수 없는 재화입니다.</t>
  </si>
  <si>
    <t>DOMINION_SABUK_TAXRATE_CHANGE_FAIL_WRONG_MONEY_TYPE</t>
  </si>
  <si>
    <t>사북성영지 // 사북영지 세율 변경 실패 - 잘못된 재화 타입</t>
  </si>
  <si>
    <t>홈서버로 이동하여 세율 조정 기능을 사용하세요.</t>
  </si>
  <si>
    <t>DOMINION_SABUK_TAXRATE_CHANGE_FAIL_HOME_WORLD</t>
  </si>
  <si>
    <t>사북성영지 // 사북영지 세율 변경 실패 - 홈서버가 아닌곳에서는 사용불가</t>
  </si>
  <si>
    <t>황명 부여에 실패했습니다. 다시 시도하세요.</t>
  </si>
  <si>
    <t>DOMINION_SABUK_IMPERIAL_ORDER_FAIL</t>
  </si>
  <si>
    <t>사북성영지 // 사북영지 황명 부여 실패</t>
  </si>
  <si>
    <t>황제 문파가 존재하지 않습니다.</t>
  </si>
  <si>
    <t>DOMINION_SABUK_IMPERIAL_ORDER_FAIL_NOT_EXIST_GUILD</t>
  </si>
  <si>
    <t>사북성영지 // 사북영지 황명 부여 실패 - 존재 하지 않는 길드</t>
  </si>
  <si>
    <t>황명은 사북성 영지를 소유한 황제 문파에서 사용할 수 있습니다.</t>
  </si>
  <si>
    <t>DOMINION_SABUK_IMPERIAL_ORDER_FAIL_NOT_MATCH_GUILD</t>
  </si>
  <si>
    <t>사북성영지 // 사북영지 황명 부여 실패 - 사북 영지 소유 길드가 아님</t>
  </si>
  <si>
    <t>황명 사용 권한이 없어 기능을 이용할 수 없습니다.</t>
  </si>
  <si>
    <t>DOMINION_SABUK_IMPERIAL_ORDER_FAIL_NOT_AUTHORITY</t>
  </si>
  <si>
    <t>사북성영지 // 사북영지 황명 부여 실패 - 권한이 없음</t>
  </si>
  <si>
    <t>황명 사용 횟수를 초과하여 더 이상 황명을 내릴 수 없습니다.</t>
  </si>
  <si>
    <t>DOMINION_SABUK_IMPERIAL_ORDER_FAIL_COUNT_ORVER</t>
  </si>
  <si>
    <t>사북성영지 // 사북영지 황명 부여 실패 - 황명 부여 횟수 초과</t>
  </si>
  <si>
    <t>해당 서버에는 해제할 황명이 없습니다.</t>
  </si>
  <si>
    <t>DOMINION_SABUK_IMPERIAL_ORDER_FAIL_NOT_EXIST_INFO</t>
  </si>
  <si>
    <t>사북성영지 // 사북영지 황명 부여 실패 - 해당 월드에 황명 정보 없음</t>
  </si>
  <si>
    <t>홈서버로 이동하여 황명 기능을 사용하세요.</t>
  </si>
  <si>
    <t>DOMINION_SABUK_IMPERIAL_ORDER_FAIL_HOME_WORLD</t>
  </si>
  <si>
    <t>사북성영지 // 사북영지 황명 부여 실패 - 홈서버가 아닌곳에서는 사용불가</t>
  </si>
  <si>
    <t>황명의 데이터 타입이 잘못되었습니다.</t>
  </si>
  <si>
    <t>DOMINION_SABUK_IMPERIAL_ORDER_FAIL_WRONG_DATA_TYPE</t>
  </si>
  <si>
    <t>사북성영지 // 사북영지 황명 부여 실패 - 테이블상 사용할수없는 데이터 타입</t>
  </si>
  <si>
    <t>제국칭호 임명을 실패했습니다. 다시 시도하세요.</t>
  </si>
  <si>
    <t>DOMINION_SABUK_TITLE_CHAGNE_FAIL</t>
  </si>
  <si>
    <t>사북성영지 // 사북영지 제국칭호 변경 실패</t>
  </si>
  <si>
    <t>해당 문파는 존재하지 않아 제국칭호를 임명할 수 없습니다.</t>
  </si>
  <si>
    <t>DOMINION_SABUK_TITLE_CHAGNE_FAIL_NOT_EXIST_GUILD</t>
  </si>
  <si>
    <t>사북성영지 // 사북영지 제국칭호 변경 실패 - 존재 하지 않는 길드</t>
  </si>
  <si>
    <t>제국칭호 사용 권한이 없어 기능을 이용할 수 없습니다.</t>
  </si>
  <si>
    <t>DOMINION_SABUK_TITLE_CHAGNE_FAIL_NOT_AUTHORITY</t>
  </si>
  <si>
    <t>사북성영지 // 사북영지 제국칭호 변경 실패 - 권한 없음</t>
  </si>
  <si>
    <t>DOMINION_SABUK_TITLE_CHAGNE_FAIL_NOT_MATCH_GUILD</t>
  </si>
  <si>
    <t>사북성영지 // 사북영지 제국칭호 변경 실패 - 사북성 소유 길드가 아님</t>
  </si>
  <si>
    <t>문파원이 아니므로 제국칭호 효과를 받을 수 없습니다.</t>
  </si>
  <si>
    <t>DOMINION_SABUK_TITLE_CHAGNE_FAIL_NOT_IN_GUILD</t>
  </si>
  <si>
    <t>사북성영지 // 사북영지 제국칭호 변경 실패 - 길드에 가입되지 않은 유저</t>
  </si>
  <si>
    <t>사북성 영지 정보가 존재하지 않습니다.</t>
  </si>
  <si>
    <t xml:space="preserve">DOMINION_SABUK_TITLE_CHAGNE_FAIL_NOT_EXIST_DOMINION </t>
  </si>
  <si>
    <t>사북성영지 // 사북영지 제국칭호 변경 실패 - 영지 정보가 없음</t>
  </si>
  <si>
    <t>문파의 제국칭호 정보를 확인할 수 없습니다.</t>
  </si>
  <si>
    <t>DOMINION_SABUK_TITLE_CHAGNE_FAIL_NOT_EXIST_INFO</t>
  </si>
  <si>
    <t>사북성영지 // 사북영지 제국칭호 변경 실패 - 제국칭호 정보가 서버에 없음</t>
  </si>
  <si>
    <t>DOMINION_SABUK_TITLE_CHAGNE_FAIL_DB_ERROR</t>
  </si>
  <si>
    <t>사북성영지 // 사북영지 제국칭호 변경 실패 - DB 실패</t>
  </si>
  <si>
    <t>홈서버로 이동하여 제국칭호 기능을 사용하세요.</t>
  </si>
  <si>
    <t>DOMINION_SABUK_TITLE_CHAGNE_FAIL_HOME_WORLD</t>
  </si>
  <si>
    <t>사북성영지 // 사북영지 제국칭호 변경 실패 - 홈서버가 아닌곳에서는 사용불가</t>
  </si>
  <si>
    <t>제국칭호를 임명할 문파가 있으며 처리 중입니다.</t>
  </si>
  <si>
    <t>DOMINION_SABUK_TITLE_CHAGNE_FAIL_WRONG_STATE</t>
  </si>
  <si>
    <t>사북성영지 // 사북영지 제국칭호 변경 실패 - 이전 제국칭호 변경 과정이 남아있음</t>
  </si>
  <si>
    <t>이미 제국칭호를 임명받은 문파입니다.</t>
  </si>
  <si>
    <t>DOMINION_SABUK_TITLE_CHAGNE_FAIL_SAME_TITLE</t>
  </si>
  <si>
    <t>사북성영지 // 사북영지 제국칭호 변경 실패 - 동일한 길드에게 다시 주려고 함</t>
  </si>
  <si>
    <t>2022.11.10</t>
  </si>
  <si>
    <t>지급 수량 정보를 확인해 주세요.</t>
  </si>
  <si>
    <t>DOMINION_STORAGE_WROGN_COMMISSION_BICHEON</t>
  </si>
  <si>
    <t>비천성 영지 // 타문파 지급 수수료 오류(0이하) 레드마인: 61491_서버에러메시지_20221110_김선묵</t>
  </si>
  <si>
    <t>DOMINION_STORAGE_WROGN_COMMISSION_SABUK</t>
  </si>
  <si>
    <t>사북성 영지 // 타문파 지급 수수료 오류(0이하) 레드마인: 61491_서버에러메시지_20221110_김선묵</t>
  </si>
  <si>
    <t>MAIL_DOMINION_WRONG_TYPE</t>
  </si>
  <si>
    <t>국가 메일 보내기실패 - 영지 메일 타입이 아님</t>
  </si>
  <si>
    <t>이 기능을 이용할 권한이 없습니다.</t>
  </si>
  <si>
    <t>MAIL_DOMINION_NOT_OWN_GUILD</t>
  </si>
  <si>
    <t>국가 메일 보내기실패 - 영지 소유  길드가 아님</t>
  </si>
  <si>
    <t>MAIL_DOMINION_FAIL_AUTH</t>
  </si>
  <si>
    <t>국가 메일 보내기실패 - 권한이 없음</t>
  </si>
  <si>
    <t>포고는 15초마다 한 번씩 가능합니다.</t>
  </si>
  <si>
    <t>MAIL_DOMINION_COOL_TIME</t>
  </si>
  <si>
    <t>국가 메일 보내기실패 - 쿨타임 오류</t>
  </si>
  <si>
    <t>문파 정보를 확인할 수 없습니다.</t>
  </si>
  <si>
    <t>MAIL_DOMINION_NOT_EXISTS_GUILD</t>
  </si>
  <si>
    <t>국가 메일 보내기실패 - 길드 정보 없음</t>
  </si>
  <si>
    <t>MAIL_DOMINION_NOT_EXISTS_MEMBER</t>
  </si>
  <si>
    <t>국가 메일 보내기실패 - 길드 멤버가 아님</t>
  </si>
  <si>
    <t>2022.11.24</t>
  </si>
  <si>
    <t>잠시 후에 세율 변경을 이용해 주세요.</t>
  </si>
  <si>
    <t>DOMINION_SABUK_TAXRATE_CHANGE_FAIL_COOLTIME</t>
  </si>
  <si>
    <t>사북영지 세율 변경 실패 - 쿨타임 적용</t>
  </si>
  <si>
    <t>지금은 제국칭호를 변경할 수 없습니다.</t>
  </si>
  <si>
    <t>DOMINION_SABUK_TITLE_CHAGNE_FAIL_COOLTIME</t>
  </si>
  <si>
    <t>사북영지 제국칭호 변경 실패 - 쿨타임 적용</t>
  </si>
  <si>
    <t>황제에게는 칭호를 부여할 수 없습니다.</t>
  </si>
  <si>
    <t>DOMINION_TITLE_CHAGNE_FAIL_SABUK_MASTER</t>
  </si>
  <si>
    <t>황제(문파장) 에게 칭호 부여 불가</t>
  </si>
  <si>
    <t>이전 정보가 완료되지 않아서 칭호 혹은 관직을 부여할 수 없습니다.</t>
  </si>
  <si>
    <t>DOMINION_TITLE_CHAGNE_FAIL_WRONG_STATE</t>
  </si>
  <si>
    <t>이전 칭호 처리가 안끝났음</t>
  </si>
  <si>
    <t>특수교환을 이용할 수 없는 직업입니다.</t>
  </si>
  <si>
    <t>ITEM_SPECIAL_EXCHANGE_WORNG_CLASS</t>
  </si>
  <si>
    <t>특수교환_레드마인:없음_20221103_김선묵</t>
  </si>
  <si>
    <t>특수교환에 등록할 수 없는 아이템입니다.</t>
  </si>
  <si>
    <t>ITEM_SPECIAL_EXCHANGE_WORNG_ITEM</t>
  </si>
  <si>
    <t>특수교환에 필요한 비용이 부족합니다.</t>
  </si>
  <si>
    <t>ITEM_SPECIAL_EXCHANGE_SMALL_COST</t>
  </si>
  <si>
    <t>사북성 창고 정보 처리가 완료되지 않아 지금은 이용할 수 없습니다.</t>
  </si>
  <si>
    <t>DOMINION_SABUK_STORAGE_COST_GIVE_FAIL_WRONG_STATE</t>
  </si>
  <si>
    <t>레드마인: 62021_사북성 영지 창고_오류 사항 방어코드_2022.11.17_김선묵</t>
  </si>
  <si>
    <t>서북성 창고 정보 처리 문제로 이용을 할 수 없습니다.</t>
  </si>
  <si>
    <t>DOMINION_SABUK_STORAGE_COST_GIVE_FAIL_WRONG_DB_VALUE</t>
  </si>
  <si>
    <t>2022.12.08</t>
  </si>
  <si>
    <t>지금은 칭호를 변경할 수 없습니다.</t>
  </si>
  <si>
    <t>DOMINION_TITLE_CHAGNE_FAIL_COOLTIME</t>
  </si>
  <si>
    <t>레드마인: 62008_비천성_칭호_쿨타임_2022.11.22_김선묵</t>
  </si>
  <si>
    <t>성물에 캐릭터 레벨이 맞지 않습니다.</t>
    <phoneticPr fontId="2" type="noConversion"/>
  </si>
  <si>
    <t>이미 열려있는 성물입니다.</t>
    <phoneticPr fontId="2" type="noConversion"/>
  </si>
  <si>
    <t>열려있지 않은 성물입니다.</t>
    <phoneticPr fontId="2" type="noConversion"/>
  </si>
  <si>
    <t>성물 등급 조건이 맞지 않습니다.</t>
    <phoneticPr fontId="2" type="noConversion"/>
  </si>
  <si>
    <t>성물 슬롯 조건이 맞지 않습니다.</t>
    <phoneticPr fontId="2" type="noConversion"/>
  </si>
  <si>
    <t>성물 정보가 로드되어 있지 않습니다.</t>
    <phoneticPr fontId="2" type="noConversion"/>
  </si>
  <si>
    <t>HOLY_STUFF_ERROR_CHAR_LEVEL</t>
    <phoneticPr fontId="2" type="noConversion"/>
  </si>
  <si>
    <t>성물 오픈 레벨 부족</t>
    <phoneticPr fontId="2" type="noConversion"/>
  </si>
  <si>
    <t>HOLY_STUFF_ERROR_ALREADY_OPEN</t>
    <phoneticPr fontId="2" type="noConversion"/>
  </si>
  <si>
    <t>이미 오픈된 성물</t>
    <phoneticPr fontId="2" type="noConversion"/>
  </si>
  <si>
    <t>HOLY_STUFF_ERROR_NOT_OPEN</t>
    <phoneticPr fontId="2" type="noConversion"/>
  </si>
  <si>
    <t>잠긴 성물</t>
    <phoneticPr fontId="2" type="noConversion"/>
  </si>
  <si>
    <t>HOLY_STUFF_ERROR_CONDITION_GRADE</t>
    <phoneticPr fontId="2" type="noConversion"/>
  </si>
  <si>
    <t>등급 조건 맞지 않음</t>
    <phoneticPr fontId="2" type="noConversion"/>
  </si>
  <si>
    <t>HOLY_STUFF_ERROR_CONDITION_SLOT</t>
    <phoneticPr fontId="2" type="noConversion"/>
  </si>
  <si>
    <t>슬롯 조건 맞지 않음</t>
    <phoneticPr fontId="2" type="noConversion"/>
  </si>
  <si>
    <t>HOLY_STUFF_ERROR_NOT_LOAD_INFO</t>
    <phoneticPr fontId="2" type="noConversion"/>
  </si>
  <si>
    <t>임무수행서의 도전 목표를 달성하지 않았습니다.</t>
    <phoneticPr fontId="2" type="noConversion"/>
  </si>
  <si>
    <t>EVENT_PASS_NOT_CLEAR</t>
    <phoneticPr fontId="2" type="noConversion"/>
  </si>
  <si>
    <t>이벤트 패스 미션 미달성</t>
    <phoneticPr fontId="2" type="noConversion"/>
  </si>
  <si>
    <t>이미 임무수행서 보상을 받았습니다.</t>
    <phoneticPr fontId="2" type="noConversion"/>
  </si>
  <si>
    <t>EVENT_PASS_ALREADY_REWARD</t>
    <phoneticPr fontId="2" type="noConversion"/>
  </si>
  <si>
    <t>이미 이벤트 패스 보상 받음</t>
    <phoneticPr fontId="2" type="noConversion"/>
  </si>
  <si>
    <t>임무수행서 도전 정보가 일치하지 않습니다.</t>
    <phoneticPr fontId="2" type="noConversion"/>
  </si>
  <si>
    <t>EVENT_PASS_COMPLETE_INFO_NOT_MATCH</t>
    <phoneticPr fontId="2" type="noConversion"/>
  </si>
  <si>
    <t>이벤트 패스 미션 정보 불일치</t>
    <phoneticPr fontId="2" type="noConversion"/>
  </si>
  <si>
    <t>임무수행서 보상받을 가방이 가득찼습니다.</t>
    <phoneticPr fontId="2" type="noConversion"/>
  </si>
  <si>
    <t>EVENT_PASS_NOT_ENOUGH_INVEN_COUNT</t>
    <phoneticPr fontId="2" type="noConversion"/>
  </si>
  <si>
    <t>이벤트 패스 보상 인벤토리 가득참</t>
    <phoneticPr fontId="2" type="noConversion"/>
  </si>
  <si>
    <t>임무수행서 도전 포인트가 부족합니다.</t>
    <phoneticPr fontId="2" type="noConversion"/>
  </si>
  <si>
    <t>EVENT_PASS_NOT_ENOUGH_MISSION_POINT</t>
    <phoneticPr fontId="2" type="noConversion"/>
  </si>
  <si>
    <t>이벤트 패스 미션 포인트 부족</t>
    <phoneticPr fontId="2" type="noConversion"/>
  </si>
  <si>
    <t>금화가 부족합니다.</t>
    <phoneticPr fontId="2" type="noConversion"/>
  </si>
  <si>
    <t>EVENT_PASS_NOT_ENOUGH_MONEY</t>
    <phoneticPr fontId="2" type="noConversion"/>
  </si>
  <si>
    <t>이벤트 패스 구매 재화 부족</t>
    <phoneticPr fontId="2" type="noConversion"/>
  </si>
  <si>
    <t>임무수행서 시즌권이 없습니다.</t>
    <phoneticPr fontId="2" type="noConversion"/>
  </si>
  <si>
    <t>EVENT_PASS_NOT_EXIST_TICKET</t>
    <phoneticPr fontId="2" type="noConversion"/>
  </si>
  <si>
    <t>이벤트 패스 티켓 없음</t>
    <phoneticPr fontId="2" type="noConversion"/>
  </si>
  <si>
    <t>임무수행서 시즌이 존재하지 않습니다.</t>
    <phoneticPr fontId="2" type="noConversion"/>
  </si>
  <si>
    <t>NO_EXISTS_EVENT_PASS_INFO</t>
    <phoneticPr fontId="2" type="noConversion"/>
  </si>
  <si>
    <t>이벤트 패스 정보 데이터 존재 안함</t>
    <phoneticPr fontId="2" type="noConversion"/>
  </si>
  <si>
    <t>임무수행서 기간이 만료 되었습니다.</t>
    <phoneticPr fontId="2" type="noConversion"/>
  </si>
  <si>
    <t>EVENT_PASS_EXPIRED_TIME</t>
    <phoneticPr fontId="2" type="noConversion"/>
  </si>
  <si>
    <t>이벤트 패스 기간 만료</t>
    <phoneticPr fontId="2" type="noConversion"/>
  </si>
  <si>
    <t>임무수행서 상품이 존재하지 않습니다.</t>
    <phoneticPr fontId="2" type="noConversion"/>
  </si>
  <si>
    <t>EVENT_PASS_NOT_EXIST_PRODUCT_ID</t>
    <phoneticPr fontId="2" type="noConversion"/>
  </si>
  <si>
    <t>이벤트 패스 상품이 존재하지 않음</t>
    <phoneticPr fontId="2" type="noConversion"/>
  </si>
  <si>
    <t>이미 임무수행서를 구입했습니다.</t>
    <phoneticPr fontId="2" type="noConversion"/>
  </si>
  <si>
    <t>EVENT_PASS_ALREDY_EXIST</t>
    <phoneticPr fontId="2" type="noConversion"/>
  </si>
  <si>
    <t>이미 존재 하는 이벤트 패스</t>
    <phoneticPr fontId="2" type="noConversion"/>
  </si>
  <si>
    <t>토벌 시작 이후에는 추방을 할 수 없습니다.</t>
  </si>
  <si>
    <t>PARTY_CANNOT_ENTER_KICKED_DUNGEON_START</t>
  </si>
  <si>
    <t>토벌이 시작된 파티에서는 추방 불가</t>
  </si>
  <si>
    <t>사북쟁패 지역이 아닙니다.</t>
  </si>
  <si>
    <t>요청을 진행할 수 없는 사북쟁패 상태입니다.</t>
  </si>
  <si>
    <t>사북쟁패 입장 가능 시간이 아닙니다.</t>
  </si>
  <si>
    <t>랭킹을 업데이트 중입니다.</t>
  </si>
  <si>
    <t>사북쟁패에 선출된 문파만 할 수 있습니다.</t>
  </si>
  <si>
    <t>문파 파티만 입장할 수 있습니다.</t>
  </si>
  <si>
    <t>사북쟁패 진행 시간 동안에는 문파를 탈퇴할 수 없습니다.</t>
  </si>
  <si>
    <t>사북쟁패 진행 시간 동안에는 문파를 해체할 수 없습니다.</t>
  </si>
  <si>
    <t>사북쟁패 진행 시간 동안에는 동맹을 결성할 수 없습니다.</t>
  </si>
  <si>
    <t>// 사북 공성전 맵에서는 대결을 할 수 없습니다.</t>
  </si>
  <si>
    <t>설치 쿨타임 중입니다.</t>
  </si>
  <si>
    <t>문파권한이 없어 전초기지를 설치할 수 없습니다.</t>
  </si>
  <si>
    <t>SABUK_ERROR_OUTPOST_CASTING_GUILD_MEMBER_AUTHORITY_NOT_EXIST</t>
  </si>
  <si>
    <t>// 사북 공성전 전초기지 설치 GUILD_MEMBER_AUTHORITY 권한이 없습니다.</t>
  </si>
  <si>
    <t>사북 공성전 R3 맵에서는 pk mode 을 변경 할수 없습니다.</t>
  </si>
  <si>
    <t>// '사북 공성전 R3 맵에서는 pk mode 을 변경 할수 없습니다.</t>
  </si>
  <si>
    <t>전장 안에서는 문파 파티만 결성할 수 있습니다.</t>
  </si>
  <si>
    <t>PARTY_CREATE_FAIL_NOT_GUILD_PART_SABUK_ZONE</t>
  </si>
  <si>
    <t xml:space="preserve">//사북 쟁패 맵에서는 문파 파티만 생성 </t>
  </si>
  <si>
    <t>전장 안에서는 문파 파티로만 초대할 수 있습니다.</t>
  </si>
  <si>
    <t xml:space="preserve">PARTY_INVITE_FAIL_NOT_GUILD_PART_SABUK_ZONE	</t>
  </si>
  <si>
    <t>//사북 쟁패 맵에서는 문파 파티만 초대 가능</t>
  </si>
  <si>
    <t>전장 안에 있는 플레이어는 문파 파티로만 초대할 수 있습니다.</t>
  </si>
  <si>
    <t>PARTY_INVITE_FAIL_NOT_GUILD_PART_SABUK_ZONE_TARGET</t>
  </si>
  <si>
    <t>//사북 쟁패 맵에있는 유저에게는 문파 파티로만 초대가능</t>
  </si>
  <si>
    <t>문파 파티만 이용할 수 있습니다.</t>
  </si>
  <si>
    <t>PARTY_ENTER_FAIL_NOT_GUILD_PARTY_SABUK_ZONE</t>
  </si>
  <si>
    <t>GUILD_WAR_FAIL_CANNOT_WARP_STAGE</t>
  </si>
  <si>
    <t>//사북 쟁패 맵에서 차원문(흑룡의탑) 이용 시도 시</t>
  </si>
  <si>
    <t>컬렉터블 아이템은 특수교환에 사용하실 수 없습니다.</t>
    <phoneticPr fontId="2" type="noConversion"/>
  </si>
  <si>
    <t>ITEM_SPECIAL_EXCHANGE_NOT_COLLECTABLE</t>
    <phoneticPr fontId="2" type="noConversion"/>
  </si>
  <si>
    <t xml:space="preserve">특수교환은 콜렉터블 아이템 안됨 </t>
    <phoneticPr fontId="2" type="noConversion"/>
  </si>
  <si>
    <t>해당 잠재력은 최대 성장 단계입니다.</t>
    <phoneticPr fontId="2" type="noConversion"/>
  </si>
  <si>
    <t>POTENTIAL_MAX_LEVEL</t>
    <phoneticPr fontId="2" type="noConversion"/>
  </si>
  <si>
    <t>// 잠재력 레벨 MAX</t>
    <phoneticPr fontId="2" type="noConversion"/>
  </si>
  <si>
    <t>잠재력 성장 조건을 충족하지 못하였습니다.</t>
    <phoneticPr fontId="2" type="noConversion"/>
  </si>
  <si>
    <t>POTENTIAL_NOT_UPGRADE_CONDITION</t>
  </si>
  <si>
    <t>// 잠재력 조건이 충족되지 못함</t>
  </si>
  <si>
    <t>캐릭터의 레벨이 맞지 않아 잠재력을 성장시킬 수 없습니다.</t>
    <phoneticPr fontId="2" type="noConversion"/>
  </si>
  <si>
    <t>POTENTIAL_NOT_EHNOUGH_CHARACTER_LEVEL</t>
    <phoneticPr fontId="2" type="noConversion"/>
  </si>
  <si>
    <t>23.03.31</t>
  </si>
  <si>
    <t>23.03.31</t>
    <phoneticPr fontId="2" type="noConversion"/>
  </si>
  <si>
    <t>23.03.21</t>
    <phoneticPr fontId="2" type="noConversion"/>
  </si>
  <si>
    <t>제작 가능한 수량을 초과 하였습니다.</t>
  </si>
  <si>
    <t>// 아이템 제작 수량 초과</t>
    <phoneticPr fontId="2" type="noConversion"/>
  </si>
  <si>
    <t>ITEM_MAKE_LIMIT</t>
    <phoneticPr fontId="2" type="noConversion"/>
  </si>
  <si>
    <t>이미 탑승 설정된 탈것 입니다.</t>
  </si>
  <si>
    <t>VEHICLE_NOT_UNEQUIP</t>
  </si>
  <si>
    <t>글로벌 탑승 해제 시</t>
  </si>
  <si>
    <t>23.04.18</t>
    <phoneticPr fontId="2" type="noConversion"/>
  </si>
  <si>
    <t>선물 대상 캐릭터를 찾을 수 없습니다.</t>
  </si>
  <si>
    <t>스스로에게 선물할 수 없습니다.</t>
  </si>
  <si>
    <t>선물이 불가능한 상품입니다.</t>
  </si>
  <si>
    <t>보낼 선물함에 없는 상품입니다.</t>
  </si>
  <si>
    <t>받은 선물을 재선물할 수 없습니다.</t>
  </si>
  <si>
    <t>존재하지 않는 상품입니다.</t>
  </si>
  <si>
    <t>CASH_BAG_GIFT_ERR_NOT_RECIEVER_CHARACTER</t>
  </si>
  <si>
    <t>CASH_BAG_GIFT_ERR_SEND_TO_SELF</t>
  </si>
  <si>
    <t>CASH_BAG_GIFT_ERR_NOT_GIFT_TYPE</t>
  </si>
  <si>
    <t>CASH_BAG_GIFT_ERR_NOT_HAVE_CASHBAG</t>
  </si>
  <si>
    <t>CASH_BAG_GIFT_ERR_RECEIVED_GIFT</t>
  </si>
  <si>
    <t>CASH_BAG_GIFT_ERR_NOT_COMMON_TABLE</t>
  </si>
  <si>
    <t>선물 받을 유저가 없다.</t>
  </si>
  <si>
    <t>자기 자신에게 보낸다.</t>
  </si>
  <si>
    <t>선물 타입이 아님</t>
  </si>
  <si>
    <t>보관함에 존재하지 않음</t>
  </si>
  <si>
    <t>받은 선물을 선물하려 함</t>
  </si>
  <si>
    <t>테이블에 존재하지 않는 아이템</t>
  </si>
  <si>
    <t>사용하려는 이벤트 패스 아이템이 존재하지 않습니다.</t>
  </si>
  <si>
    <t>BATTLE_PASS_NOT_EXIST_USE_ITEM</t>
  </si>
  <si>
    <t>배틀 패스 사용권이 존재하지 않음</t>
  </si>
  <si>
    <t>선물 대상 캐릭터를 찾을 수 없습니다. (삭제대기중)</t>
    <phoneticPr fontId="2" type="noConversion"/>
  </si>
  <si>
    <t>CASH_BAG_GIFT_ERR_DELETE_STANDBY_CHAR</t>
    <phoneticPr fontId="2" type="noConversion"/>
  </si>
  <si>
    <t>삭제 대기중인 캐릭터</t>
    <phoneticPr fontId="2" type="noConversion"/>
  </si>
  <si>
    <t>23.05.02</t>
  </si>
  <si>
    <t>23.05.02</t>
    <phoneticPr fontId="2" type="noConversion"/>
  </si>
  <si>
    <t>2023.04.27</t>
  </si>
  <si>
    <t>통합 지역에서는 이용이 제한된 콘텐츠입니다.</t>
  </si>
  <si>
    <t>MAIL_CHARACTER_MAIL_SEND_FAIL_INTER_SERVER</t>
  </si>
  <si>
    <t>레드마인: 63861 통합존_개인우편사용불가_20230407_김선묵</t>
    <phoneticPr fontId="2" type="noConversion"/>
  </si>
  <si>
    <t>2023.04.20</t>
  </si>
  <si>
    <t>통합거래소에서 데이터를 찾을 수 없습니다.</t>
  </si>
  <si>
    <t>TRADE_NOT_EXIST_REGISTER_DATA_IN_REGION_TRADE</t>
  </si>
  <si>
    <t>레드마인: 63103_230307_통합거래소_김선묵</t>
  </si>
  <si>
    <t>현재는 통합거래소를 이용할 수 없습니다.</t>
  </si>
  <si>
    <t>TRADE_CANNOT_USE_CURRENT_TIME</t>
  </si>
  <si>
    <t>통합거래소에서 취소를 할 수 없는 상태입니다.</t>
  </si>
  <si>
    <t>TRADE_CANNOT_CANCEL_STATE</t>
  </si>
  <si>
    <t>통합거래소에서는 거래소에 등록된 물품을 취소할 수 없습니다.</t>
  </si>
  <si>
    <t>TRADE_CANNOT_CANCEL_REGION_TRADE_REGISTER</t>
  </si>
  <si>
    <t>등록한 물품을 모두 다 회수하면, 통합거래소에 물품을 등록할 수 있습니다.</t>
  </si>
  <si>
    <t>TRADE_ALREADY_EXIST_WORLD_REGISTER</t>
  </si>
  <si>
    <t>통합거래소에 구입하려는 물품 정보가 없습니다.</t>
  </si>
  <si>
    <t>TRADE_NOT_EXIST_PURCHASE_REGISTER</t>
  </si>
  <si>
    <t>통합거래소에서 구매하려는 물품에 대한 정보 이전에 실패하였습니다.</t>
  </si>
  <si>
    <t>TRADE_REGISTER_MOVE_TO_TRADE_FAILURE</t>
  </si>
  <si>
    <t>2023.07.11</t>
    <phoneticPr fontId="2" type="noConversion"/>
  </si>
  <si>
    <t>23.07.06</t>
    <phoneticPr fontId="2" type="noConversion"/>
  </si>
  <si>
    <t>흑룡의 제단을 설치할 수 없는 지역입니다.</t>
    <phoneticPr fontId="2" type="noConversion"/>
  </si>
  <si>
    <t>ALTAR_ERROR_NOT_ALTAR_BATTLE_FIELD</t>
  </si>
  <si>
    <t>흑룡의제단 필드가 아니다.</t>
  </si>
  <si>
    <t>흑룡의 제단이 설치되어 있어 문파를 해체할 수 없습니다.</t>
    <phoneticPr fontId="2" type="noConversion"/>
  </si>
  <si>
    <t>ALTAR_ERROR_CAN_NOT_DELETE_GUILD</t>
  </si>
  <si>
    <t>흑룡의제단 점령 중일때는 길드을 삭제 할수 없다.</t>
  </si>
  <si>
    <t>흑룡의 제단 점검 중입니다.</t>
    <phoneticPr fontId="2" type="noConversion"/>
  </si>
  <si>
    <t>ALTAR_OBJECT_ERROR_STATUS_SEAL</t>
  </si>
  <si>
    <t>흑룡의제단 캐스팅 에러, 제단 기능을 점검 중입니다.</t>
  </si>
  <si>
    <t>해당 위치에는 이미 흑룡의 제단이 설치 되어 있습니다.</t>
    <phoneticPr fontId="2" type="noConversion"/>
  </si>
  <si>
    <t>ALTAR_OBJECT_ERROR_ALREADY_EXIST</t>
  </si>
  <si>
    <t>흑룡의제단 캐스팅 에러, 제단이 이미 설치 되어 있습니다.</t>
  </si>
  <si>
    <t>흑룡의 제단을 설치하기 위해서는 문파 기술을 습득해야 합니다.</t>
    <phoneticPr fontId="2" type="noConversion"/>
  </si>
  <si>
    <t>ALTAR_OBJECT_ERROR_GUILD_DEVELOP_NOT_EXIST</t>
  </si>
  <si>
    <t>흑룡의제단 캐스팅 에러, 제단를 사용하기 위해서는 {1} 문파 기술을 습득해야 합니다.</t>
  </si>
  <si>
    <t>신입 문파원은 흑룡의 제단을 설치할 수 없습니다.</t>
    <phoneticPr fontId="2" type="noConversion"/>
  </si>
  <si>
    <t>ALTAR_OBJECT_ERROR_GUILD_MEMBER_INVALID_MEMBER_GRADE</t>
  </si>
  <si>
    <t>흑룡의제단 캐스팅 에러, 길드 멤버 권한이 신입 문파원 보다 커야 한다.</t>
  </si>
  <si>
    <t>PARTY_COMMUNITY_SERVER_NETWORK_ERROR</t>
  </si>
  <si>
    <t>// 커뮤니티 서버 연결 문제 등으로 패킷 전송 실패</t>
  </si>
  <si>
    <t>토벌대 목록을 갱신중입니다. 잠시만 기다려 주세요.</t>
  </si>
  <si>
    <t>PARTY_LIST_COOLTIME</t>
  </si>
  <si>
    <t>// 구인리스트 쿨타임</t>
  </si>
  <si>
    <t>2023.08.22</t>
    <phoneticPr fontId="2" type="noConversion"/>
  </si>
  <si>
    <t>마령주 유효하지 않은 범위 // MAGCORB_INVALIED_RANGE</t>
  </si>
  <si>
    <t>MAGCORB_INVALIED_RANGE</t>
  </si>
  <si>
    <t>마령주 유효하지 않은 범위</t>
  </si>
  <si>
    <t>마령주 유효하지 않은 덱 // MAGCORB_INVALIED_DECK</t>
  </si>
  <si>
    <t>MAGCORB_INVALIED_DECK</t>
  </si>
  <si>
    <t>마령주 유효하지 않은 덱</t>
  </si>
  <si>
    <t>MAGCORB_INVALIED_ITEM</t>
  </si>
  <si>
    <t>마령주 유효하지 않은 아이템</t>
  </si>
  <si>
    <t>MAGCORB_INVALIED_LEVEL</t>
  </si>
  <si>
    <t>마령주 유효하지 않은 장착 레벨</t>
  </si>
  <si>
    <t>MAGICORB_EQUIP_ITEM</t>
  </si>
  <si>
    <t>마령주 아이템의 장착 오류</t>
  </si>
  <si>
    <t>MAGICORB_NOT_ENOUGH_ITEM</t>
  </si>
  <si>
    <t>마령주 재료 부족</t>
  </si>
  <si>
    <t>MAGICORB_NOT_ENOUGH_COST</t>
  </si>
  <si>
    <t>마령주 재화 부족</t>
  </si>
  <si>
    <t>MAGICORB_USE_EQUIP_ITEM</t>
  </si>
  <si>
    <t>마령주 장착중인 아이템을 재료로 사용</t>
  </si>
  <si>
    <t>마령주 유효하지 않은 슬롯 // MAGCORB_INVALIED_SLOT</t>
    <phoneticPr fontId="2" type="noConversion"/>
  </si>
  <si>
    <t>MAGCORB_INVALIED_SLOT</t>
    <phoneticPr fontId="2" type="noConversion"/>
  </si>
  <si>
    <t>마령주 유효하지 않은 슬롯</t>
    <phoneticPr fontId="2" type="noConversion"/>
  </si>
  <si>
    <t>마령주 유효하지 않은 아이템 // MAGCORB_INVALIED_ITEM</t>
    <phoneticPr fontId="2" type="noConversion"/>
  </si>
  <si>
    <t>마령주 유효하지 않은 장착 레벨 // MAGCORB_INVALIED_LEVEL</t>
    <phoneticPr fontId="2" type="noConversion"/>
  </si>
  <si>
    <t>마령주 아이템의 장착 오류 // MAGICORB_EQUIP_ITEM</t>
    <phoneticPr fontId="2" type="noConversion"/>
  </si>
  <si>
    <t>마령주 재료 부족 // MAGICORB_NOT_ENOUGH_ITEM</t>
    <phoneticPr fontId="2" type="noConversion"/>
  </si>
  <si>
    <t>마령주 재화 부족 // MAGICORB_NOT_ENOUGH_COST</t>
    <phoneticPr fontId="2" type="noConversion"/>
  </si>
  <si>
    <t>마령주 장착중인 아이템을 재료로 사용 // MAGICORB_USE_EQUIP_ITEM</t>
    <phoneticPr fontId="2" type="noConversion"/>
  </si>
  <si>
    <t>2023.10.31</t>
    <phoneticPr fontId="2" type="noConversion"/>
  </si>
  <si>
    <t>잘못된 WEMIX 주소입니다.</t>
    <phoneticPr fontId="2" type="noConversion"/>
  </si>
  <si>
    <t>COMMON_WRONG_WEMIX_ADDRESS</t>
  </si>
  <si>
    <t>위믹스 로그인 관련</t>
    <phoneticPr fontId="2" type="noConversion"/>
  </si>
  <si>
    <t>23.11.09</t>
    <phoneticPr fontId="2" type="noConversion"/>
  </si>
  <si>
    <t>23.11.28</t>
    <phoneticPr fontId="2" type="noConversion"/>
  </si>
  <si>
    <t xml:space="preserve">오늘 입장하기로 선택한 흑룡의 탑 층수가 아닙니다. </t>
    <phoneticPr fontId="2" type="noConversion"/>
  </si>
  <si>
    <t>BLACK_DRAGON_DUNGEON_CANNOT_ENTER_FLOOR</t>
    <phoneticPr fontId="2" type="noConversion"/>
  </si>
  <si>
    <t>한 번 선택한 흑룡의 탑에 재입장이 가능하고, 다른 층에는 들어갈 수 없어야 합니다.</t>
    <phoneticPr fontId="2" type="noConversion"/>
  </si>
  <si>
    <t>USER_EVENT_NOT_REQ_LEVEL</t>
  </si>
  <si>
    <t>팝업 이벤트 레벨 제한</t>
    <phoneticPr fontId="2" type="noConversion"/>
  </si>
  <si>
    <r>
      <rPr>
        <sz val="9"/>
        <color rgb="FF333333"/>
        <rFont val="맑은 고딕"/>
        <family val="3"/>
        <charset val="129"/>
      </rPr>
      <t>이벤트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참여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가능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레벨이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3"/>
        <charset val="129"/>
      </rPr>
      <t>아닙니다</t>
    </r>
    <r>
      <rPr>
        <sz val="9"/>
        <color rgb="FF333333"/>
        <rFont val="Verdana"/>
        <family val="2"/>
      </rPr>
      <t>.</t>
    </r>
    <phoneticPr fontId="2" type="noConversion"/>
  </si>
  <si>
    <r>
      <t>문파원정이나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문파도전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중에는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문파에서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탈퇴할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수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없습니다</t>
    </r>
    <r>
      <rPr>
        <sz val="9"/>
        <color rgb="FF333333"/>
        <rFont val="Verdana"/>
        <family val="3"/>
        <charset val="129"/>
      </rPr>
      <t>.</t>
    </r>
  </si>
  <si>
    <r>
      <t>문파원정이나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문파도전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중에는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문파원을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추방할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수</t>
    </r>
    <r>
      <rPr>
        <sz val="9"/>
        <color rgb="FF333333"/>
        <rFont val="Verdana"/>
        <family val="3"/>
        <charset val="129"/>
      </rPr>
      <t xml:space="preserve"> </t>
    </r>
    <r>
      <rPr>
        <sz val="9"/>
        <color rgb="FF333333"/>
        <rFont val="돋움"/>
        <family val="3"/>
        <charset val="129"/>
      </rPr>
      <t>없습니다</t>
    </r>
    <r>
      <rPr>
        <sz val="9"/>
        <color rgb="FF333333"/>
        <rFont val="Verdana"/>
        <family val="3"/>
        <charset val="129"/>
      </rPr>
      <t>.</t>
    </r>
  </si>
  <si>
    <t>GUILD_CAN_NOT_LEAVE_IN_EXPEDITION</t>
  </si>
  <si>
    <t>GUILD_MEMBER_KICK_GUILD_EXPEDITON</t>
  </si>
  <si>
    <t>원정/도전에서는 문파 탈퇴 할 수 없음</t>
    <phoneticPr fontId="2" type="noConversion"/>
  </si>
  <si>
    <t>문파 원정/도전 중에는 맴버 추방을 할 수 없음</t>
  </si>
  <si>
    <t>23.11.14</t>
    <phoneticPr fontId="2" type="noConversion"/>
  </si>
  <si>
    <t>선행 업적이 완료되지 않았습니다.</t>
    <phoneticPr fontId="2" type="noConversion"/>
  </si>
  <si>
    <t>이전 업적이 완료되지 않음</t>
    <phoneticPr fontId="2" type="noConversion"/>
  </si>
  <si>
    <t>생사곡에 입장할 수 없습니다.</t>
    <phoneticPr fontId="2" type="noConversion"/>
  </si>
  <si>
    <t>DEADVALLEY_ERROR_CANNOT_START_ANOTHER_SERVER</t>
    <phoneticPr fontId="2" type="noConversion"/>
  </si>
  <si>
    <t>생사곡 에러메세지</t>
    <phoneticPr fontId="2" type="noConversion"/>
  </si>
  <si>
    <t>캐스팅 도중에는 참가 신청할 수 없습니다.</t>
    <phoneticPr fontId="2" type="noConversion"/>
  </si>
  <si>
    <t>DEADVALLEY_ERROR_CHARACTER_CASTING</t>
    <phoneticPr fontId="2" type="noConversion"/>
  </si>
  <si>
    <t>원정대 예약중에는 참가 신청할 수 없습니다.</t>
    <phoneticPr fontId="2" type="noConversion"/>
  </si>
  <si>
    <t>DEADVALLEY_ERROR_RESERVE_EXPEDITION</t>
    <phoneticPr fontId="2" type="noConversion"/>
  </si>
  <si>
    <t>이미 참가 신청을 했습니다.</t>
    <phoneticPr fontId="2" type="noConversion"/>
  </si>
  <si>
    <t>DEADVALLEY_ERROR_ALREADY_RESERVED</t>
    <phoneticPr fontId="2" type="noConversion"/>
  </si>
  <si>
    <t>다음 참가 신청까지 대기시간(쿨타임) 적용 중입니다.</t>
    <phoneticPr fontId="2" type="noConversion"/>
  </si>
  <si>
    <t>DEADVALLEY_ERROR_ENTER_COOLTIME</t>
    <phoneticPr fontId="2" type="noConversion"/>
  </si>
  <si>
    <t>생사곡 인증키가 등록되지 않았습니다.</t>
    <phoneticPr fontId="2" type="noConversion"/>
  </si>
  <si>
    <t>DEADVALLEY_ERROR_AUTH_KEY</t>
    <phoneticPr fontId="2" type="noConversion"/>
  </si>
  <si>
    <t>생사곡(정복서버) 등록 실패 했습니다.</t>
    <phoneticPr fontId="2" type="noConversion"/>
  </si>
  <si>
    <t>DEADVALLEY_ERROR_CONQUER_SERVER_ASSIGN</t>
    <phoneticPr fontId="2" type="noConversion"/>
  </si>
  <si>
    <t>참가 신청 상태가 아닙니다.</t>
    <phoneticPr fontId="2" type="noConversion"/>
  </si>
  <si>
    <t>DEADVALLEY_ERROR_CANCEL_FAIL</t>
    <phoneticPr fontId="2" type="noConversion"/>
  </si>
  <si>
    <t>생사곡 시간이 종료되어, 참가 신청이 취소 되었습니다.</t>
    <phoneticPr fontId="2" type="noConversion"/>
  </si>
  <si>
    <t>DEADVALLEY_ERROR_TIMEOUT_CANCEL</t>
    <phoneticPr fontId="2" type="noConversion"/>
  </si>
  <si>
    <t>시스템 에러</t>
    <phoneticPr fontId="2" type="noConversion"/>
  </si>
  <si>
    <t>DEADVALLEY_SYSTEM_ERROR</t>
    <phoneticPr fontId="2" type="noConversion"/>
  </si>
  <si>
    <t>생사곡 입장 시간이 아닙니다.</t>
    <phoneticPr fontId="2" type="noConversion"/>
  </si>
  <si>
    <t>DEADVALLEY_ERROR_NOT_ENTER_TIME</t>
    <phoneticPr fontId="2" type="noConversion"/>
  </si>
  <si>
    <t>생사곡 참가 인원이 부족하여 취소됩니다.\r\n본진 서버로 복귀합니다.</t>
    <phoneticPr fontId="2" type="noConversion"/>
  </si>
  <si>
    <t>DEADVALLEY_ERROR_NOT_ENOUGH_MEMBER</t>
    <phoneticPr fontId="2" type="noConversion"/>
  </si>
  <si>
    <t>콘텐츠 이용 제약이 설정되어 지금은 이용할 수 없습니다.\r\n본진 서버로 복귀합니다.</t>
    <phoneticPr fontId="2" type="noConversion"/>
  </si>
  <si>
    <t>DEADVALLEY_ERROR_CONTENTS_LOCK</t>
    <phoneticPr fontId="2" type="noConversion"/>
  </si>
  <si>
    <t>같은 팀에게 손해를 끼치는 행위를 반복하여, 이번 시즌 생사곡 참가가 제한됩니다.</t>
    <phoneticPr fontId="2" type="noConversion"/>
  </si>
  <si>
    <t>DEADVALLEY_ERROR_MAX_PENALTY_COUNT</t>
    <phoneticPr fontId="2" type="noConversion"/>
  </si>
  <si>
    <t>2024.01.18</t>
    <phoneticPr fontId="2" type="noConversion"/>
  </si>
  <si>
    <t>2024.03.20</t>
    <phoneticPr fontId="2" type="noConversion"/>
  </si>
  <si>
    <t>입력시간이 너무 빠릅니다. 잠시 후, 다시 시도해주세요.</t>
    <phoneticPr fontId="2" type="noConversion"/>
  </si>
  <si>
    <t>2024.05.14</t>
    <phoneticPr fontId="2" type="noConversion"/>
  </si>
  <si>
    <t>EQUIPSLOT_NOT_ACTIVE_DECK</t>
  </si>
  <si>
    <t>EQUIPSLOT_INVALID_DECK_ID</t>
  </si>
  <si>
    <t>EQUIPSLOT_INVALID_SLOT_ID</t>
  </si>
  <si>
    <t>EQUIPSLOT_NOT_SAME_ITEM</t>
  </si>
  <si>
    <t>EQUIPSLOT_NOT_EQUIP_SAME_DECK_SAME_ITEM</t>
  </si>
  <si>
    <t>활성화된 덱이 아니다</t>
    <phoneticPr fontId="2" type="noConversion"/>
  </si>
  <si>
    <t>유효하지않는 덱id</t>
    <phoneticPr fontId="2" type="noConversion"/>
  </si>
  <si>
    <t>유효하지않는 슬롯id</t>
    <phoneticPr fontId="2" type="noConversion"/>
  </si>
  <si>
    <t>같은슬롯에 같은 아이템 장착 요청할수 없다.</t>
    <phoneticPr fontId="2" type="noConversion"/>
  </si>
  <si>
    <t>같은덱에 같은 아이템 장착 요청할수 없다.</t>
    <phoneticPr fontId="2" type="noConversion"/>
  </si>
  <si>
    <t>2024.05.23</t>
    <phoneticPr fontId="2" type="noConversion"/>
  </si>
  <si>
    <t>천지합일 오픈 업적을 완료하지 못하였습니다.</t>
    <phoneticPr fontId="2" type="noConversion"/>
  </si>
  <si>
    <t>HEAVEN_TRAINING_ACHIVEMENT_COMPLETE_NOT_YET</t>
  </si>
  <si>
    <t>천지합일 에러 메시지</t>
    <phoneticPr fontId="2" type="noConversion"/>
  </si>
  <si>
    <t>천지합일이 이미 승급 진행 중입니다.</t>
  </si>
  <si>
    <t>HEAVEN_TRAINING_ALREADY_LEVELUP_PROCESSING</t>
  </si>
  <si>
    <t>천지합일 테이블 에러입니다.</t>
  </si>
  <si>
    <t>HEAVEN_TRAINING_TABLE_ERROR</t>
  </si>
  <si>
    <t>천지합일이 주화입마 상태입니다.</t>
  </si>
  <si>
    <t>HEAVEN_TRAINING_SLUMP_NOT_EXPIRED</t>
  </si>
  <si>
    <t>천지합일 진행을 위한 재료가 부족한 상태입니다.</t>
  </si>
  <si>
    <t>HEAVEN_TRAINING_NOT_ENOUGH_METERIAL</t>
  </si>
  <si>
    <t>천지합일 진행을 위한 재화가 부족한 상태입니다.</t>
  </si>
  <si>
    <t>HEAVEN_TRAINING_NOT_ENOUGH_MONEY</t>
  </si>
  <si>
    <t>천지합일 진행을 위한 클래스가 잘못 매칭되어 있습니다.</t>
  </si>
  <si>
    <t>HEAVEN_TRAINING_NOT_MATCH_CLASS_ID</t>
  </si>
  <si>
    <t>더 이상 레벨업할 수 없는 상태입니다.</t>
  </si>
  <si>
    <t>HEAVEN_TRAINING_NO_MORE_LEVELUP</t>
  </si>
  <si>
    <t>천지합일의 대상을 찾을 수 없습니다.</t>
  </si>
  <si>
    <t>HEAVEN_TRAINING_NOT_EXIST</t>
  </si>
  <si>
    <t>이미 최고 레벨을 달성 하였습니다.</t>
  </si>
  <si>
    <t>HEAVEN_TRAINING_ALREADY_MAX_LEVEL</t>
  </si>
  <si>
    <t>이전 노드의 레벨이 Max가 아닙니다.</t>
  </si>
  <si>
    <t>HEAVEN_TRAINING_PREV_NODE_NOT_MAX_LEVEL</t>
  </si>
  <si>
    <t>승급을 할 수 없는 상태입니다.</t>
  </si>
  <si>
    <t>HEAVEN_TRAINING_CAN_NOT_CIRCLE_UP</t>
  </si>
  <si>
    <t>유효하지 않은 그룹 ID입니다.</t>
  </si>
  <si>
    <t>HEAVEN_TRAINING_INVALID_GROUP_ID</t>
  </si>
  <si>
    <t>유효하지 않은 리소스입니다.</t>
  </si>
  <si>
    <t>HEAVEN_TRAINING_INVALID_RESOURCE</t>
  </si>
  <si>
    <t>감정된 벌모세수가 존재하지 않습니다.</t>
  </si>
  <si>
    <t>HEAVEN_TRAINING_NOT_EXISTS_HOLDOPTION</t>
  </si>
  <si>
    <t>유효하지 않은 시간입니다.</t>
  </si>
  <si>
    <t>HEAVEN_TRAINING_INVALID_TIME</t>
    <phoneticPr fontId="2" type="noConversion"/>
  </si>
  <si>
    <t>HEAVEN_TRAINING_INVALID_CIRCLE_VALUE</t>
    <phoneticPr fontId="2" type="noConversion"/>
  </si>
  <si>
    <t>문파를 찾을 수 없습니다.</t>
    <phoneticPr fontId="2" type="noConversion"/>
  </si>
  <si>
    <t>HEAVEN_TRAINING_NOT_FOUND_GUILD</t>
    <phoneticPr fontId="2" type="noConversion"/>
  </si>
  <si>
    <t>주화입마 상태가 아닙니다.</t>
    <phoneticPr fontId="2" type="noConversion"/>
  </si>
  <si>
    <t>HEAVEN_TRAINING_NO_SLUMP_STATE</t>
    <phoneticPr fontId="2" type="noConversion"/>
  </si>
  <si>
    <t>일주천 진행할 수 없는 레벨입니다.</t>
    <phoneticPr fontId="2" type="noConversion"/>
  </si>
  <si>
    <t>HEAVEN_TRAINING_NOT_ENOUGH_LEVEL</t>
  </si>
  <si>
    <t>2024.06.25</t>
    <phoneticPr fontId="2" type="noConversion"/>
  </si>
  <si>
    <t>2024.06.05</t>
    <phoneticPr fontId="2" type="noConversion"/>
  </si>
  <si>
    <t>주화입마 또는 일주천 진행중에는 표국 통행을 신청할 수 없습니다.</t>
    <phoneticPr fontId="2" type="noConversion"/>
  </si>
  <si>
    <t>SERVER_CHANGE_CONDITION_SLUMP_OR_CIRCLE_UP</t>
  </si>
  <si>
    <t>천지합일 서버 이전 에러_20240605_이선호</t>
    <phoneticPr fontId="2" type="noConversion"/>
  </si>
  <si>
    <t>유효하지 않은 일주천 등급입니다.</t>
  </si>
  <si>
    <t>2024.08.01</t>
    <phoneticPr fontId="2" type="noConversion"/>
  </si>
  <si>
    <t>EQUIPSLOT_NOT_EQUIP_OPEN_CONDITION</t>
  </si>
  <si>
    <t>오픈 조건을 달성하지 못한 슬롯이다.</t>
    <phoneticPr fontId="2" type="noConversion"/>
  </si>
  <si>
    <t>EQUIPSLOT_NOT_ITEM_TYPE</t>
  </si>
  <si>
    <t>해당 슬롯에 지정되지 않은 아이템 타입을 장착할 수 없다.</t>
    <phoneticPr fontId="2" type="noConversion"/>
  </si>
  <si>
    <t>오픈 조건을 달성하지 못했습니다.</t>
    <phoneticPr fontId="2" type="noConversion"/>
  </si>
  <si>
    <t>장착할 수 없는 종류의 아이템입니다.</t>
    <phoneticPr fontId="2" type="noConversion"/>
  </si>
  <si>
    <t>2024.08.20</t>
    <phoneticPr fontId="2" type="noConversion"/>
  </si>
  <si>
    <t>2024.06.20</t>
  </si>
  <si>
    <t>문파대전 지역이 아닙니다.</t>
  </si>
  <si>
    <t>GUILD_TOURNAMENT_ERROR_NOT_GUILD_TOURNAMENT_BATTLE_FIELD</t>
  </si>
  <si>
    <t>문파대전 에러 메시지</t>
  </si>
  <si>
    <t>문파대전 요청 실패 BY 상태에 맞지 않는 요청</t>
  </si>
  <si>
    <t>GUILD_TOURNAMENT_FAIL_BY_INVALID_REQ_IN_STATUS</t>
  </si>
  <si>
    <t>문파대전 입장 가능 시간이 아닙니다.</t>
  </si>
  <si>
    <t>GUILD_TOURNAMENT_WARP_FAIL_GUILD_TOURNAMENT_STATUS</t>
  </si>
  <si>
    <t>문파대전 랭킹 갱신 시간이 아닙니다.</t>
  </si>
  <si>
    <t>GUILD_TOURNAMENT_ERROR_RANK_UI_REFRESH_TIME</t>
  </si>
  <si>
    <t>문파대전 전투 정보 갱신 시간이 아닙니다.</t>
  </si>
  <si>
    <t>GUILD_TOURNAMENT_ERROR_BATTLE_INFO_UI_REFRESH_TIME</t>
  </si>
  <si>
    <t>문파대전 해당 요청은 선출된 길드만 할 수 있습니다.</t>
  </si>
  <si>
    <t>GUILD_TOURNAMENT_FAIL_BY_INVALID_REQ_ONLY_MATCH_GUILD</t>
  </si>
  <si>
    <t>문파대전 지역에 입장할 수 없는 파티입니다.</t>
  </si>
  <si>
    <t>GUILD_TOURNAMENT_ZONE_ENTER_FAIL_BY_INVALID_PARTY_TYPE</t>
  </si>
  <si>
    <t>문파대전 진행 중에는 문파 탈퇴 및 추방을 할 수 없습니다.</t>
  </si>
  <si>
    <t>GUILD_TOURNAMENT_GUILD_CAN_NOT_LEAVE</t>
  </si>
  <si>
    <t>문파대전 진행 중에는 문파를 해체 할 수 없습니다.</t>
  </si>
  <si>
    <t>GUILD_TOURNAMENT_GUILD_CAN_NOT_DELETE</t>
  </si>
  <si>
    <t>잘못된 지휘관 스킬의 개수입니다.</t>
  </si>
  <si>
    <t>GUILD_TOURNAMENT_INVALID_SKILL_COUNT</t>
  </si>
  <si>
    <t>문파대전 지역에서는 비무를 할 수 없습니다.</t>
  </si>
  <si>
    <t>GUILD_TOURNAMENT_DUEL_CANNOT_BATTLE_FIELD</t>
  </si>
  <si>
    <t>문파 발전도가 부족하여, 문파대전 신청을 할 수 없습니다.</t>
  </si>
  <si>
    <t>GUILD_TOURNAMENT_ERROR_APPLICATION_GUILD_DEV_LEVEL</t>
  </si>
  <si>
    <t>이미 점령지를 점령한 문파입니다.</t>
  </si>
  <si>
    <t>GUILD_TOURNAMENT_TERRITORY_CASTING_ALREADY_OCCUPY_GUILD</t>
  </si>
  <si>
    <t>지휘관 스킬 쿨타임 에러입니다.</t>
  </si>
  <si>
    <t>GUILD_TOURNAMENT_ERROR_SKILL_USE_COOLTIME</t>
  </si>
  <si>
    <t>전술포인트가 부족합니다.</t>
  </si>
  <si>
    <t>GUILD_TOURNAMENT_ERROR_SKILL_USE_NEED_COST</t>
  </si>
  <si>
    <t>사용할 수 있는 지휘관 스킬이 아닙니다.</t>
  </si>
  <si>
    <t>GUILD_TOURNAMENT_ERROR_SKILL_USE_NOT_VALID_SKILL</t>
  </si>
  <si>
    <t>대규모전이 스킬 대상이 아닙니다.</t>
  </si>
  <si>
    <t>GUILD_TOURNAMENT_ERROR_SKILL_USE_NOT_IN_PARTY</t>
  </si>
  <si>
    <t>문파대전 지역에서는 PK 모드를 변경할 수 없습니다.</t>
  </si>
  <si>
    <t>GUILD_TOURNAMENT_ERROR_PK_MODE_NOT_CHANGE</t>
  </si>
  <si>
    <t>문파대전 지역에서는 문파 파티만 생성할 수 있습니다.</t>
  </si>
  <si>
    <t>GUILD_TOURNAMENT_ERROR_PARTY_CREATE_NOT_GUILD_PARTY_BATTLE_ZONE</t>
  </si>
  <si>
    <t>문파대전 지역에서는 문파 파티만 초대할 수 있습니다.</t>
  </si>
  <si>
    <t>GUILD_TOURNAMENT_ERROR_PARTY_INVITE_GUILD_PARTY_BATTLE_ZONE</t>
  </si>
  <si>
    <t>문파대전 지역에 있는 유저는 문파 파티에만 초대할 수 있습니다.</t>
  </si>
  <si>
    <t>GUILD_TOURNAMENT_ERROR_PARTY_INVITE_GUILD_PARTY_BATTLE_ZONE_TARGET</t>
  </si>
  <si>
    <t>문파대전 지역에 있는 유저만 문파 파티에 가입할 수 있습니다.</t>
  </si>
  <si>
    <t>GUILD_TOURNAMENT_ERROR_PARTY_ENTER_NOT_GUILD_PARTY_BATTLE_ZONE</t>
  </si>
  <si>
    <t>수호결계 스킬로 인해 점령지 점령에 실패하였습니다.</t>
  </si>
  <si>
    <t>GUILD_TOURNAMENT_TERRITORY_CASTING_BARRIER</t>
  </si>
  <si>
    <t>문파대전 입장 가능 인원을 초과하였습니다.</t>
  </si>
  <si>
    <t>GUILD_TOURNAMENT_ZONE_USER_FULL</t>
  </si>
  <si>
    <t>문파대전 컨텐츠를 점검 중입니다.</t>
  </si>
  <si>
    <t>GUILD_TOURNAMENT_CONTENTS_LOCK_INVALID_REQ</t>
  </si>
  <si>
    <t>2024.09.12</t>
    <phoneticPr fontId="2" type="noConversion"/>
  </si>
  <si>
    <t>2024.09.30</t>
    <phoneticPr fontId="2" type="noConversion"/>
  </si>
  <si>
    <t>각인이 완료되지 않은 아이템은 개인창고로 이동할 수 없습니다.</t>
    <phoneticPr fontId="2" type="noConversion"/>
  </si>
  <si>
    <t>ITEM_STORAGE_SAVE_FAIL_STAMP_OPTIONING_ITEM</t>
    <phoneticPr fontId="2" type="noConversion"/>
  </si>
  <si>
    <t>개인창고_에러메시지_240822_송병현</t>
    <phoneticPr fontId="2" type="noConversion"/>
  </si>
  <si>
    <t>각인이 완료되지 않은 아이템은 통합거래소에 등록할 수 없습니다.</t>
    <phoneticPr fontId="2" type="noConversion"/>
  </si>
  <si>
    <t>TRADE_CANNOT_REGISTER_HOLD_STAMP_OPTIONING_ITEM</t>
    <phoneticPr fontId="2" type="noConversion"/>
  </si>
  <si>
    <t>통합거래소_각인 옵션 선택하지 않은 보패 등록 시_송병현</t>
    <phoneticPr fontId="2" type="noConversion"/>
  </si>
  <si>
    <t>2024.10.24</t>
  </si>
  <si>
    <t>2024.11.12</t>
  </si>
  <si>
    <t>등용문 서버에서는 이용을 할 수 없습니다.</t>
  </si>
  <si>
    <t xml:space="preserve">BOOSTING_WORLD_NOT_ABLE_IN_WORLD </t>
  </si>
  <si>
    <t>등용문 월드_20240920_김선묵_서버에러메시지</t>
  </si>
  <si>
    <t>등용문 서버 출신 혹은 문파는 이용을 할 수 없습니다.</t>
  </si>
  <si>
    <t>BOOSTING_WORLD_NOT_ABLE_WAS_BORN_CHARACTER</t>
  </si>
  <si>
    <t>등용문 출신 캐릭터만 이용을 할 수 있습니다.</t>
  </si>
  <si>
    <t>BOOSTING_WORLD_ONLY_ABLE_WAS_BORN_CHARACTER</t>
  </si>
  <si>
    <t>등용문 월드_20240930_김선묵_서버에러메시지</t>
  </si>
  <si>
    <t>2024.11.26</t>
  </si>
  <si>
    <t>이벤트에 문제가 발생하여 지금은 이용할 수 없습니다.</t>
  </si>
  <si>
    <t>둥용문월드_미션패스_20241023_김선묵</t>
  </si>
  <si>
    <t>이벤트 참여가 불가한 캐릭터입니다.</t>
  </si>
  <si>
    <t>USER_EVENT_CANNOT_PARTICIPATE_CHARACTER</t>
  </si>
  <si>
    <t>USER_EVENT_SYSTEM_ERROR</t>
    <phoneticPr fontId="2" type="noConversion"/>
  </si>
  <si>
    <t>2024.11.26</t>
    <phoneticPr fontId="2" type="noConversion"/>
  </si>
  <si>
    <t>메인넷 Request 에러가 발생하였습니다.</t>
    <phoneticPr fontId="2" type="noConversion"/>
  </si>
  <si>
    <t>MAINNET_REQUEST_FAIL</t>
  </si>
  <si>
    <t>시즌 토큰 관련 에러 메시지</t>
    <phoneticPr fontId="2" type="noConversion"/>
  </si>
  <si>
    <t>메인넷 이용을 위한 Gas 비용이 부족합니다.</t>
    <phoneticPr fontId="2" type="noConversion"/>
  </si>
  <si>
    <t>AINNET_NOT_ENOUGH_WEMIX_COIN</t>
  </si>
  <si>
    <t>시즌 토큰의 발행량이 최대 수량에 도달하였습니다.</t>
    <phoneticPr fontId="2" type="noConversion"/>
  </si>
  <si>
    <t>MAINNET_OVER_MAX_VALUE_SUPPLY</t>
  </si>
  <si>
    <t>시즌 토큰 제작에 실패하였습니다.</t>
  </si>
  <si>
    <t>SEASON_TOKEN_EXCHANGE_FAIL</t>
  </si>
  <si>
    <t>시즌이 종료되어 시즌 토큰 제작에 실패하였습니다.</t>
    <phoneticPr fontId="2" type="noConversion"/>
  </si>
  <si>
    <t>EASON_TOKEN_EXCHANGE_FAIL_END_SEASON</t>
  </si>
  <si>
    <t>재화가 부족하여 시즌 토큰 제작에 실패하였습니다.</t>
  </si>
  <si>
    <t>SEASON_TOKEN_EXCHANGE_FAIL_NOT_ENOUGH_COST</t>
  </si>
  <si>
    <t>재료가 부족하여  시즌 토큰 제작에 실패하였습니다.</t>
  </si>
  <si>
    <t>SEASON_TOKEN_EXCHANGE_FAIL_NOT_ENOUGH_ITEM</t>
  </si>
  <si>
    <t>일일 제작 횟수를 초과하여 시즌 토큰 제작에 실패하였습니다.</t>
  </si>
  <si>
    <t>SEASON_TOKEN_EXCHANGE_FAIL_OVER_MAKE_COUNT</t>
  </si>
  <si>
    <t>시즌 토큰을 아이템으로 교환하는데 실패하였습니다.</t>
  </si>
  <si>
    <t>SEASON_TOKEN_EXCHANGE_ITEM_FAIL</t>
  </si>
  <si>
    <t>시즌 토큰이 부족하여 시즌 토큰을 아이템으로 교환하는데 실패하였습니다.</t>
  </si>
  <si>
    <t>SEASON_TOKEN_EXCHANGE_ITEM_FAIL_NOT_ENOUGH_TOKEN</t>
  </si>
  <si>
    <t>가방의 공간이 부족하여 시즌 토큰을 아이템으로 교환하는데 실패하였습니다.</t>
    <phoneticPr fontId="2" type="noConversion"/>
  </si>
  <si>
    <t>SEASON_TOKEN_EXCHANGE_ITEM_FAIL_FULL_INVEN</t>
  </si>
  <si>
    <t>시즌 토큰 Approve 실패하였습니다.</t>
  </si>
  <si>
    <t>SEASON_TOKEN_APPROVE_FAIL</t>
  </si>
  <si>
    <t>봉인한 서버와 불러오려는 서버가 일치하지 않아서 NFT 불러오기에 실패하였습니다.</t>
    <phoneticPr fontId="2" type="noConversion"/>
  </si>
  <si>
    <t>CHARACTER_NFT_UNSEAL_FAIL_NOT_MATCH_WORLD</t>
  </si>
  <si>
    <t>이미 진행 중인 서명이 있습니다.</t>
    <phoneticPr fontId="2" type="noConversion"/>
  </si>
  <si>
    <t>MAINNET_ALREADY_PROGRESS_SIGNATURE</t>
  </si>
  <si>
    <t>요청한 서명이 없습니다.</t>
    <phoneticPr fontId="2" type="noConversion"/>
  </si>
  <si>
    <t>MAINNET_NOT_REQ_PROGRESS_SIGNATURE</t>
  </si>
  <si>
    <t>2024.12.19</t>
    <phoneticPr fontId="2" type="noConversion"/>
  </si>
  <si>
    <t>2024.12.10</t>
    <phoneticPr fontId="2" type="noConversion"/>
  </si>
  <si>
    <t>월드 링크 서버가 연결되지 않아 서버 이동에 실패하였습니다.</t>
    <phoneticPr fontId="2" type="noConversion"/>
  </si>
  <si>
    <t>SERVER_CHANGE_FAIL_NOT_CONNECTED_WORLDLINK_SERVER</t>
  </si>
  <si>
    <t>서버 이동 및 NFT 실패 관련 에러 메시지 20241203_이선호</t>
    <phoneticPr fontId="2" type="noConversion"/>
  </si>
  <si>
    <t>마력 분해에 실패했습니다. 잠시후 이용해주십시오.</t>
  </si>
  <si>
    <t>ITEM_DISMANTLE_FAIL</t>
  </si>
  <si>
    <t>재료로 등록할 수 없는 아이템 입니다.</t>
  </si>
  <si>
    <t>ITEM_DISMANTLE_FAIL_NOT_EXIST_ITEM</t>
  </si>
  <si>
    <t>존재하지 않는 아이템</t>
  </si>
  <si>
    <t>ITEM_DISMANTLE_FAIL_NOT_MATERIAL_ITEM</t>
  </si>
  <si>
    <t>재료로 등록할수 없는 아이템 (등급or 메인타입)</t>
  </si>
  <si>
    <t>장착중인 장비는 재료로 등록할 수 없습니다.</t>
  </si>
  <si>
    <t>ITEM_DISMANTLE_FAIL_EQUIP_ITEM</t>
  </si>
  <si>
    <t>재료로 등록할수 없는 아이템 (장착중)</t>
  </si>
  <si>
    <t>잠금된 장비는 재료로 등록할 수 없습니다.</t>
  </si>
  <si>
    <t>ITEM_DISMANTLE_FAIL_LOCK_ITEM</t>
  </si>
  <si>
    <t>재료로 등록할수 없는 아이템 (잠금상태)</t>
  </si>
  <si>
    <t>등록된 재료가 목표로 설정된 수량에 도달해 등록할 수 없습니다.</t>
  </si>
  <si>
    <t>ITEM_DISMANTLE_FAIL_OVER_MATERIAL_ITEM</t>
  </si>
  <si>
    <t>재료 분해 슬롯 이상의 아이템을 요청 할수 없음</t>
  </si>
  <si>
    <t>가방의 빈 공간이 부족하여 마력 분해를 이용할 수 없습니다.</t>
  </si>
  <si>
    <t>ITEM_DISMANTLE_FAIL_FULL_INVEN</t>
  </si>
  <si>
    <t>인벤부족</t>
  </si>
  <si>
    <t>비용이 부족해 마력 분해를 이용할 수 없습니다.</t>
  </si>
  <si>
    <t>ITEM_DISMANTLE_FAIL_NOT_ENOUGH_COST</t>
  </si>
  <si>
    <t>재료를 등록해 마력 분해를 이용할 수 있습니다.</t>
  </si>
  <si>
    <t>ITEM_DISMANTLE_FAIL_NOT_ENOUGH_POINT</t>
  </si>
  <si>
    <t>포인트 부족</t>
  </si>
  <si>
    <t>재료를 등록해 마력 분해를 이용할 수 있습니다.(12000099)</t>
  </si>
  <si>
    <t>ITEM_DISMANTLE_FAIL_NOT_ENOUGH_MATERIAL</t>
  </si>
  <si>
    <t>재료 아이템 부족</t>
  </si>
  <si>
    <t>잘못된 신룡강림 데이터입니다.</t>
    <phoneticPr fontId="2" type="noConversion"/>
  </si>
  <si>
    <t>DIVINE_DRAGON_WRONG_TID</t>
    <phoneticPr fontId="2" type="noConversion"/>
  </si>
  <si>
    <t>신룡강림 에러 메시지</t>
    <phoneticPr fontId="2" type="noConversion"/>
  </si>
  <si>
    <t>사용할 수 없는 아이템입니다.</t>
    <phoneticPr fontId="2" type="noConversion"/>
  </si>
  <si>
    <t>DIVINE_DRAGON_CANNOT_USE_ITEM</t>
    <phoneticPr fontId="2" type="noConversion"/>
  </si>
  <si>
    <t>보유하지 않은 아이템입니다.</t>
    <phoneticPr fontId="2" type="noConversion"/>
  </si>
  <si>
    <t>DIVINE_DRAGON_NOT_HAVE_ITEM</t>
    <phoneticPr fontId="2" type="noConversion"/>
  </si>
  <si>
    <t>아이템의 수량이 부족합니다.</t>
    <phoneticPr fontId="2" type="noConversion"/>
  </si>
  <si>
    <t>DIVINE_DRAGON_NOT_ENOUGH_ITEM_COUNT</t>
    <phoneticPr fontId="2" type="noConversion"/>
  </si>
  <si>
    <t>재화의 수량이 부족합니다.</t>
    <phoneticPr fontId="2" type="noConversion"/>
  </si>
  <si>
    <t>DIVINE_DRAGON_NOT_ENOUGH_COST</t>
    <phoneticPr fontId="2" type="noConversion"/>
  </si>
  <si>
    <t>랜덤 옵션의 정보가 없습니다.</t>
    <phoneticPr fontId="2" type="noConversion"/>
  </si>
  <si>
    <t>DIVINE_DRAGON_NOT_INVALID_RANDOM_OPTION</t>
    <phoneticPr fontId="2" type="noConversion"/>
  </si>
  <si>
    <t>랜덤 옵션 생성에 실패하였습니다.</t>
    <phoneticPr fontId="2" type="noConversion"/>
  </si>
  <si>
    <t>DIVINE_DRAGON_CREATE_OPTION_FAILURE</t>
    <phoneticPr fontId="2" type="noConversion"/>
  </si>
  <si>
    <t>적용하지 않은 옵션이 있습니다.</t>
    <phoneticPr fontId="2" type="noConversion"/>
  </si>
  <si>
    <t>DIVINE_DRAGON_EXIST_UNAPPLIED_OPTION</t>
    <phoneticPr fontId="2" type="noConversion"/>
  </si>
  <si>
    <t>적용하지 않은 옵션이 없습니다.</t>
    <phoneticPr fontId="2" type="noConversion"/>
  </si>
  <si>
    <t>DIVINE_DRAGON_NOT_EXIST_UNAPPLIED_OPTION</t>
    <phoneticPr fontId="2" type="noConversion"/>
  </si>
  <si>
    <t>해당 공혈이 없습니다.</t>
    <phoneticPr fontId="2" type="noConversion"/>
  </si>
  <si>
    <t>DIVINE_DRAGON_NOT_EXIST_HOLE</t>
    <phoneticPr fontId="2" type="noConversion"/>
  </si>
  <si>
    <t>잘못된 신룡강림 개방 그룹입니다.</t>
    <phoneticPr fontId="2" type="noConversion"/>
  </si>
  <si>
    <t>DIVINE_DRAGON_WRONG_OPEN_GROUP_ID</t>
    <phoneticPr fontId="2" type="noConversion"/>
  </si>
  <si>
    <t>옵션 선택에 실패하였습니다.</t>
    <phoneticPr fontId="2" type="noConversion"/>
  </si>
  <si>
    <t>DIVINE_DRAGON_OPTION_SELECT_FAILURE</t>
    <phoneticPr fontId="2" type="noConversion"/>
  </si>
  <si>
    <t>옵션 적용에 실패하였습니다.</t>
    <phoneticPr fontId="2" type="noConversion"/>
  </si>
  <si>
    <t>DIVINE_DRAGON_SET_OPTION_FAILURE</t>
    <phoneticPr fontId="2" type="noConversion"/>
  </si>
  <si>
    <t>이전보다 낮은 등급 재료를 사용하여 재개방할 수 없습니다.</t>
  </si>
  <si>
    <t>DIVINE_DRAGON_CANNOT_REOPEN_LOW_GRADE</t>
  </si>
  <si>
    <t>2025.01.07</t>
    <phoneticPr fontId="2" type="noConversion"/>
  </si>
  <si>
    <t>파티 중에는 자동승급을 할 수 없음 // MAGICORB_AUTO_UPGRADE_FAIL_NOT_IN_PARTY</t>
  </si>
  <si>
    <t>MAGICORB_AUTO_UPGRADE_FAIL_NOT_IN_PARTY</t>
  </si>
  <si>
    <t>파티 중에는 자동승급을 할 수 없음</t>
  </si>
  <si>
    <t>합성의 갯수가 너무 많음 // MAGICORB_AUTO_UPGRADE_FAIL_MAX_COUNT</t>
  </si>
  <si>
    <t>MAGICORB_AUTO_UPGRADE_FAIL_MAX_COUNT</t>
  </si>
  <si>
    <t>합성의 갯수가 너무 많음</t>
  </si>
  <si>
    <t>자동 합성하고자 하는 아이템의 uid가 중복으로 들어있음 // MAGICORB_AUTO_UPGRADE_FAIL_DUPLICATION_ITEM_UID</t>
  </si>
  <si>
    <t>MAGICORB_AUTO_UPGRADE_FAIL_DUPLICATION_ITEM_UID</t>
  </si>
  <si>
    <t>자동 합성하고자 하는 아이템의 uid가 중복으로 들어있음</t>
  </si>
  <si>
    <t>자동 합성하고자 하는 아이템의 등급이 높다 // MAGICORB_AUTO_UPGRADE_FAIL_HIGH_GRADE</t>
  </si>
  <si>
    <t>MAGICORB_AUTO_UPGRADE_FAIL_HIGH_GRADE</t>
  </si>
  <si>
    <t>자동 합성하고자 하는 아이템의 등급이 높다</t>
  </si>
  <si>
    <t>파티 중에는 고대신물 자동 승급을 할수 없습니다.</t>
  </si>
  <si>
    <t>ITEM_AUTO_UPGRADE_ANCIENT_TREASURE_NOT_IN_PARTY</t>
  </si>
  <si>
    <t>파티중에 고대신물 자동승급 시도</t>
  </si>
  <si>
    <t>고대신물 자동 승급 요청이 정해진 MAX 요청횟수 이상입니다.</t>
  </si>
  <si>
    <t>ITEM_AUTO_UPGRADE_ANCIENT_REQ_MAX_COUNT</t>
  </si>
  <si>
    <t>고대신물 자동 승급 시 한번에 최대 수량 이상 승급 시도</t>
  </si>
  <si>
    <t>고대신물 자동 승급 요청에 중복된 아이템이 있습니다.</t>
  </si>
  <si>
    <t>ITEM_AUTO_UPGRADE_ANCIENT_DUPLICATION_ITEM_UID</t>
  </si>
  <si>
    <t>고대신물 자동 승급 시, 사용하려는 재료가 중복됨</t>
  </si>
  <si>
    <t>존재 하지 않는 고대신물 아이템 입니다.</t>
  </si>
  <si>
    <t>ITEM_NOT_EXISTS_ANCIENT_TREASURE_ITEM</t>
  </si>
  <si>
    <t>캐릭터가 보유하지 않은 고대신물을 재료로 승급 시도</t>
  </si>
  <si>
    <t>고대 신물아이템이 아닙니다.</t>
  </si>
  <si>
    <t>ITEM_NOT_ANCIENT_TREASURE_ITEM</t>
  </si>
  <si>
    <t>고대신물이 아닌 아이템을 재료로 승급 시도</t>
  </si>
  <si>
    <t>고대신물 자동 승급에 사용할수 없는 아이템 등급입니다.</t>
  </si>
  <si>
    <t>ITEM_AUTO_UPGRADE_ANCIENT_NOT_USE_GRADE</t>
  </si>
  <si>
    <t>자동 승급에서 이용할 수 없는 등급을 목표로 승급 시도</t>
  </si>
  <si>
    <t>해당 국가에서는 결제를 할 수 없습니다.</t>
  </si>
  <si>
    <t>결제 차단 국가에서 결제 시도 시 에러메시지 (30109)</t>
  </si>
  <si>
    <t>능력 발현이 완료되지 않은 아이템은 통합거래소에 등록할 수 없습니다.</t>
  </si>
  <si>
    <t>TRADE_CANNOT_REGISTER_HOLD_PASSIVE_ITEM</t>
  </si>
  <si>
    <t>능력 발현</t>
  </si>
  <si>
    <t>능력 발현이 완료되지 않은 아이템은 개인창고로 이동할 수 없습니다.</t>
  </si>
  <si>
    <t>ITEM_STORAGE_SAVE_FAIL_HOLD_PASSIVE_ITEM</t>
  </si>
  <si>
    <t>개인창고_에러메시지_250305_임재현</t>
  </si>
  <si>
    <t>용재련할 수 없는 등급입니다.</t>
  </si>
  <si>
    <t>ITEM_REFINE_NOT_GRADE</t>
  </si>
  <si>
    <t>용재련할 수 없는 아이템을 용재련 시도</t>
  </si>
  <si>
    <t>기원 재료 갯수가 다릅니다.</t>
  </si>
  <si>
    <t>ITEM_PRAY_DIFF_MATERIAL_COUNT</t>
  </si>
  <si>
    <t>기원 재료 수량이 맞지 않는 상태로 기원 시도</t>
  </si>
  <si>
    <t>기원 재료 아이템이 존재 하지 않습니다.</t>
  </si>
  <si>
    <t>ITEM_PRAY_NOT_EXIST_MATERIAL_ITEM</t>
  </si>
  <si>
    <t>존재하지 않는 아이템을 기원 재료로 기원 시도</t>
  </si>
  <si>
    <t>기원 보너스 정보가 존재 하지 않습니다.</t>
  </si>
  <si>
    <t>ITEM_PRAY_NOT_BONUS_DATA</t>
  </si>
  <si>
    <t>기원 신룡의 약속이 없는 상태로 신룡의 약속 시도</t>
  </si>
  <si>
    <t>각성 가능한 아이템이 아닙니다.</t>
  </si>
  <si>
    <t>ITEM_MYTHIC_AWAKEN_NOT_ITEM</t>
  </si>
  <si>
    <t>각성 가능한 아이템을 각성 시도</t>
  </si>
  <si>
    <t>능력 발현 가능한 아이템이 아닙니다.</t>
  </si>
  <si>
    <t>ITEM_RANDOM_PASSIVE_NOT_ITEM</t>
  </si>
  <si>
    <t>능력 발현 불가능한 아이템을 능력발현 시도</t>
  </si>
  <si>
    <t>미결정된 랜덤 패시브 데이터가 존재 하지 않습니다.</t>
  </si>
  <si>
    <t>ITEM_RANDOM_PASSIVE_NOT_HOLD_DATA</t>
  </si>
  <si>
    <t>능력 발현 결과가 없는 아이템에 적용 시도</t>
  </si>
  <si>
    <t>2025.04.24</t>
    <phoneticPr fontId="2" type="noConversion"/>
  </si>
  <si>
    <t>2025.06.24</t>
    <phoneticPr fontId="2" type="noConversion"/>
  </si>
  <si>
    <t>초식이 중복되어 등록할 수 없습니다.</t>
    <phoneticPr fontId="2" type="noConversion"/>
  </si>
  <si>
    <t xml:space="preserve">COLLECTION_DUPLICATE_DATA_CAN_NOT_BE_REGISTERED	</t>
    <phoneticPr fontId="2" type="noConversion"/>
  </si>
  <si>
    <t>중복된 데이터는 보감 등록 할 수 없다</t>
  </si>
  <si>
    <t>초식에 등록할 수 있는 아이템 개수를 초과하였습니다.</t>
    <phoneticPr fontId="2" type="noConversion"/>
  </si>
  <si>
    <t>COLLECTION_CAN_NOT_REGISTERED_MAXIMUM_ALLOWABLE_LIMIT</t>
    <phoneticPr fontId="2" type="noConversion"/>
  </si>
  <si>
    <t>최대 등록 가능 개수 이상의 아이템을 등록 할 수 없다</t>
  </si>
  <si>
    <t>등록 아이템의 초식 정보가 맞지 않습니다.</t>
    <phoneticPr fontId="2" type="noConversion"/>
  </si>
  <si>
    <t>COLLECTION_REGISTERED_ITEM_SLOT_MISSMATCH</t>
    <phoneticPr fontId="2" type="noConversion"/>
  </si>
  <si>
    <t>등록 아이템의 슬롯 정보가 맞지 않는다</t>
  </si>
  <si>
    <t>중첩할 수 있는 아이템이 아니어서 등록할 수 없습니다.</t>
    <phoneticPr fontId="2" type="noConversion"/>
  </si>
  <si>
    <t>COLLECTION_REGISTERED_NOT_STACK_ITEM</t>
    <phoneticPr fontId="2" type="noConversion"/>
  </si>
  <si>
    <t>등록 아이템이 스택 아이템이 아니다</t>
  </si>
  <si>
    <t>중첩할 수 있는 개수가 0이어서 등록할 수 없습니다.</t>
    <phoneticPr fontId="2" type="noConversion"/>
  </si>
  <si>
    <r>
      <t>COLLE</t>
    </r>
    <r>
      <rPr>
        <b/>
        <sz val="9"/>
        <color theme="1"/>
        <rFont val="맑은 고딕"/>
        <family val="3"/>
        <charset val="129"/>
        <scheme val="minor"/>
      </rPr>
      <t>C</t>
    </r>
    <r>
      <rPr>
        <sz val="9"/>
        <color theme="1"/>
        <rFont val="맑은 고딕"/>
        <family val="2"/>
        <charset val="129"/>
        <scheme val="minor"/>
      </rPr>
      <t>TION_CANNOT_REGISTER_STACK_COUNT_ZERO</t>
    </r>
    <phoneticPr fontId="2" type="noConversion"/>
  </si>
  <si>
    <t>등록 스택 카운트가 0인 아이템은 등록 할 수 없다</t>
  </si>
  <si>
    <t>장경각을 이용할 수 없는 레벨입니다.</t>
    <phoneticPr fontId="2" type="noConversion"/>
  </si>
  <si>
    <t>COLLECTION_LEVEL_REQUIREMENT_NOT_MET_FOR_CONTENT_USE</t>
  </si>
  <si>
    <t>장경각 사용 가능 레벨 제한 조건을 충족하지 못함</t>
  </si>
  <si>
    <t>가방에 빈 공간이 없어 보상을 받을 수 없습니다.</t>
  </si>
  <si>
    <t>SCRIPTUREHALL_COLLECTION_NOT_ENOUGH_INVEN_COUNT</t>
  </si>
  <si>
    <t>장경각 보상 획득 시 인벤이 부족하다</t>
  </si>
  <si>
    <t>2025.05.22</t>
    <phoneticPr fontId="2" type="noConversion"/>
  </si>
  <si>
    <t>무극도 앞 던전 클리어 조건 실패</t>
    <phoneticPr fontId="2" type="noConversion"/>
  </si>
  <si>
    <t>PARTY_INFINITE_PREVIOUS_STAGE_CONDITION_FAIL</t>
    <phoneticPr fontId="2" type="noConversion"/>
  </si>
  <si>
    <t>무극도 선행 던전 완료 하지 않은 상태</t>
    <phoneticPr fontId="2" type="noConversion"/>
  </si>
  <si>
    <t>서버에서 연결을 종료하였습니다.</t>
  </si>
  <si>
    <t>유저 Kick</t>
  </si>
  <si>
    <t>유저 Kick - 허용되지 않은 프로그램 사용</t>
  </si>
  <si>
    <t>2025.07.03</t>
  </si>
  <si>
    <t>2025.06.24</t>
  </si>
  <si>
    <t>COMMON_KICK_USER</t>
  </si>
  <si>
    <t>허용되지 않은 프로그램을 감지했습니다. 백그라운드에서 실행 중인 불필요 또는 불법 프로그램이 없는지 확인하십시오. 문제가 해결되지 않을 경우, MIR4를 다시 설치하십시오.</t>
  </si>
  <si>
    <t>COMMON_KICK_USER_NOT_PERMITTED_PROGRAM</t>
  </si>
  <si>
    <t>2025.07.03</t>
    <phoneticPr fontId="2" type="noConversion"/>
  </si>
  <si>
    <t>허용되지 않은 프로그램을 감지했습니다.</t>
    <phoneticPr fontId="2" type="noConversion"/>
  </si>
  <si>
    <t>COMMON_HACK_CHECK_USER</t>
  </si>
  <si>
    <t>핵체크가 된 유저</t>
  </si>
  <si>
    <t>&lt;span color="#98CCFE"&gt;{1}&lt;/&gt;님은 아직 해당 관문이 개방되지 않아, 참가가 불가능합니다.</t>
    <phoneticPr fontId="2" type="noConversion"/>
  </si>
  <si>
    <t xml:space="preserve">PARTY_INVITE_INFINITE_PREVIOUS_STAGE_CONDITION_FAIL </t>
    <phoneticPr fontId="2" type="noConversion"/>
  </si>
  <si>
    <t>무극도 선행 던전 완료 하지 않은 상태의 유저 초대 할때</t>
    <phoneticPr fontId="2" type="noConversion"/>
  </si>
  <si>
    <t>2025.07.17</t>
    <phoneticPr fontId="2" type="noConversion"/>
  </si>
  <si>
    <t>2025.09.02</t>
    <phoneticPr fontId="2" type="noConversion"/>
  </si>
  <si>
    <t>생사곡 내부에서는 사용할 수 없는 기능입니다.</t>
  </si>
  <si>
    <t>DEADVALLEY_ERROR_NOT_AVAILABLE</t>
  </si>
  <si>
    <t>2025.08.19</t>
  </si>
  <si>
    <t>선택한 상품을 구매할 수 없는 직업입니다.</t>
  </si>
  <si>
    <t>SHOP_LIMIT_CLASS</t>
  </si>
  <si>
    <t>레드마인: 114950_상점_클래스_구매_제한_김선묵</t>
  </si>
  <si>
    <t>선택한 대상은 선물을 할 수 없는 직업입니다.</t>
  </si>
  <si>
    <t>CASH_BAG_GIFT_ERR_SEND_TO_CLASS</t>
  </si>
  <si>
    <t>2025.08.14</t>
  </si>
  <si>
    <t>2025.09.16</t>
  </si>
  <si>
    <t>가방 저장 공간이 부족하여 특수강화를 할 수 없습니다.</t>
  </si>
  <si>
    <t>ITEM_TRANCE_FAIL_FULL_INVEN</t>
  </si>
  <si>
    <t>레드마인: 115376_특수강화_20250610_김선묵</t>
  </si>
  <si>
    <t>승화단을 이용할수 없는 지역입니다.</t>
  </si>
  <si>
    <t>ITEM_CANNOT_MAKE_LOFTY_STAGE</t>
  </si>
  <si>
    <t>승화단시스템_김선묵</t>
  </si>
  <si>
    <t>승화단을 이용 조건을 충족하지 않았습니다.</t>
  </si>
  <si>
    <t>ITEM_CANNOT_MAKE_LOFTY</t>
  </si>
  <si>
    <t>승화단 재료 등급이 조건이 맞지 않습니다.</t>
  </si>
  <si>
    <t>ITEM_MATERIAL_GRADE_ERROR</t>
  </si>
  <si>
    <t>승화단 재료 티어 조건이 맞지 않습니다.</t>
  </si>
  <si>
    <t>ITEM_MATERIAL_TIER_ERROR</t>
  </si>
  <si>
    <t>승화단 재료 아이템 조건이 맞지 않습니다.</t>
  </si>
  <si>
    <t>ITEM_MATERIAL_MAIN_TYPE_ERROR</t>
  </si>
  <si>
    <t>ITEM_MATERIAL_SUB_TYPE_ERROR</t>
  </si>
  <si>
    <t>재료 아이템 수량이 부족합니다.</t>
  </si>
  <si>
    <t>ITEM_DIFF_MATERIAL_COUNT</t>
  </si>
  <si>
    <t>2025.11.20</t>
    <phoneticPr fontId="2" type="noConversion"/>
  </si>
  <si>
    <t>2025.12.09</t>
    <phoneticPr fontId="2" type="noConversion"/>
  </si>
  <si>
    <t>공명을 보유하지 않은 장비입니다.</t>
    <phoneticPr fontId="2" type="noConversion"/>
  </si>
  <si>
    <t xml:space="preserve">ITEM_NOT_HOLE_COUNT </t>
  </si>
  <si>
    <t>혼원구멍이 없습니다.</t>
  </si>
  <si>
    <t>유효하지 않은 혼원 슬롯  입니다.</t>
    <phoneticPr fontId="2" type="noConversion"/>
  </si>
  <si>
    <t>ITEM_INVALID_HOLE_SLOT</t>
  </si>
  <si>
    <t>유효하지 않는 홀원 슬롯 입니다.</t>
  </si>
  <si>
    <t>선택 대기 중인 혼원 능력치 정보가 없습니다.</t>
    <phoneticPr fontId="2" type="noConversion"/>
  </si>
  <si>
    <t>ITEM_NOT_HOLD_HOLE_OPTIOM_INFO</t>
  </si>
  <si>
    <t>선택대기중인 홀원 정보가 없습니다.</t>
  </si>
  <si>
    <t>계승에서 사용할 수 없는 장비입니다.</t>
    <phoneticPr fontId="2" type="noConversion"/>
  </si>
  <si>
    <t>ITEM_NOT_HOLE_INHERITANCE_ITEM</t>
  </si>
  <si>
    <t>혼원 계승 아이템이 아닙니다.</t>
    <phoneticPr fontId="2" type="noConversion"/>
  </si>
  <si>
    <t>계승 재료의 공명 개수가 부족합니다.</t>
    <phoneticPr fontId="2" type="noConversion"/>
  </si>
  <si>
    <t>ITEM_SMALL_HOLE_COUNT</t>
  </si>
  <si>
    <t>혼원 계승 재료의 혼원 갯수가 작습니다.</t>
    <phoneticPr fontId="2" type="noConversion"/>
  </si>
  <si>
    <t>혼원이 완료되지 않은 아이템은 개인창고로 이동할 수 없습니다.</t>
    <phoneticPr fontId="2" type="noConversion"/>
  </si>
  <si>
    <t>ITEM_STORAGE_SAVE_FAIL_HOLD_HOLE_OPTION_ITEM</t>
  </si>
  <si>
    <t>개인창고_에러메시지_251105_이선호</t>
    <phoneticPr fontId="2" type="noConversion"/>
  </si>
  <si>
    <t>혼원이 완료되지 않은 아이템은 거래소에 등록할 수 없습니다.</t>
  </si>
  <si>
    <t>TRADE_CANNOT_REGISTER_HOLD_HOLE_OPTIONING_ITEM</t>
  </si>
  <si>
    <t>등록시 미결정된 홀원 옵션이 있을경우 등록할수 없습니다.</t>
  </si>
  <si>
    <r>
      <rPr>
        <sz val="9"/>
        <color rgb="FF333333"/>
        <rFont val="맑은 고딕"/>
        <family val="2"/>
        <charset val="129"/>
      </rPr>
      <t>마령주 옵션감정이 완료되지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않은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아이템은</t>
    </r>
    <r>
      <rPr>
        <sz val="9"/>
        <color rgb="FF333333"/>
        <rFont val="Verdana"/>
        <family val="2"/>
      </rPr>
      <t xml:space="preserve"> XDRACO </t>
    </r>
    <r>
      <rPr>
        <sz val="9"/>
        <color rgb="FF333333"/>
        <rFont val="맑은 고딕"/>
        <family val="2"/>
        <charset val="129"/>
      </rPr>
      <t>창고로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이동할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수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없습니다</t>
    </r>
    <r>
      <rPr>
        <sz val="9"/>
        <color rgb="FF333333"/>
        <rFont val="Verdana"/>
        <family val="2"/>
      </rPr>
      <t>.</t>
    </r>
    <phoneticPr fontId="2" type="noConversion"/>
  </si>
  <si>
    <t>ITEM_XDRACO_STORAGE_SAVE_FAIL_MAGICORB_OPTIONING_ITEM</t>
  </si>
  <si>
    <t>보패 각인이 완료되지 않은 아이템은 XDRACO 창고로 이동할 수 없습니다.</t>
    <phoneticPr fontId="2" type="noConversion"/>
  </si>
  <si>
    <t>ITEM_XDRACO_STORAGE_SAVE_FAIL_STAMP_OPTIONING_ITEM</t>
  </si>
  <si>
    <r>
      <rPr>
        <sz val="9"/>
        <color rgb="FF333333"/>
        <rFont val="맑은 고딕"/>
        <family val="2"/>
        <charset val="129"/>
      </rPr>
      <t>능력발현이 완료되지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않은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아이템은</t>
    </r>
    <r>
      <rPr>
        <sz val="9"/>
        <color rgb="FF333333"/>
        <rFont val="Verdana"/>
        <family val="2"/>
      </rPr>
      <t xml:space="preserve"> XDRACO </t>
    </r>
    <r>
      <rPr>
        <sz val="9"/>
        <color rgb="FF333333"/>
        <rFont val="맑은 고딕"/>
        <family val="2"/>
        <charset val="129"/>
      </rPr>
      <t>창고로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이동할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수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없습니다</t>
    </r>
    <r>
      <rPr>
        <sz val="9"/>
        <color rgb="FF333333"/>
        <rFont val="Verdana"/>
        <family val="2"/>
      </rPr>
      <t>.</t>
    </r>
    <phoneticPr fontId="2" type="noConversion"/>
  </si>
  <si>
    <t>ITEM_XDRACO_STORAGE_SAVE_FAIL_PASSIVE_ITEM</t>
  </si>
  <si>
    <r>
      <rPr>
        <sz val="9"/>
        <color rgb="FF333333"/>
        <rFont val="맑은 고딕"/>
        <family val="2"/>
        <charset val="129"/>
      </rPr>
      <t>혼원이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완료되지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않은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아이템은</t>
    </r>
    <r>
      <rPr>
        <sz val="9"/>
        <color rgb="FF333333"/>
        <rFont val="Verdana"/>
        <family val="2"/>
      </rPr>
      <t xml:space="preserve"> XDRACO </t>
    </r>
    <r>
      <rPr>
        <sz val="9"/>
        <color rgb="FF333333"/>
        <rFont val="맑은 고딕"/>
        <family val="2"/>
        <charset val="129"/>
      </rPr>
      <t>창고로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이동할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수</t>
    </r>
    <r>
      <rPr>
        <sz val="9"/>
        <color rgb="FF333333"/>
        <rFont val="Verdana"/>
        <family val="2"/>
      </rPr>
      <t xml:space="preserve"> </t>
    </r>
    <r>
      <rPr>
        <sz val="9"/>
        <color rgb="FF333333"/>
        <rFont val="맑은 고딕"/>
        <family val="2"/>
        <charset val="129"/>
      </rPr>
      <t>없습니다</t>
    </r>
    <r>
      <rPr>
        <sz val="9"/>
        <color rgb="FF333333"/>
        <rFont val="Verdana"/>
        <family val="2"/>
      </rPr>
      <t>.</t>
    </r>
    <phoneticPr fontId="2" type="noConversion"/>
  </si>
  <si>
    <t>ITEM_XDRACO_STORAGE_SAVE_FAIL_HOLE_OPTIONING_ITEM</t>
  </si>
  <si>
    <t>선택한 정령 슬롯이 열리지 않았습니다.</t>
  </si>
  <si>
    <t>PET_NOT_OPEN_EXTEND_SLOT</t>
  </si>
  <si>
    <t>정령 슬롯 확장에 실패했습니다.</t>
  </si>
  <si>
    <t>PET_SLOT_EXTEND_FAIL</t>
  </si>
  <si>
    <t>이전 정령 슬롯이 열리지 않아 현재 정령 슬롯을 오픈할 수 없습니다.</t>
  </si>
  <si>
    <t>PET_SLOT_EXTEND_FAIL_NOT_OPEN_PREVIOUS</t>
  </si>
  <si>
    <t>재료 아이템이 부족하여 정령 슬롯을 오픈할 수 없습니다.</t>
  </si>
  <si>
    <t>PET_SLOT_EXTEND_FAIL_NOT_ENOUGH_ITEM</t>
  </si>
  <si>
    <t>잘못된 정령 슬롯입니다.</t>
  </si>
  <si>
    <t>PET_SLOT_EXTEND_FAIL_WRON_SLOT_ID</t>
  </si>
  <si>
    <t>// 확장 슬롯이 열리지 않은 상태.</t>
  </si>
  <si>
    <t>// 펫슬롯 확장 실패 - 시스템 실패.</t>
  </si>
  <si>
    <t>// 펫슬롯 확장 실패 - 이전 확장 슬롯이 열리지 않은 상태.</t>
  </si>
  <si>
    <t>// 펫슬롯 확장 실패 - 아이템 부족</t>
  </si>
  <si>
    <t>// 펫슬롯 확장 실패 - 잘못된 슬롯 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</si>
</sst>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5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rgb="FF333333"/>
      <name val="Verdana"/>
      <family val="2"/>
    </font>
    <font>
      <sz val="9"/>
      <color theme="1"/>
      <name val="맑은 고딕"/>
      <family val="3"/>
      <charset val="129"/>
      <scheme val="minor"/>
    </font>
    <font>
      <sz val="9"/>
      <color rgb="FF333333"/>
      <name val="맑은 고딕"/>
      <family val="3"/>
      <charset val="129"/>
    </font>
    <font>
      <sz val="9"/>
      <color rgb="FF333333"/>
      <name val="맑은 고딕"/>
      <family val="3"/>
      <charset val="129"/>
      <scheme val="major"/>
    </font>
    <font>
      <sz val="9"/>
      <color rgb="FF333333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9"/>
      <color rgb="FF000000"/>
      <name val="Arial"/>
      <family val="2"/>
    </font>
    <font>
      <sz val="9"/>
      <color theme="1"/>
      <name val="맑은 고딕"/>
      <family val="3"/>
      <charset val="129"/>
    </font>
    <font>
      <sz val="9"/>
      <color theme="1"/>
      <name val="Arial"/>
      <family val="2"/>
    </font>
    <font>
      <sz val="9"/>
      <color theme="1"/>
      <name val="Arial"/>
      <family val="3"/>
      <charset val="129"/>
    </font>
    <font>
      <sz val="9"/>
      <color theme="1"/>
      <name val="Arial"/>
      <family val="3"/>
    </font>
    <font>
      <sz val="9"/>
      <color theme="1"/>
      <name val="Arial"/>
      <family val="2"/>
      <charset val="129"/>
    </font>
    <font>
      <sz val="9"/>
      <color theme="1"/>
      <name val="돋움"/>
      <family val="2"/>
      <charset val="129"/>
    </font>
    <font>
      <sz val="9"/>
      <color rgb="FF333333"/>
      <name val="맑은 고딕"/>
      <family val="2"/>
      <charset val="129"/>
    </font>
    <font>
      <sz val="11"/>
      <color rgb="FF333333"/>
      <name val="Arial"/>
      <family val="2"/>
    </font>
    <font>
      <sz val="11"/>
      <color rgb="FFFF0029"/>
      <name val="Arial"/>
      <family val="2"/>
    </font>
    <font>
      <sz val="11"/>
      <color rgb="FF3399FF"/>
      <name val="Arial"/>
      <family val="2"/>
    </font>
    <font>
      <sz val="11"/>
      <color rgb="FF333333"/>
      <name val="맑은 고딕"/>
      <family val="3"/>
      <charset val="129"/>
    </font>
    <font>
      <sz val="11"/>
      <color rgb="FFFF0029"/>
      <name val="맑은 고딕"/>
      <family val="3"/>
      <charset val="129"/>
    </font>
    <font>
      <sz val="11"/>
      <color rgb="FF3399FF"/>
      <name val="맑은 고딕"/>
      <family val="3"/>
      <charset val="129"/>
    </font>
    <font>
      <sz val="11"/>
      <color rgb="FF333333"/>
      <name val="Arial"/>
      <family val="3"/>
      <charset val="129"/>
    </font>
    <font>
      <sz val="11"/>
      <color rgb="FF333333"/>
      <name val="Arial Unicode MS"/>
      <family val="2"/>
      <charset val="129"/>
    </font>
    <font>
      <sz val="11"/>
      <color rgb="FF333333"/>
      <name val="Arial"/>
      <family val="2"/>
      <charset val="129"/>
    </font>
    <font>
      <sz val="10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  <charset val="129"/>
    </font>
    <font>
      <sz val="10"/>
      <color rgb="FF000000"/>
      <name val="맑은 고딕"/>
      <family val="3"/>
      <charset val="129"/>
      <scheme val="minor"/>
    </font>
    <font>
      <sz val="9"/>
      <color rgb="FF333333"/>
      <name val="Verdana"/>
      <family val="3"/>
      <charset val="129"/>
    </font>
    <font>
      <sz val="9"/>
      <color rgb="FF333333"/>
      <name val="Verdana"/>
      <family val="2"/>
      <charset val="129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75CCB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thin">
        <color theme="0" tint="-0.24994659260841701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theme="0" tint="-0.24994659260841701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13" fillId="0" borderId="13" applyNumberFormat="0" applyFill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8" borderId="15" applyNumberFormat="0" applyAlignment="0" applyProtection="0">
      <alignment vertical="center"/>
    </xf>
    <xf numFmtId="0" fontId="19" fillId="19" borderId="16" applyNumberFormat="0" applyAlignment="0" applyProtection="0">
      <alignment vertical="center"/>
    </xf>
    <xf numFmtId="0" fontId="20" fillId="19" borderId="15" applyNumberFormat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9" fillId="20" borderId="18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21" borderId="19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4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</cellStyleXfs>
  <cellXfs count="46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3" fillId="6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 vertical="center"/>
    </xf>
    <xf numFmtId="0" fontId="3" fillId="8" borderId="0" xfId="0" applyFont="1" applyFill="1" applyAlignment="1">
      <alignment horizontal="right" vertical="center"/>
    </xf>
    <xf numFmtId="0" fontId="7" fillId="0" borderId="0" xfId="0" applyFont="1">
      <alignment vertical="center"/>
    </xf>
    <xf numFmtId="0" fontId="0" fillId="12" borderId="6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8" xfId="0" applyFill="1" applyBorder="1">
      <alignment vertical="center"/>
    </xf>
    <xf numFmtId="0" fontId="7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/>
    <xf numFmtId="0" fontId="6" fillId="0" borderId="1" xfId="0" applyFont="1" applyBorder="1" applyAlignment="1"/>
    <xf numFmtId="0" fontId="7" fillId="14" borderId="1" xfId="0" applyFont="1" applyFill="1" applyBorder="1">
      <alignment vertical="center"/>
    </xf>
    <xf numFmtId="0" fontId="7" fillId="14" borderId="1" xfId="0" applyFont="1" applyFill="1" applyBorder="1" applyAlignment="1"/>
    <xf numFmtId="0" fontId="6" fillId="14" borderId="1" xfId="0" applyFont="1" applyFill="1" applyBorder="1" applyAlignment="1"/>
    <xf numFmtId="0" fontId="9" fillId="13" borderId="9" xfId="0" applyFont="1" applyFill="1" applyBorder="1">
      <alignment vertical="center"/>
    </xf>
    <xf numFmtId="0" fontId="9" fillId="13" borderId="10" xfId="0" applyFont="1" applyFill="1" applyBorder="1">
      <alignment vertical="center"/>
    </xf>
    <xf numFmtId="0" fontId="9" fillId="13" borderId="11" xfId="0" applyFont="1" applyFill="1" applyBorder="1">
      <alignment vertical="center"/>
    </xf>
    <xf numFmtId="0" fontId="0" fillId="12" borderId="9" xfId="0" applyFill="1" applyBorder="1">
      <alignment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/>
    <xf numFmtId="0" fontId="7" fillId="4" borderId="0" xfId="0" applyFont="1" applyFill="1">
      <alignment vertical="center"/>
    </xf>
    <xf numFmtId="0" fontId="0" fillId="4" borderId="0" xfId="0" applyFill="1">
      <alignment vertical="center"/>
    </xf>
    <xf numFmtId="0" fontId="6" fillId="0" borderId="1" xfId="0" applyFont="1" applyBorder="1">
      <alignment vertical="center"/>
    </xf>
    <xf numFmtId="0" fontId="27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27" fillId="4" borderId="1" xfId="0" applyFont="1" applyFill="1" applyBorder="1">
      <alignment vertical="center"/>
    </xf>
    <xf numFmtId="0" fontId="6" fillId="0" borderId="4" xfId="0" applyFont="1" applyBorder="1">
      <alignment vertical="center"/>
    </xf>
    <xf numFmtId="0" fontId="6" fillId="46" borderId="1" xfId="0" applyFont="1" applyFill="1" applyBorder="1">
      <alignment vertical="center"/>
    </xf>
    <xf numFmtId="0" fontId="6" fillId="0" borderId="1" xfId="0" applyFont="1" applyBorder="1" applyAlignment="1">
      <alignment horizontal="right" vertical="center"/>
    </xf>
    <xf numFmtId="0" fontId="6" fillId="0" borderId="26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23" xfId="0" applyFont="1" applyBorder="1">
      <alignment vertical="center"/>
    </xf>
    <xf numFmtId="0" fontId="6" fillId="0" borderId="0" xfId="0" applyFont="1">
      <alignment vertical="center"/>
    </xf>
    <xf numFmtId="0" fontId="26" fillId="0" borderId="1" xfId="0" applyFont="1" applyBorder="1">
      <alignment vertical="center"/>
    </xf>
    <xf numFmtId="0" fontId="6" fillId="0" borderId="0" xfId="0" applyFont="1" applyAlignment="1"/>
    <xf numFmtId="0" fontId="6" fillId="46" borderId="4" xfId="0" applyFont="1" applyFill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27" fillId="0" borderId="1" xfId="0" applyFont="1" applyBorder="1" applyAlignment="1">
      <alignment vertical="center" wrapText="1"/>
    </xf>
    <xf numFmtId="0" fontId="6" fillId="47" borderId="1" xfId="0" applyFont="1" applyFill="1" applyBorder="1" applyAlignment="1">
      <alignment horizontal="right" vertical="center"/>
    </xf>
    <xf numFmtId="0" fontId="6" fillId="0" borderId="34" xfId="0" applyFont="1" applyBorder="1">
      <alignment vertical="center"/>
    </xf>
    <xf numFmtId="0" fontId="6" fillId="0" borderId="37" xfId="0" applyFont="1" applyBorder="1">
      <alignment vertical="center"/>
    </xf>
    <xf numFmtId="0" fontId="6" fillId="0" borderId="29" xfId="0" applyFont="1" applyBorder="1">
      <alignment vertical="center"/>
    </xf>
    <xf numFmtId="0" fontId="6" fillId="0" borderId="39" xfId="0" applyFont="1" applyBorder="1">
      <alignment vertical="center"/>
    </xf>
    <xf numFmtId="0" fontId="27" fillId="0" borderId="39" xfId="0" applyFont="1" applyBorder="1" applyAlignment="1">
      <alignment vertical="center" wrapText="1"/>
    </xf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42" xfId="0" applyFont="1" applyBorder="1" applyAlignment="1"/>
    <xf numFmtId="0" fontId="6" fillId="0" borderId="44" xfId="0" applyFont="1" applyBorder="1" applyAlignment="1"/>
    <xf numFmtId="0" fontId="6" fillId="0" borderId="4" xfId="0" applyFont="1" applyBorder="1" applyAlignment="1">
      <alignment horizontal="left" vertical="center" wrapText="1"/>
    </xf>
    <xf numFmtId="0" fontId="27" fillId="0" borderId="4" xfId="0" applyFont="1" applyBorder="1" applyAlignment="1">
      <alignment vertical="center" wrapText="1"/>
    </xf>
    <xf numFmtId="0" fontId="6" fillId="0" borderId="31" xfId="0" applyFont="1" applyBorder="1" applyAlignment="1">
      <alignment horizontal="left" vertical="center" wrapText="1"/>
    </xf>
    <xf numFmtId="0" fontId="27" fillId="0" borderId="31" xfId="0" applyFont="1" applyBorder="1" applyAlignment="1">
      <alignment vertical="center" wrapText="1"/>
    </xf>
    <xf numFmtId="0" fontId="6" fillId="0" borderId="55" xfId="0" applyFont="1" applyBorder="1" applyAlignment="1">
      <alignment horizontal="left" vertical="center" wrapText="1"/>
    </xf>
    <xf numFmtId="0" fontId="6" fillId="0" borderId="57" xfId="0" applyFont="1" applyBorder="1" applyAlignment="1">
      <alignment horizontal="left" vertical="center" wrapText="1"/>
    </xf>
    <xf numFmtId="0" fontId="6" fillId="0" borderId="32" xfId="0" applyFont="1" applyBorder="1" applyAlignment="1">
      <alignment horizontal="left" vertical="center" wrapText="1"/>
    </xf>
    <xf numFmtId="0" fontId="27" fillId="0" borderId="32" xfId="0" applyFont="1" applyBorder="1" applyAlignment="1">
      <alignment vertical="center" wrapText="1"/>
    </xf>
    <xf numFmtId="0" fontId="6" fillId="0" borderId="59" xfId="0" applyFont="1" applyBorder="1" applyAlignment="1">
      <alignment horizontal="left" vertical="center" wrapText="1"/>
    </xf>
    <xf numFmtId="0" fontId="6" fillId="0" borderId="41" xfId="0" applyFont="1" applyBorder="1" applyAlignment="1">
      <alignment horizontal="left" vertical="center" wrapText="1"/>
    </xf>
    <xf numFmtId="0" fontId="27" fillId="0" borderId="41" xfId="0" applyFont="1" applyBorder="1" applyAlignment="1">
      <alignment vertical="center" wrapText="1"/>
    </xf>
    <xf numFmtId="0" fontId="6" fillId="0" borderId="42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0" fontId="27" fillId="0" borderId="21" xfId="0" applyFont="1" applyBorder="1" applyAlignment="1">
      <alignment vertical="center" wrapText="1"/>
    </xf>
    <xf numFmtId="0" fontId="6" fillId="0" borderId="45" xfId="0" applyFont="1" applyBorder="1" applyAlignment="1">
      <alignment horizontal="left" vertical="center" wrapText="1"/>
    </xf>
    <xf numFmtId="0" fontId="27" fillId="0" borderId="45" xfId="0" applyFont="1" applyBorder="1" applyAlignment="1">
      <alignment vertical="center" wrapText="1"/>
    </xf>
    <xf numFmtId="0" fontId="6" fillId="0" borderId="61" xfId="0" applyFont="1" applyBorder="1" applyAlignment="1">
      <alignment horizontal="left" vertical="center" wrapText="1"/>
    </xf>
    <xf numFmtId="0" fontId="6" fillId="0" borderId="63" xfId="0" applyFont="1" applyBorder="1" applyAlignment="1">
      <alignment horizontal="left" vertical="center" wrapText="1"/>
    </xf>
    <xf numFmtId="0" fontId="6" fillId="0" borderId="65" xfId="0" applyFont="1" applyBorder="1" applyAlignment="1">
      <alignment horizontal="left" vertical="center" wrapText="1"/>
    </xf>
    <xf numFmtId="0" fontId="27" fillId="0" borderId="65" xfId="0" applyFont="1" applyBorder="1" applyAlignment="1">
      <alignment vertical="center" wrapText="1"/>
    </xf>
    <xf numFmtId="0" fontId="6" fillId="0" borderId="66" xfId="0" applyFont="1" applyBorder="1" applyAlignment="1">
      <alignment horizontal="left" vertical="center" wrapText="1"/>
    </xf>
    <xf numFmtId="0" fontId="6" fillId="0" borderId="31" xfId="0" applyFont="1" applyBorder="1">
      <alignment vertical="center"/>
    </xf>
    <xf numFmtId="0" fontId="6" fillId="0" borderId="32" xfId="0" applyFont="1" applyBorder="1">
      <alignment vertical="center"/>
    </xf>
    <xf numFmtId="0" fontId="6" fillId="0" borderId="40" xfId="0" applyFont="1" applyBorder="1">
      <alignment vertical="center"/>
    </xf>
    <xf numFmtId="0" fontId="6" fillId="0" borderId="41" xfId="0" applyFont="1" applyBorder="1">
      <alignment vertical="center"/>
    </xf>
    <xf numFmtId="0" fontId="6" fillId="0" borderId="41" xfId="0" applyFont="1" applyBorder="1" applyAlignment="1">
      <alignment horizontal="right" vertical="center"/>
    </xf>
    <xf numFmtId="0" fontId="6" fillId="0" borderId="21" xfId="0" applyFont="1" applyBorder="1">
      <alignment vertical="center"/>
    </xf>
    <xf numFmtId="0" fontId="6" fillId="0" borderId="61" xfId="0" applyFont="1" applyBorder="1" applyAlignment="1"/>
    <xf numFmtId="0" fontId="6" fillId="0" borderId="59" xfId="0" applyFont="1" applyBorder="1" applyAlignment="1"/>
    <xf numFmtId="0" fontId="6" fillId="0" borderId="27" xfId="0" applyFont="1" applyBorder="1" applyAlignment="1"/>
    <xf numFmtId="0" fontId="6" fillId="4" borderId="26" xfId="0" applyFont="1" applyFill="1" applyBorder="1">
      <alignment vertical="center"/>
    </xf>
    <xf numFmtId="0" fontId="6" fillId="0" borderId="69" xfId="0" applyFont="1" applyBorder="1">
      <alignment vertical="center"/>
    </xf>
    <xf numFmtId="0" fontId="6" fillId="0" borderId="71" xfId="0" applyFont="1" applyBorder="1">
      <alignment vertical="center"/>
    </xf>
    <xf numFmtId="0" fontId="6" fillId="46" borderId="26" xfId="0" applyFont="1" applyFill="1" applyBorder="1">
      <alignment vertical="center"/>
    </xf>
    <xf numFmtId="0" fontId="6" fillId="46" borderId="67" xfId="0" applyFont="1" applyFill="1" applyBorder="1">
      <alignment vertical="center"/>
    </xf>
    <xf numFmtId="0" fontId="6" fillId="0" borderId="47" xfId="0" applyFont="1" applyBorder="1">
      <alignment vertical="center"/>
    </xf>
    <xf numFmtId="0" fontId="6" fillId="0" borderId="52" xfId="0" applyFont="1" applyBorder="1">
      <alignment vertical="center"/>
    </xf>
    <xf numFmtId="0" fontId="6" fillId="0" borderId="67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27" fillId="0" borderId="47" xfId="0" applyFont="1" applyBorder="1" applyAlignment="1">
      <alignment vertical="center" wrapText="1"/>
    </xf>
    <xf numFmtId="0" fontId="27" fillId="0" borderId="52" xfId="0" applyFont="1" applyBorder="1" applyAlignment="1">
      <alignment vertical="center" wrapText="1"/>
    </xf>
    <xf numFmtId="0" fontId="26" fillId="0" borderId="4" xfId="0" applyFont="1" applyBorder="1">
      <alignment vertical="center"/>
    </xf>
    <xf numFmtId="0" fontId="6" fillId="0" borderId="74" xfId="0" applyFont="1" applyBorder="1" applyAlignment="1">
      <alignment horizontal="left" vertical="center" wrapText="1"/>
    </xf>
    <xf numFmtId="0" fontId="6" fillId="5" borderId="0" xfId="0" applyFont="1" applyFill="1">
      <alignment vertical="center"/>
    </xf>
    <xf numFmtId="0" fontId="6" fillId="49" borderId="0" xfId="0" applyFont="1" applyFill="1">
      <alignment vertical="center"/>
    </xf>
    <xf numFmtId="0" fontId="6" fillId="46" borderId="75" xfId="0" applyFont="1" applyFill="1" applyBorder="1">
      <alignment vertical="center"/>
    </xf>
    <xf numFmtId="0" fontId="6" fillId="0" borderId="75" xfId="0" applyFont="1" applyBorder="1" applyAlignment="1">
      <alignment horizontal="right" vertical="center"/>
    </xf>
    <xf numFmtId="0" fontId="27" fillId="0" borderId="4" xfId="0" applyFont="1" applyBorder="1">
      <alignment vertical="center"/>
    </xf>
    <xf numFmtId="0" fontId="6" fillId="4" borderId="42" xfId="0" applyFont="1" applyFill="1" applyBorder="1">
      <alignment vertical="center"/>
    </xf>
    <xf numFmtId="0" fontId="6" fillId="0" borderId="54" xfId="0" applyFont="1" applyBorder="1">
      <alignment vertical="center"/>
    </xf>
    <xf numFmtId="0" fontId="6" fillId="0" borderId="31" xfId="0" applyFont="1" applyBorder="1" applyAlignment="1">
      <alignment horizontal="right" vertical="center"/>
    </xf>
    <xf numFmtId="0" fontId="6" fillId="0" borderId="55" xfId="0" applyFont="1" applyBorder="1">
      <alignment vertical="center"/>
    </xf>
    <xf numFmtId="0" fontId="6" fillId="0" borderId="58" xfId="0" applyFont="1" applyBorder="1">
      <alignment vertical="center"/>
    </xf>
    <xf numFmtId="0" fontId="6" fillId="0" borderId="32" xfId="0" applyFont="1" applyBorder="1" applyAlignment="1">
      <alignment horizontal="right" vertical="center"/>
    </xf>
    <xf numFmtId="0" fontId="6" fillId="0" borderId="59" xfId="0" applyFont="1" applyBorder="1">
      <alignment vertical="center"/>
    </xf>
    <xf numFmtId="0" fontId="4" fillId="2" borderId="1" xfId="0" applyFont="1" applyFill="1" applyBorder="1" applyAlignment="1">
      <alignment vertical="center" wrapText="1"/>
    </xf>
    <xf numFmtId="0" fontId="0" fillId="4" borderId="5" xfId="0" applyFill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27" fillId="5" borderId="1" xfId="0" applyFont="1" applyFill="1" applyBorder="1" applyAlignment="1">
      <alignment vertical="center" wrapText="1"/>
    </xf>
    <xf numFmtId="0" fontId="6" fillId="0" borderId="67" xfId="0" applyFont="1" applyBorder="1">
      <alignment vertical="center"/>
    </xf>
    <xf numFmtId="0" fontId="6" fillId="0" borderId="79" xfId="0" applyFont="1" applyBorder="1">
      <alignment vertical="center"/>
    </xf>
    <xf numFmtId="0" fontId="6" fillId="0" borderId="25" xfId="0" applyFont="1" applyBorder="1">
      <alignment vertical="center"/>
    </xf>
    <xf numFmtId="0" fontId="6" fillId="0" borderId="80" xfId="0" applyFont="1" applyBorder="1">
      <alignment vertical="center"/>
    </xf>
    <xf numFmtId="0" fontId="6" fillId="0" borderId="81" xfId="0" applyFont="1" applyBorder="1">
      <alignment vertical="center"/>
    </xf>
    <xf numFmtId="0" fontId="26" fillId="0" borderId="0" xfId="0" applyFont="1">
      <alignment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/>
    <xf numFmtId="0" fontId="29" fillId="0" borderId="0" xfId="0" applyFont="1">
      <alignment vertical="center"/>
    </xf>
    <xf numFmtId="0" fontId="6" fillId="0" borderId="83" xfId="0" applyFont="1" applyBorder="1">
      <alignment vertical="center"/>
    </xf>
    <xf numFmtId="0" fontId="6" fillId="0" borderId="0" xfId="0" applyFont="1" applyAlignment="1">
      <alignment horizontal="left" vertical="center"/>
    </xf>
    <xf numFmtId="0" fontId="6" fillId="0" borderId="24" xfId="0" applyFont="1" applyBorder="1">
      <alignment vertical="center"/>
    </xf>
    <xf numFmtId="0" fontId="6" fillId="0" borderId="24" xfId="0" applyFont="1" applyBorder="1" applyAlignment="1">
      <alignment horizontal="center" vertical="center"/>
    </xf>
    <xf numFmtId="0" fontId="6" fillId="0" borderId="24" xfId="0" applyFont="1" applyBorder="1" applyAlignment="1">
      <alignment horizontal="right" vertical="center"/>
    </xf>
    <xf numFmtId="0" fontId="6" fillId="0" borderId="27" xfId="0" applyFont="1" applyBorder="1">
      <alignment vertical="center"/>
    </xf>
    <xf numFmtId="0" fontId="6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right" vertical="center"/>
    </xf>
    <xf numFmtId="0" fontId="6" fillId="0" borderId="27" xfId="0" quotePrefix="1" applyFont="1" applyBorder="1">
      <alignment vertical="center"/>
    </xf>
    <xf numFmtId="0" fontId="6" fillId="0" borderId="30" xfId="0" applyFont="1" applyBorder="1">
      <alignment vertical="center"/>
    </xf>
    <xf numFmtId="0" fontId="6" fillId="0" borderId="30" xfId="0" applyFont="1" applyBorder="1" applyAlignment="1">
      <alignment horizontal="center" vertical="center"/>
    </xf>
    <xf numFmtId="0" fontId="6" fillId="0" borderId="30" xfId="0" applyFont="1" applyBorder="1" applyAlignment="1">
      <alignment horizontal="right" vertical="center"/>
    </xf>
    <xf numFmtId="0" fontId="31" fillId="6" borderId="0" xfId="0" applyFont="1" applyFill="1" applyAlignment="1">
      <alignment horizontal="right" vertical="center"/>
    </xf>
    <xf numFmtId="0" fontId="6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right" vertical="center"/>
    </xf>
    <xf numFmtId="0" fontId="31" fillId="7" borderId="0" xfId="0" applyFont="1" applyFill="1" applyAlignment="1">
      <alignment horizontal="right" vertical="center"/>
    </xf>
    <xf numFmtId="0" fontId="6" fillId="10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31" fillId="8" borderId="0" xfId="0" applyFont="1" applyFill="1" applyAlignment="1">
      <alignment horizontal="right" vertical="center"/>
    </xf>
    <xf numFmtId="0" fontId="6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right" vertical="center"/>
    </xf>
    <xf numFmtId="0" fontId="6" fillId="0" borderId="1" xfId="0" applyFont="1" applyBorder="1" applyAlignment="1">
      <alignment horizontal="right"/>
    </xf>
    <xf numFmtId="0" fontId="6" fillId="48" borderId="1" xfId="0" applyFont="1" applyFill="1" applyBorder="1">
      <alignment vertical="center"/>
    </xf>
    <xf numFmtId="0" fontId="6" fillId="4" borderId="1" xfId="0" applyFont="1" applyFill="1" applyBorder="1" applyAlignment="1">
      <alignment horizontal="right" vertical="center"/>
    </xf>
    <xf numFmtId="0" fontId="32" fillId="0" borderId="0" xfId="0" applyFont="1">
      <alignment vertical="center"/>
    </xf>
    <xf numFmtId="0" fontId="6" fillId="0" borderId="82" xfId="0" applyFont="1" applyBorder="1" applyAlignment="1"/>
    <xf numFmtId="0" fontId="6" fillId="0" borderId="60" xfId="0" applyFont="1" applyBorder="1">
      <alignment vertical="center"/>
    </xf>
    <xf numFmtId="0" fontId="6" fillId="0" borderId="45" xfId="0" applyFont="1" applyBorder="1" applyAlignment="1"/>
    <xf numFmtId="0" fontId="6" fillId="0" borderId="45" xfId="0" applyFont="1" applyBorder="1">
      <alignment vertical="center"/>
    </xf>
    <xf numFmtId="0" fontId="6" fillId="0" borderId="45" xfId="0" applyFont="1" applyBorder="1" applyAlignment="1">
      <alignment horizontal="right" vertical="center"/>
    </xf>
    <xf numFmtId="0" fontId="6" fillId="0" borderId="73" xfId="0" applyFont="1" applyBorder="1">
      <alignment vertical="center"/>
    </xf>
    <xf numFmtId="0" fontId="6" fillId="0" borderId="32" xfId="0" applyFont="1" applyBorder="1" applyAlignment="1"/>
    <xf numFmtId="0" fontId="6" fillId="0" borderId="31" xfId="0" applyFont="1" applyBorder="1" applyAlignment="1"/>
    <xf numFmtId="0" fontId="6" fillId="0" borderId="56" xfId="0" applyFont="1" applyBorder="1">
      <alignment vertical="center"/>
    </xf>
    <xf numFmtId="0" fontId="6" fillId="0" borderId="41" xfId="0" applyFont="1" applyBorder="1" applyAlignment="1"/>
    <xf numFmtId="0" fontId="6" fillId="0" borderId="62" xfId="0" applyFont="1" applyBorder="1">
      <alignment vertical="center"/>
    </xf>
    <xf numFmtId="0" fontId="6" fillId="0" borderId="21" xfId="0" applyFont="1" applyBorder="1" applyAlignment="1"/>
    <xf numFmtId="0" fontId="6" fillId="0" borderId="21" xfId="0" applyFont="1" applyBorder="1" applyAlignment="1">
      <alignment horizontal="right" vertical="center"/>
    </xf>
    <xf numFmtId="0" fontId="6" fillId="0" borderId="64" xfId="0" applyFont="1" applyBorder="1">
      <alignment vertical="center"/>
    </xf>
    <xf numFmtId="0" fontId="6" fillId="0" borderId="65" xfId="0" applyFont="1" applyBorder="1" applyAlignment="1"/>
    <xf numFmtId="0" fontId="6" fillId="0" borderId="65" xfId="0" applyFont="1" applyBorder="1">
      <alignment vertical="center"/>
    </xf>
    <xf numFmtId="0" fontId="6" fillId="0" borderId="65" xfId="0" applyFont="1" applyBorder="1" applyAlignment="1">
      <alignment horizontal="right" vertical="center"/>
    </xf>
    <xf numFmtId="0" fontId="6" fillId="4" borderId="40" xfId="0" applyFont="1" applyFill="1" applyBorder="1">
      <alignment vertical="center"/>
    </xf>
    <xf numFmtId="0" fontId="6" fillId="4" borderId="41" xfId="0" applyFont="1" applyFill="1" applyBorder="1">
      <alignment vertical="center"/>
    </xf>
    <xf numFmtId="0" fontId="6" fillId="4" borderId="41" xfId="0" applyFont="1" applyFill="1" applyBorder="1" applyAlignment="1">
      <alignment horizontal="right" vertical="center"/>
    </xf>
    <xf numFmtId="0" fontId="6" fillId="0" borderId="1" xfId="0" quotePrefix="1" applyFont="1" applyBorder="1">
      <alignment vertical="center"/>
    </xf>
    <xf numFmtId="0" fontId="6" fillId="14" borderId="1" xfId="0" applyFont="1" applyFill="1" applyBorder="1">
      <alignment vertical="center"/>
    </xf>
    <xf numFmtId="0" fontId="6" fillId="14" borderId="1" xfId="0" applyFont="1" applyFill="1" applyBorder="1" applyAlignment="1">
      <alignment horizontal="right" vertical="center"/>
    </xf>
    <xf numFmtId="0" fontId="6" fillId="0" borderId="43" xfId="0" applyFont="1" applyBorder="1">
      <alignment vertical="center"/>
    </xf>
    <xf numFmtId="0" fontId="6" fillId="0" borderId="21" xfId="0" applyFont="1" applyBorder="1" applyAlignment="1">
      <alignment horizontal="center"/>
    </xf>
    <xf numFmtId="0" fontId="6" fillId="0" borderId="57" xfId="0" applyFont="1" applyBorder="1">
      <alignment vertical="center"/>
    </xf>
    <xf numFmtId="0" fontId="6" fillId="0" borderId="42" xfId="0" applyFont="1" applyBorder="1">
      <alignment vertical="center"/>
    </xf>
    <xf numFmtId="0" fontId="6" fillId="4" borderId="4" xfId="0" applyFont="1" applyFill="1" applyBorder="1">
      <alignment vertical="center"/>
    </xf>
    <xf numFmtId="0" fontId="6" fillId="4" borderId="4" xfId="0" applyFont="1" applyFill="1" applyBorder="1" applyAlignment="1"/>
    <xf numFmtId="0" fontId="6" fillId="4" borderId="4" xfId="0" applyFont="1" applyFill="1" applyBorder="1" applyAlignment="1">
      <alignment horizontal="right" vertical="center"/>
    </xf>
    <xf numFmtId="0" fontId="6" fillId="0" borderId="5" xfId="0" applyFont="1" applyBorder="1" applyAlignment="1">
      <alignment vertical="center" wrapText="1"/>
    </xf>
    <xf numFmtId="0" fontId="6" fillId="5" borderId="1" xfId="0" applyFont="1" applyFill="1" applyBorder="1" applyAlignment="1">
      <alignment horizontal="right" vertical="center"/>
    </xf>
    <xf numFmtId="0" fontId="6" fillId="0" borderId="69" xfId="0" applyFont="1" applyBorder="1" applyAlignment="1">
      <alignment horizontal="right" vertical="center"/>
    </xf>
    <xf numFmtId="0" fontId="6" fillId="0" borderId="68" xfId="0" applyFont="1" applyBorder="1">
      <alignment vertical="center"/>
    </xf>
    <xf numFmtId="0" fontId="6" fillId="0" borderId="75" xfId="0" applyFont="1" applyBorder="1">
      <alignment vertical="center"/>
    </xf>
    <xf numFmtId="0" fontId="6" fillId="0" borderId="76" xfId="0" applyFont="1" applyBorder="1">
      <alignment vertical="center"/>
    </xf>
    <xf numFmtId="0" fontId="6" fillId="0" borderId="26" xfId="0" applyFont="1" applyBorder="1" applyAlignment="1"/>
    <xf numFmtId="0" fontId="6" fillId="0" borderId="26" xfId="0" applyFont="1" applyBorder="1" applyAlignment="1">
      <alignment horizontal="right" vertical="center"/>
    </xf>
    <xf numFmtId="0" fontId="6" fillId="4" borderId="0" xfId="0" applyFont="1" applyFill="1">
      <alignment vertical="center"/>
    </xf>
    <xf numFmtId="0" fontId="6" fillId="4" borderId="26" xfId="0" applyFont="1" applyFill="1" applyBorder="1" applyAlignment="1">
      <alignment horizontal="right" vertical="center"/>
    </xf>
    <xf numFmtId="0" fontId="6" fillId="4" borderId="27" xfId="0" applyFont="1" applyFill="1" applyBorder="1">
      <alignment vertical="center"/>
    </xf>
    <xf numFmtId="0" fontId="6" fillId="4" borderId="26" xfId="0" quotePrefix="1" applyFont="1" applyFill="1" applyBorder="1">
      <alignment vertical="center"/>
    </xf>
    <xf numFmtId="0" fontId="6" fillId="0" borderId="29" xfId="0" applyFont="1" applyBorder="1" applyAlignment="1">
      <alignment horizontal="right" vertical="center"/>
    </xf>
    <xf numFmtId="0" fontId="6" fillId="0" borderId="30" xfId="0" quotePrefix="1" applyFont="1" applyBorder="1">
      <alignment vertical="center"/>
    </xf>
    <xf numFmtId="0" fontId="6" fillId="0" borderId="77" xfId="0" applyFont="1" applyBorder="1">
      <alignment vertical="center"/>
    </xf>
    <xf numFmtId="0" fontId="6" fillId="0" borderId="77" xfId="0" applyFont="1" applyBorder="1" applyAlignment="1">
      <alignment horizontal="right" vertical="center"/>
    </xf>
    <xf numFmtId="0" fontId="6" fillId="0" borderId="35" xfId="0" quotePrefix="1" applyFont="1" applyBorder="1">
      <alignment vertical="center"/>
    </xf>
    <xf numFmtId="0" fontId="6" fillId="0" borderId="0" xfId="0" quotePrefix="1" applyFont="1">
      <alignment vertical="center"/>
    </xf>
    <xf numFmtId="0" fontId="6" fillId="0" borderId="78" xfId="0" quotePrefix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32" fillId="0" borderId="1" xfId="0" applyFont="1" applyBorder="1">
      <alignment vertical="center"/>
    </xf>
    <xf numFmtId="0" fontId="32" fillId="0" borderId="4" xfId="0" applyFont="1" applyBorder="1">
      <alignment vertical="center"/>
    </xf>
    <xf numFmtId="0" fontId="32" fillId="0" borderId="31" xfId="0" applyFont="1" applyBorder="1">
      <alignment vertical="center"/>
    </xf>
    <xf numFmtId="0" fontId="32" fillId="0" borderId="32" xfId="0" applyFont="1" applyBorder="1">
      <alignment vertical="center"/>
    </xf>
    <xf numFmtId="0" fontId="35" fillId="0" borderId="0" xfId="0" applyFont="1" applyAlignment="1">
      <alignment wrapText="1"/>
    </xf>
    <xf numFmtId="0" fontId="37" fillId="0" borderId="0" xfId="0" applyFont="1" applyAlignment="1">
      <alignment wrapText="1"/>
    </xf>
    <xf numFmtId="0" fontId="6" fillId="0" borderId="22" xfId="0" applyFont="1" applyBorder="1">
      <alignment vertical="center"/>
    </xf>
    <xf numFmtId="0" fontId="6" fillId="0" borderId="23" xfId="0" applyFont="1" applyBorder="1" applyAlignment="1">
      <alignment horizontal="right" vertical="center"/>
    </xf>
    <xf numFmtId="0" fontId="32" fillId="0" borderId="26" xfId="0" applyFont="1" applyBorder="1">
      <alignment vertical="center"/>
    </xf>
    <xf numFmtId="0" fontId="6" fillId="0" borderId="39" xfId="0" applyFont="1" applyBorder="1" applyAlignment="1">
      <alignment horizontal="right" vertical="center"/>
    </xf>
    <xf numFmtId="0" fontId="6" fillId="49" borderId="0" xfId="0" applyFont="1" applyFill="1" applyAlignment="1">
      <alignment horizontal="right" vertical="center"/>
    </xf>
    <xf numFmtId="0" fontId="6" fillId="0" borderId="36" xfId="0" applyFont="1" applyBorder="1">
      <alignment vertical="center"/>
    </xf>
    <xf numFmtId="0" fontId="6" fillId="0" borderId="37" xfId="0" applyFont="1" applyBorder="1" applyAlignment="1">
      <alignment horizontal="right" vertical="center"/>
    </xf>
    <xf numFmtId="0" fontId="6" fillId="0" borderId="38" xfId="0" applyFont="1" applyBorder="1">
      <alignment vertical="center"/>
    </xf>
    <xf numFmtId="0" fontId="6" fillId="0" borderId="33" xfId="0" applyFont="1" applyBorder="1">
      <alignment vertical="center"/>
    </xf>
    <xf numFmtId="0" fontId="6" fillId="0" borderId="34" xfId="0" applyFont="1" applyBorder="1" applyAlignment="1">
      <alignment horizontal="right" vertical="center"/>
    </xf>
    <xf numFmtId="0" fontId="6" fillId="0" borderId="35" xfId="0" applyFont="1" applyBorder="1">
      <alignment vertical="center"/>
    </xf>
    <xf numFmtId="0" fontId="6" fillId="46" borderId="25" xfId="0" applyFont="1" applyFill="1" applyBorder="1">
      <alignment vertical="center"/>
    </xf>
    <xf numFmtId="0" fontId="6" fillId="46" borderId="26" xfId="0" applyFont="1" applyFill="1" applyBorder="1" applyAlignment="1">
      <alignment horizontal="right" vertical="center"/>
    </xf>
    <xf numFmtId="0" fontId="6" fillId="46" borderId="27" xfId="0" applyFont="1" applyFill="1" applyBorder="1">
      <alignment vertical="center"/>
    </xf>
    <xf numFmtId="0" fontId="6" fillId="0" borderId="28" xfId="0" applyFont="1" applyBorder="1">
      <alignment vertical="center"/>
    </xf>
    <xf numFmtId="0" fontId="6" fillId="0" borderId="46" xfId="0" applyFont="1" applyBorder="1">
      <alignment vertical="center"/>
    </xf>
    <xf numFmtId="0" fontId="6" fillId="0" borderId="47" xfId="0" applyFont="1" applyBorder="1" applyAlignment="1">
      <alignment horizontal="right" vertical="center"/>
    </xf>
    <xf numFmtId="0" fontId="6" fillId="0" borderId="48" xfId="0" applyFont="1" applyBorder="1">
      <alignment vertical="center"/>
    </xf>
    <xf numFmtId="0" fontId="6" fillId="0" borderId="49" xfId="0" applyFont="1" applyBorder="1">
      <alignment vertical="center"/>
    </xf>
    <xf numFmtId="0" fontId="6" fillId="0" borderId="50" xfId="0" applyFont="1" applyBorder="1">
      <alignment vertical="center"/>
    </xf>
    <xf numFmtId="0" fontId="6" fillId="0" borderId="51" xfId="0" applyFont="1" applyBorder="1">
      <alignment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>
      <alignment vertical="center"/>
    </xf>
    <xf numFmtId="0" fontId="6" fillId="0" borderId="70" xfId="0" applyFont="1" applyBorder="1">
      <alignment vertical="center"/>
    </xf>
    <xf numFmtId="0" fontId="6" fillId="0" borderId="71" xfId="0" applyFont="1" applyBorder="1" applyAlignment="1">
      <alignment horizontal="right" vertical="center"/>
    </xf>
    <xf numFmtId="0" fontId="6" fillId="0" borderId="72" xfId="0" applyFont="1" applyBorder="1">
      <alignment vertical="center"/>
    </xf>
    <xf numFmtId="0" fontId="6" fillId="0" borderId="67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80" xfId="0" applyFont="1" applyBorder="1" applyAlignment="1">
      <alignment horizontal="right" vertical="center"/>
    </xf>
    <xf numFmtId="0" fontId="6" fillId="0" borderId="41" xfId="0" applyFont="1" applyBorder="1" applyAlignment="1">
      <alignment horizontal="center" vertical="center"/>
    </xf>
    <xf numFmtId="0" fontId="6" fillId="47" borderId="1" xfId="0" applyFont="1" applyFill="1" applyBorder="1">
      <alignment vertical="center"/>
    </xf>
    <xf numFmtId="0" fontId="6" fillId="47" borderId="1" xfId="0" applyFont="1" applyFill="1" applyBorder="1" applyAlignment="1"/>
    <xf numFmtId="0" fontId="6" fillId="47" borderId="1" xfId="0" applyFont="1" applyFill="1" applyBorder="1" applyAlignment="1">
      <alignment horizontal="center" vertical="center"/>
    </xf>
    <xf numFmtId="0" fontId="6" fillId="0" borderId="78" xfId="0" applyFont="1" applyBorder="1">
      <alignment vertical="center"/>
    </xf>
    <xf numFmtId="0" fontId="6" fillId="0" borderId="78" xfId="0" applyFont="1" applyBorder="1" applyAlignment="1">
      <alignment horizontal="right" vertical="center"/>
    </xf>
    <xf numFmtId="0" fontId="32" fillId="0" borderId="78" xfId="0" applyFont="1" applyBorder="1">
      <alignment vertical="center"/>
    </xf>
    <xf numFmtId="0" fontId="6" fillId="0" borderId="70" xfId="0" applyFont="1" applyBorder="1" applyAlignment="1">
      <alignment horizontal="right" vertical="center"/>
    </xf>
    <xf numFmtId="0" fontId="6" fillId="0" borderId="71" xfId="0" applyFont="1" applyBorder="1" applyAlignment="1">
      <alignment horizontal="center" vertical="center"/>
    </xf>
    <xf numFmtId="0" fontId="6" fillId="0" borderId="71" xfId="0" applyFont="1" applyBorder="1" applyAlignment="1">
      <alignment horizontal="right"/>
    </xf>
    <xf numFmtId="0" fontId="6" fillId="0" borderId="71" xfId="0" applyFont="1" applyBorder="1" applyAlignment="1">
      <alignment horizontal="left"/>
    </xf>
    <xf numFmtId="0" fontId="32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/>
    </xf>
    <xf numFmtId="0" fontId="6" fillId="0" borderId="61" xfId="0" applyFont="1" applyBorder="1">
      <alignment vertical="center"/>
    </xf>
    <xf numFmtId="0" fontId="6" fillId="0" borderId="84" xfId="0" applyFont="1" applyBorder="1">
      <alignment vertical="center"/>
    </xf>
    <xf numFmtId="0" fontId="6" fillId="0" borderId="85" xfId="0" applyFont="1" applyBorder="1">
      <alignment vertical="center"/>
    </xf>
    <xf numFmtId="0" fontId="6" fillId="0" borderId="86" xfId="0" applyFont="1" applyBorder="1">
      <alignment vertical="center"/>
    </xf>
    <xf numFmtId="0" fontId="6" fillId="0" borderId="87" xfId="0" applyFont="1" applyBorder="1">
      <alignment vertical="center"/>
    </xf>
    <xf numFmtId="0" fontId="6" fillId="0" borderId="88" xfId="0" applyFont="1" applyBorder="1">
      <alignment vertical="center"/>
    </xf>
    <xf numFmtId="0" fontId="6" fillId="4" borderId="65" xfId="0" applyFont="1" applyFill="1" applyBorder="1">
      <alignment vertical="center"/>
    </xf>
    <xf numFmtId="0" fontId="6" fillId="4" borderId="65" xfId="0" applyFont="1" applyFill="1" applyBorder="1" applyAlignment="1">
      <alignment horizontal="right" vertical="center"/>
    </xf>
    <xf numFmtId="0" fontId="6" fillId="0" borderId="71" xfId="0" applyFont="1" applyBorder="1" applyAlignment="1"/>
    <xf numFmtId="0" fontId="6" fillId="0" borderId="71" xfId="0" applyFont="1" applyBorder="1" applyAlignment="1">
      <alignment horizontal="left" vertical="center" wrapText="1"/>
    </xf>
    <xf numFmtId="0" fontId="26" fillId="0" borderId="71" xfId="0" applyFont="1" applyBorder="1">
      <alignment vertical="center"/>
    </xf>
    <xf numFmtId="0" fontId="6" fillId="0" borderId="72" xfId="0" applyFont="1" applyBorder="1" applyAlignment="1">
      <alignment horizontal="left" vertical="center" wrapText="1"/>
    </xf>
    <xf numFmtId="0" fontId="6" fillId="4" borderId="62" xfId="0" applyFont="1" applyFill="1" applyBorder="1">
      <alignment vertical="center"/>
    </xf>
    <xf numFmtId="0" fontId="6" fillId="4" borderId="21" xfId="0" applyFont="1" applyFill="1" applyBorder="1">
      <alignment vertical="center"/>
    </xf>
    <xf numFmtId="0" fontId="6" fillId="4" borderId="21" xfId="0" applyFont="1" applyFill="1" applyBorder="1" applyAlignment="1">
      <alignment horizontal="right" vertical="center"/>
    </xf>
    <xf numFmtId="0" fontId="6" fillId="4" borderId="21" xfId="0" applyFont="1" applyFill="1" applyBorder="1" applyAlignment="1">
      <alignment horizontal="left" vertical="center" wrapText="1"/>
    </xf>
    <xf numFmtId="0" fontId="27" fillId="4" borderId="21" xfId="0" applyFont="1" applyFill="1" applyBorder="1" applyAlignment="1">
      <alignment vertical="center" wrapText="1"/>
    </xf>
    <xf numFmtId="0" fontId="6" fillId="4" borderId="63" xfId="0" applyFont="1" applyFill="1" applyBorder="1" applyAlignment="1">
      <alignment horizontal="left" vertical="center" wrapText="1"/>
    </xf>
    <xf numFmtId="0" fontId="6" fillId="0" borderId="39" xfId="0" applyFont="1" applyBorder="1" applyAlignment="1">
      <alignment horizontal="center" vertical="center"/>
    </xf>
    <xf numFmtId="0" fontId="27" fillId="0" borderId="71" xfId="0" applyFont="1" applyBorder="1" applyAlignment="1">
      <alignment vertical="center" wrapText="1"/>
    </xf>
    <xf numFmtId="0" fontId="6" fillId="4" borderId="46" xfId="0" applyFont="1" applyFill="1" applyBorder="1">
      <alignment vertical="center"/>
    </xf>
    <xf numFmtId="0" fontId="6" fillId="4" borderId="47" xfId="0" applyFont="1" applyFill="1" applyBorder="1">
      <alignment vertical="center"/>
    </xf>
    <xf numFmtId="0" fontId="6" fillId="4" borderId="47" xfId="0" applyFont="1" applyFill="1" applyBorder="1" applyAlignment="1">
      <alignment horizontal="right" vertical="center"/>
    </xf>
    <xf numFmtId="0" fontId="6" fillId="4" borderId="47" xfId="0" applyFont="1" applyFill="1" applyBorder="1" applyAlignment="1">
      <alignment horizontal="left" vertical="center" wrapText="1"/>
    </xf>
    <xf numFmtId="0" fontId="27" fillId="4" borderId="47" xfId="0" applyFont="1" applyFill="1" applyBorder="1" applyAlignment="1">
      <alignment vertical="center" wrapText="1"/>
    </xf>
    <xf numFmtId="0" fontId="6" fillId="4" borderId="48" xfId="0" applyFont="1" applyFill="1" applyBorder="1" applyAlignment="1">
      <alignment horizontal="left" vertical="center" wrapText="1"/>
    </xf>
    <xf numFmtId="0" fontId="6" fillId="0" borderId="47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8" xfId="0" applyFont="1" applyBorder="1" applyAlignment="1">
      <alignment horizontal="right" vertical="center"/>
    </xf>
    <xf numFmtId="0" fontId="6" fillId="0" borderId="38" xfId="0" quotePrefix="1" applyFont="1" applyBorder="1">
      <alignment vertical="center"/>
    </xf>
    <xf numFmtId="0" fontId="6" fillId="0" borderId="47" xfId="0" applyFont="1" applyBorder="1" applyAlignment="1">
      <alignment horizontal="left" vertical="center"/>
    </xf>
    <xf numFmtId="0" fontId="6" fillId="0" borderId="48" xfId="0" applyFont="1" applyBorder="1" applyAlignment="1">
      <alignment horizontal="left" vertical="center"/>
    </xf>
    <xf numFmtId="0" fontId="6" fillId="0" borderId="52" xfId="0" applyFont="1" applyBorder="1" applyAlignment="1">
      <alignment horizontal="left" vertical="center"/>
    </xf>
    <xf numFmtId="0" fontId="6" fillId="0" borderId="53" xfId="0" applyFont="1" applyBorder="1" applyAlignment="1">
      <alignment horizontal="left" vertical="center"/>
    </xf>
    <xf numFmtId="0" fontId="6" fillId="0" borderId="63" xfId="0" applyFont="1" applyBorder="1" applyAlignment="1"/>
    <xf numFmtId="0" fontId="6" fillId="0" borderId="57" xfId="0" applyFont="1" applyBorder="1" applyAlignment="1"/>
    <xf numFmtId="0" fontId="40" fillId="0" borderId="0" xfId="0" applyFont="1">
      <alignment vertical="center"/>
    </xf>
    <xf numFmtId="0" fontId="41" fillId="0" borderId="0" xfId="0" applyFont="1">
      <alignment vertical="center"/>
    </xf>
    <xf numFmtId="0" fontId="46" fillId="0" borderId="0" xfId="0" applyFont="1">
      <alignment vertical="center"/>
    </xf>
    <xf numFmtId="0" fontId="48" fillId="0" borderId="0" xfId="0" applyFont="1">
      <alignment vertical="center"/>
    </xf>
    <xf numFmtId="0" fontId="47" fillId="0" borderId="0" xfId="0" applyFont="1">
      <alignment vertical="center"/>
    </xf>
    <xf numFmtId="0" fontId="49" fillId="0" borderId="0" xfId="0" applyFont="1">
      <alignment vertical="center"/>
    </xf>
    <xf numFmtId="14" fontId="6" fillId="0" borderId="52" xfId="0" applyNumberFormat="1" applyFont="1" applyBorder="1" applyAlignment="1">
      <alignment horizontal="center" vertical="center"/>
    </xf>
    <xf numFmtId="0" fontId="34" fillId="0" borderId="0" xfId="0" applyFont="1">
      <alignment vertical="center"/>
    </xf>
    <xf numFmtId="0" fontId="6" fillId="4" borderId="4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left" vertical="center"/>
    </xf>
    <xf numFmtId="0" fontId="6" fillId="4" borderId="60" xfId="0" applyFont="1" applyFill="1" applyBorder="1">
      <alignment vertical="center"/>
    </xf>
    <xf numFmtId="0" fontId="6" fillId="4" borderId="45" xfId="0" applyFont="1" applyFill="1" applyBorder="1">
      <alignment vertical="center"/>
    </xf>
    <xf numFmtId="0" fontId="6" fillId="4" borderId="45" xfId="0" applyFont="1" applyFill="1" applyBorder="1" applyAlignment="1">
      <alignment horizontal="right" vertical="center"/>
    </xf>
    <xf numFmtId="0" fontId="6" fillId="4" borderId="61" xfId="0" applyFont="1" applyFill="1" applyBorder="1">
      <alignment vertical="center"/>
    </xf>
    <xf numFmtId="0" fontId="6" fillId="4" borderId="64" xfId="0" applyFont="1" applyFill="1" applyBorder="1">
      <alignment vertical="center"/>
    </xf>
    <xf numFmtId="0" fontId="6" fillId="4" borderId="66" xfId="0" applyFont="1" applyFill="1" applyBorder="1">
      <alignment vertical="center"/>
    </xf>
    <xf numFmtId="0" fontId="6" fillId="0" borderId="0" xfId="0" applyFont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50" borderId="24" xfId="0" applyFont="1" applyFill="1" applyBorder="1" applyAlignment="1">
      <alignment vertical="center" wrapText="1"/>
    </xf>
    <xf numFmtId="0" fontId="6" fillId="0" borderId="39" xfId="0" applyFont="1" applyBorder="1" applyAlignment="1">
      <alignment horizontal="left" vertical="center"/>
    </xf>
    <xf numFmtId="0" fontId="6" fillId="0" borderId="50" xfId="0" applyFont="1" applyBorder="1" applyAlignment="1">
      <alignment horizontal="left" vertical="center"/>
    </xf>
    <xf numFmtId="0" fontId="27" fillId="0" borderId="61" xfId="0" applyFont="1" applyBorder="1">
      <alignment vertical="center"/>
    </xf>
    <xf numFmtId="14" fontId="6" fillId="0" borderId="39" xfId="0" applyNumberFormat="1" applyFont="1" applyBorder="1" applyAlignment="1">
      <alignment horizontal="center" vertical="center"/>
    </xf>
    <xf numFmtId="0" fontId="35" fillId="0" borderId="0" xfId="0" applyFont="1">
      <alignment vertical="center"/>
    </xf>
    <xf numFmtId="0" fontId="6" fillId="0" borderId="89" xfId="0" applyFont="1" applyBorder="1">
      <alignment vertical="center"/>
    </xf>
    <xf numFmtId="0" fontId="6" fillId="0" borderId="90" xfId="0" applyFont="1" applyBorder="1" applyAlignment="1">
      <alignment horizontal="center" vertical="center"/>
    </xf>
    <xf numFmtId="0" fontId="6" fillId="0" borderId="90" xfId="0" applyFont="1" applyBorder="1">
      <alignment vertical="center"/>
    </xf>
    <xf numFmtId="0" fontId="6" fillId="0" borderId="90" xfId="0" applyFont="1" applyBorder="1" applyAlignment="1">
      <alignment horizontal="right" vertical="center"/>
    </xf>
    <xf numFmtId="0" fontId="6" fillId="0" borderId="91" xfId="0" applyFont="1" applyBorder="1">
      <alignment vertical="center"/>
    </xf>
    <xf numFmtId="0" fontId="6" fillId="0" borderId="92" xfId="0" applyFont="1" applyBorder="1" applyAlignment="1">
      <alignment horizontal="center" vertical="center"/>
    </xf>
    <xf numFmtId="14" fontId="6" fillId="0" borderId="92" xfId="0" applyNumberFormat="1" applyFont="1" applyBorder="1" applyAlignment="1">
      <alignment horizontal="center" vertical="center"/>
    </xf>
    <xf numFmtId="0" fontId="6" fillId="0" borderId="92" xfId="0" applyFont="1" applyBorder="1">
      <alignment vertical="center"/>
    </xf>
    <xf numFmtId="0" fontId="6" fillId="0" borderId="92" xfId="0" applyFont="1" applyBorder="1" applyAlignment="1">
      <alignment horizontal="right" vertical="center"/>
    </xf>
    <xf numFmtId="0" fontId="6" fillId="0" borderId="93" xfId="0" applyFont="1" applyBorder="1">
      <alignment vertical="center"/>
    </xf>
    <xf numFmtId="0" fontId="6" fillId="0" borderId="94" xfId="0" applyFont="1" applyBorder="1">
      <alignment vertical="center"/>
    </xf>
    <xf numFmtId="0" fontId="6" fillId="0" borderId="90" xfId="0" applyFont="1" applyBorder="1" applyAlignment="1"/>
    <xf numFmtId="0" fontId="6" fillId="0" borderId="90" xfId="0" applyFont="1" applyBorder="1" applyAlignment="1">
      <alignment horizontal="left" vertical="center" wrapText="1"/>
    </xf>
    <xf numFmtId="0" fontId="26" fillId="0" borderId="90" xfId="0" applyFont="1" applyBorder="1">
      <alignment vertical="center"/>
    </xf>
    <xf numFmtId="0" fontId="6" fillId="0" borderId="91" xfId="0" applyFont="1" applyBorder="1" applyAlignment="1">
      <alignment horizontal="left" vertical="center" wrapText="1"/>
    </xf>
    <xf numFmtId="0" fontId="6" fillId="0" borderId="47" xfId="0" applyFont="1" applyBorder="1" applyAlignment="1"/>
    <xf numFmtId="0" fontId="6" fillId="0" borderId="47" xfId="0" applyFont="1" applyBorder="1" applyAlignment="1">
      <alignment horizontal="left" vertical="center" wrapText="1"/>
    </xf>
    <xf numFmtId="0" fontId="26" fillId="0" borderId="47" xfId="0" applyFont="1" applyBorder="1">
      <alignment vertical="center"/>
    </xf>
    <xf numFmtId="0" fontId="6" fillId="0" borderId="48" xfId="0" applyFont="1" applyBorder="1" applyAlignment="1">
      <alignment horizontal="left" vertical="center" wrapText="1"/>
    </xf>
    <xf numFmtId="0" fontId="6" fillId="0" borderId="39" xfId="0" applyFont="1" applyBorder="1" applyAlignment="1"/>
    <xf numFmtId="0" fontId="6" fillId="0" borderId="39" xfId="0" applyFont="1" applyBorder="1" applyAlignment="1">
      <alignment horizontal="left" vertical="center" wrapText="1"/>
    </xf>
    <xf numFmtId="0" fontId="26" fillId="0" borderId="39" xfId="0" applyFont="1" applyBorder="1">
      <alignment vertical="center"/>
    </xf>
    <xf numFmtId="0" fontId="6" fillId="0" borderId="50" xfId="0" applyFont="1" applyBorder="1" applyAlignment="1">
      <alignment horizontal="left" vertical="center" wrapText="1"/>
    </xf>
    <xf numFmtId="0" fontId="6" fillId="0" borderId="52" xfId="0" applyFont="1" applyBorder="1" applyAlignment="1"/>
    <xf numFmtId="0" fontId="6" fillId="0" borderId="52" xfId="0" applyFont="1" applyBorder="1" applyAlignment="1">
      <alignment horizontal="left" vertical="center" wrapText="1"/>
    </xf>
    <xf numFmtId="0" fontId="26" fillId="0" borderId="52" xfId="0" applyFont="1" applyBorder="1">
      <alignment vertical="center"/>
    </xf>
    <xf numFmtId="0" fontId="6" fillId="0" borderId="53" xfId="0" applyFont="1" applyBorder="1" applyAlignment="1">
      <alignment horizontal="left" vertical="center" wrapText="1"/>
    </xf>
    <xf numFmtId="0" fontId="6" fillId="4" borderId="89" xfId="0" applyFont="1" applyFill="1" applyBorder="1">
      <alignment vertical="center"/>
    </xf>
    <xf numFmtId="0" fontId="6" fillId="4" borderId="92" xfId="0" applyFont="1" applyFill="1" applyBorder="1">
      <alignment vertical="center"/>
    </xf>
    <xf numFmtId="0" fontId="6" fillId="4" borderId="92" xfId="0" applyFont="1" applyFill="1" applyBorder="1" applyAlignment="1">
      <alignment horizontal="right" vertical="center"/>
    </xf>
    <xf numFmtId="0" fontId="6" fillId="4" borderId="92" xfId="0" applyFont="1" applyFill="1" applyBorder="1" applyAlignment="1">
      <alignment horizontal="left" vertical="center" wrapText="1"/>
    </xf>
    <xf numFmtId="0" fontId="27" fillId="4" borderId="92" xfId="0" applyFont="1" applyFill="1" applyBorder="1" applyAlignment="1">
      <alignment vertical="center" wrapText="1"/>
    </xf>
    <xf numFmtId="0" fontId="6" fillId="4" borderId="93" xfId="0" applyFont="1" applyFill="1" applyBorder="1" applyAlignment="1">
      <alignment horizontal="left" vertical="center" wrapText="1"/>
    </xf>
    <xf numFmtId="0" fontId="6" fillId="0" borderId="92" xfId="0" applyFont="1" applyBorder="1" applyAlignment="1">
      <alignment horizontal="left" vertical="center" wrapText="1"/>
    </xf>
    <xf numFmtId="0" fontId="27" fillId="0" borderId="92" xfId="0" applyFont="1" applyBorder="1" applyAlignment="1">
      <alignment vertical="center" wrapText="1"/>
    </xf>
    <xf numFmtId="0" fontId="6" fillId="0" borderId="93" xfId="0" applyFont="1" applyBorder="1" applyAlignment="1">
      <alignment horizontal="left" vertical="center" wrapText="1"/>
    </xf>
    <xf numFmtId="0" fontId="6" fillId="4" borderId="94" xfId="0" applyFont="1" applyFill="1" applyBorder="1">
      <alignment vertical="center"/>
    </xf>
    <xf numFmtId="0" fontId="6" fillId="4" borderId="90" xfId="0" applyFont="1" applyFill="1" applyBorder="1">
      <alignment vertical="center"/>
    </xf>
    <xf numFmtId="0" fontId="6" fillId="4" borderId="90" xfId="0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left" vertical="center" wrapText="1"/>
    </xf>
    <xf numFmtId="0" fontId="27" fillId="4" borderId="90" xfId="0" applyFont="1" applyFill="1" applyBorder="1" applyAlignment="1">
      <alignment vertical="center" wrapText="1"/>
    </xf>
    <xf numFmtId="0" fontId="6" fillId="4" borderId="91" xfId="0" applyFont="1" applyFill="1" applyBorder="1" applyAlignment="1">
      <alignment horizontal="left" vertical="center" wrapText="1"/>
    </xf>
    <xf numFmtId="0" fontId="6" fillId="0" borderId="95" xfId="0" applyFont="1" applyBorder="1">
      <alignment vertical="center"/>
    </xf>
    <xf numFmtId="0" fontId="6" fillId="0" borderId="96" xfId="0" applyFont="1" applyBorder="1">
      <alignment vertical="center"/>
    </xf>
    <xf numFmtId="0" fontId="6" fillId="0" borderId="96" xfId="0" applyFont="1" applyBorder="1" applyAlignment="1">
      <alignment horizontal="center" vertical="center"/>
    </xf>
    <xf numFmtId="0" fontId="6" fillId="0" borderId="96" xfId="0" applyFont="1" applyBorder="1" applyAlignment="1">
      <alignment horizontal="right" vertical="center"/>
    </xf>
    <xf numFmtId="0" fontId="6" fillId="0" borderId="96" xfId="0" applyFont="1" applyBorder="1" applyAlignment="1">
      <alignment horizontal="left" vertical="center" wrapText="1"/>
    </xf>
    <xf numFmtId="0" fontId="27" fillId="0" borderId="96" xfId="0" applyFont="1" applyBorder="1" applyAlignment="1">
      <alignment vertical="center" wrapText="1"/>
    </xf>
    <xf numFmtId="0" fontId="6" fillId="0" borderId="97" xfId="0" applyFont="1" applyBorder="1" applyAlignment="1">
      <alignment horizontal="left" vertical="center" wrapText="1"/>
    </xf>
    <xf numFmtId="0" fontId="6" fillId="0" borderId="53" xfId="0" applyFont="1" applyBorder="1" applyAlignment="1"/>
    <xf numFmtId="0" fontId="6" fillId="0" borderId="98" xfId="0" applyFont="1" applyBorder="1">
      <alignment vertical="center"/>
    </xf>
    <xf numFmtId="0" fontId="6" fillId="0" borderId="99" xfId="0" applyFont="1" applyBorder="1" applyAlignment="1"/>
    <xf numFmtId="0" fontId="6" fillId="0" borderId="48" xfId="0" applyFont="1" applyBorder="1" applyAlignment="1"/>
    <xf numFmtId="0" fontId="6" fillId="0" borderId="100" xfId="0" applyFont="1" applyBorder="1">
      <alignment vertical="center"/>
    </xf>
    <xf numFmtId="0" fontId="6" fillId="0" borderId="101" xfId="0" applyFont="1" applyBorder="1">
      <alignment vertical="center"/>
    </xf>
    <xf numFmtId="0" fontId="6" fillId="0" borderId="101" xfId="0" applyFont="1" applyBorder="1" applyAlignment="1">
      <alignment horizontal="right" vertical="center"/>
    </xf>
    <xf numFmtId="0" fontId="50" fillId="0" borderId="0" xfId="0" applyFont="1">
      <alignment vertical="center"/>
    </xf>
    <xf numFmtId="0" fontId="27" fillId="0" borderId="90" xfId="0" applyFont="1" applyBorder="1" applyAlignment="1">
      <alignment vertical="center" wrapText="1"/>
    </xf>
    <xf numFmtId="0" fontId="6" fillId="0" borderId="102" xfId="0" applyFont="1" applyBorder="1">
      <alignment vertical="center"/>
    </xf>
    <xf numFmtId="0" fontId="6" fillId="0" borderId="103" xfId="0" applyFont="1" applyBorder="1" applyAlignment="1">
      <alignment horizontal="center" vertical="center"/>
    </xf>
    <xf numFmtId="14" fontId="6" fillId="0" borderId="103" xfId="0" applyNumberFormat="1" applyFont="1" applyBorder="1" applyAlignment="1">
      <alignment horizontal="center" vertical="center"/>
    </xf>
    <xf numFmtId="0" fontId="6" fillId="0" borderId="103" xfId="0" applyFont="1" applyBorder="1">
      <alignment vertical="center"/>
    </xf>
    <xf numFmtId="0" fontId="6" fillId="0" borderId="103" xfId="0" applyFont="1" applyBorder="1" applyAlignment="1">
      <alignment horizontal="right" vertical="center"/>
    </xf>
    <xf numFmtId="0" fontId="6" fillId="0" borderId="104" xfId="0" applyFont="1" applyBorder="1">
      <alignment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176" fontId="6" fillId="0" borderId="105" xfId="0" applyNumberFormat="1" applyFont="1" applyBorder="1">
      <alignment vertical="center"/>
    </xf>
    <xf numFmtId="0" fontId="6" fillId="0" borderId="68" xfId="0" applyFont="1" applyBorder="1" applyAlignment="1">
      <alignment horizontal="center" vertical="center"/>
    </xf>
    <xf numFmtId="14" fontId="6" fillId="0" borderId="68" xfId="0" applyNumberFormat="1" applyFont="1" applyBorder="1" applyAlignment="1">
      <alignment horizontal="center" vertical="center"/>
    </xf>
    <xf numFmtId="176" fontId="6" fillId="0" borderId="106" xfId="0" applyNumberFormat="1" applyFont="1" applyBorder="1">
      <alignment vertical="center"/>
    </xf>
    <xf numFmtId="14" fontId="6" fillId="0" borderId="27" xfId="0" applyNumberFormat="1" applyFont="1" applyBorder="1" applyAlignment="1">
      <alignment horizontal="center" vertical="center"/>
    </xf>
    <xf numFmtId="176" fontId="6" fillId="0" borderId="107" xfId="0" applyNumberFormat="1" applyFont="1" applyBorder="1">
      <alignment vertical="center"/>
    </xf>
    <xf numFmtId="0" fontId="6" fillId="0" borderId="108" xfId="0" applyFont="1" applyBorder="1" applyAlignment="1">
      <alignment horizontal="center" vertical="center"/>
    </xf>
    <xf numFmtId="14" fontId="6" fillId="0" borderId="108" xfId="0" applyNumberFormat="1" applyFont="1" applyBorder="1" applyAlignment="1">
      <alignment horizontal="center" vertical="center"/>
    </xf>
    <xf numFmtId="176" fontId="27" fillId="3" borderId="109" xfId="0" quotePrefix="1" applyNumberFormat="1" applyFont="1" applyFill="1" applyBorder="1" applyAlignment="1">
      <alignment horizontal="left" vertical="center" indent="1"/>
    </xf>
    <xf numFmtId="0" fontId="6" fillId="0" borderId="68" xfId="0" applyFont="1" applyBorder="1" applyAlignment="1">
      <alignment horizontal="right" vertical="center"/>
    </xf>
    <xf numFmtId="0" fontId="6" fillId="0" borderId="68" xfId="0" quotePrefix="1" applyFont="1" applyBorder="1">
      <alignment vertical="center"/>
    </xf>
    <xf numFmtId="0" fontId="6" fillId="0" borderId="110" xfId="0" applyFont="1" applyBorder="1">
      <alignment vertical="center"/>
    </xf>
    <xf numFmtId="176" fontId="27" fillId="3" borderId="111" xfId="0" quotePrefix="1" applyNumberFormat="1" applyFont="1" applyFill="1" applyBorder="1" applyAlignment="1">
      <alignment horizontal="left" vertical="center" indent="1"/>
    </xf>
    <xf numFmtId="0" fontId="6" fillId="0" borderId="112" xfId="0" applyFont="1" applyBorder="1">
      <alignment vertical="center"/>
    </xf>
    <xf numFmtId="176" fontId="27" fillId="3" borderId="113" xfId="0" quotePrefix="1" applyNumberFormat="1" applyFont="1" applyFill="1" applyBorder="1" applyAlignment="1">
      <alignment horizontal="left" vertical="center" indent="1"/>
    </xf>
    <xf numFmtId="0" fontId="6" fillId="0" borderId="108" xfId="0" applyFont="1" applyBorder="1">
      <alignment vertical="center"/>
    </xf>
    <xf numFmtId="0" fontId="6" fillId="0" borderId="108" xfId="0" applyFont="1" applyBorder="1" applyAlignment="1">
      <alignment horizontal="right" vertical="center"/>
    </xf>
    <xf numFmtId="0" fontId="6" fillId="0" borderId="108" xfId="0" quotePrefix="1" applyFont="1" applyBorder="1">
      <alignment vertical="center"/>
    </xf>
    <xf numFmtId="0" fontId="6" fillId="0" borderId="114" xfId="0" applyFont="1" applyBorder="1">
      <alignment vertical="center"/>
    </xf>
    <xf numFmtId="176" fontId="6" fillId="0" borderId="115" xfId="0" applyNumberFormat="1" applyFont="1" applyBorder="1">
      <alignment vertical="center"/>
    </xf>
    <xf numFmtId="14" fontId="6" fillId="0" borderId="38" xfId="0" applyNumberFormat="1" applyFont="1" applyBorder="1" applyAlignment="1">
      <alignment horizontal="center" vertical="center"/>
    </xf>
    <xf numFmtId="176" fontId="27" fillId="3" borderId="116" xfId="0" quotePrefix="1" applyNumberFormat="1" applyFont="1" applyFill="1" applyBorder="1" applyAlignment="1">
      <alignment horizontal="left" vertical="center" indent="1"/>
    </xf>
    <xf numFmtId="0" fontId="6" fillId="0" borderId="117" xfId="0" applyFont="1" applyBorder="1">
      <alignment vertical="center"/>
    </xf>
    <xf numFmtId="176" fontId="6" fillId="0" borderId="118" xfId="0" applyNumberFormat="1" applyFont="1" applyBorder="1">
      <alignment vertical="center"/>
    </xf>
    <xf numFmtId="0" fontId="6" fillId="0" borderId="119" xfId="0" applyFont="1" applyBorder="1" applyAlignment="1">
      <alignment horizontal="center" vertical="center"/>
    </xf>
    <xf numFmtId="14" fontId="6" fillId="0" borderId="119" xfId="0" applyNumberFormat="1" applyFont="1" applyBorder="1" applyAlignment="1">
      <alignment horizontal="center" vertical="center"/>
    </xf>
    <xf numFmtId="176" fontId="27" fillId="3" borderId="119" xfId="0" quotePrefix="1" applyNumberFormat="1" applyFont="1" applyFill="1" applyBorder="1" applyAlignment="1">
      <alignment horizontal="left" vertical="center" indent="1"/>
    </xf>
    <xf numFmtId="0" fontId="6" fillId="0" borderId="119" xfId="0" applyFont="1" applyBorder="1">
      <alignment vertical="center"/>
    </xf>
    <xf numFmtId="0" fontId="6" fillId="0" borderId="119" xfId="0" applyFont="1" applyBorder="1" applyAlignment="1">
      <alignment horizontal="right" vertical="center"/>
    </xf>
    <xf numFmtId="0" fontId="6" fillId="0" borderId="119" xfId="0" quotePrefix="1" applyFont="1" applyBorder="1">
      <alignment vertical="center"/>
    </xf>
    <xf numFmtId="0" fontId="6" fillId="0" borderId="120" xfId="0" applyFont="1" applyBorder="1">
      <alignment vertical="center"/>
    </xf>
    <xf numFmtId="176" fontId="6" fillId="0" borderId="121" xfId="0" applyNumberFormat="1" applyFont="1" applyBorder="1">
      <alignment vertical="center"/>
    </xf>
    <xf numFmtId="14" fontId="6" fillId="0" borderId="0" xfId="0" applyNumberFormat="1" applyFont="1" applyAlignment="1">
      <alignment horizontal="center" vertical="center"/>
    </xf>
    <xf numFmtId="176" fontId="27" fillId="3" borderId="0" xfId="0" quotePrefix="1" applyNumberFormat="1" applyFont="1" applyFill="1" applyAlignment="1">
      <alignment horizontal="left" vertical="center" indent="1"/>
    </xf>
    <xf numFmtId="0" fontId="6" fillId="0" borderId="122" xfId="0" applyFont="1" applyBorder="1">
      <alignment vertical="center"/>
    </xf>
    <xf numFmtId="176" fontId="6" fillId="0" borderId="123" xfId="0" applyNumberFormat="1" applyFont="1" applyBorder="1">
      <alignment vertical="center"/>
    </xf>
    <xf numFmtId="0" fontId="6" fillId="0" borderId="78" xfId="0" applyFont="1" applyBorder="1" applyAlignment="1">
      <alignment horizontal="center" vertical="center"/>
    </xf>
    <xf numFmtId="14" fontId="6" fillId="0" borderId="78" xfId="0" applyNumberFormat="1" applyFont="1" applyBorder="1" applyAlignment="1">
      <alignment horizontal="center" vertical="center"/>
    </xf>
    <xf numFmtId="176" fontId="27" fillId="3" borderId="78" xfId="0" quotePrefix="1" applyNumberFormat="1" applyFont="1" applyFill="1" applyBorder="1" applyAlignment="1">
      <alignment horizontal="left" vertical="center" indent="1"/>
    </xf>
    <xf numFmtId="0" fontId="6" fillId="0" borderId="124" xfId="0" applyFont="1" applyBorder="1">
      <alignment vertical="center"/>
    </xf>
    <xf numFmtId="0" fontId="6" fillId="0" borderId="65" xfId="0" applyFont="1" applyBorder="1" applyAlignment="1">
      <alignment horizontal="center" vertical="center"/>
    </xf>
    <xf numFmtId="0" fontId="51" fillId="0" borderId="0" xfId="0" applyFont="1">
      <alignment vertical="center"/>
    </xf>
    <xf numFmtId="0" fontId="52" fillId="0" borderId="0" xfId="0" applyFont="1">
      <alignment vertical="center"/>
    </xf>
    <xf numFmtId="0" fontId="6" fillId="0" borderId="40" xfId="0" applyFont="1" applyBorder="1" applyAlignment="1"/>
    <xf numFmtId="0" fontId="53" fillId="0" borderId="0" xfId="0" applyFont="1">
      <alignment vertical="center"/>
    </xf>
    <xf numFmtId="0" fontId="30" fillId="0" borderId="0" xfId="0" applyFont="1">
      <alignment vertical="center"/>
    </xf>
    <xf numFmtId="0" fontId="6" fillId="0" borderId="0" xfId="0" applyFont="1" applyAlignment="1">
      <alignment horizontal="left" vertical="center" wrapText="1"/>
    </xf>
    <xf numFmtId="0" fontId="6" fillId="0" borderId="78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/>
    </xf>
    <xf numFmtId="0" fontId="47" fillId="0" borderId="119" xfId="0" applyFont="1" applyBorder="1">
      <alignment vertical="center"/>
    </xf>
    <xf numFmtId="0" fontId="47" fillId="0" borderId="78" xfId="0" applyFont="1" applyBorder="1">
      <alignment vertical="center"/>
    </xf>
    <xf numFmtId="0" fontId="53" fillId="0" borderId="119" xfId="0" applyFont="1" applyBorder="1">
      <alignment vertical="center"/>
    </xf>
    <xf numFmtId="0" fontId="53" fillId="0" borderId="78" xfId="0" applyFont="1" applyBorder="1">
      <alignment vertical="center"/>
    </xf>
    <xf numFmtId="0" fontId="6" fillId="0" borderId="121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125" xfId="0" applyFont="1" applyBorder="1">
      <alignment vertical="center"/>
    </xf>
    <xf numFmtId="0" fontId="6" fillId="0" borderId="125" xfId="0" applyFont="1" applyBorder="1" applyAlignment="1">
      <alignment horizontal="right" vertical="center"/>
    </xf>
    <xf numFmtId="0" fontId="27" fillId="0" borderId="125" xfId="0" applyFont="1" applyBorder="1" applyAlignment="1">
      <alignment vertical="center" wrapText="1"/>
    </xf>
    <xf numFmtId="0" fontId="6" fillId="0" borderId="126" xfId="0" applyFont="1" applyBorder="1">
      <alignment vertical="center"/>
    </xf>
    <xf numFmtId="0" fontId="6" fillId="0" borderId="21" xfId="0" applyFont="1" applyBorder="1" applyAlignment="1">
      <alignment horizontal="center" vertical="center"/>
    </xf>
    <xf numFmtId="0" fontId="6" fillId="0" borderId="63" xfId="0" applyFont="1" applyBorder="1">
      <alignment vertical="center"/>
    </xf>
    <xf numFmtId="0" fontId="6" fillId="51" borderId="26" xfId="0" applyFont="1" applyFill="1" applyBorder="1">
      <alignment vertical="center"/>
    </xf>
    <xf numFmtId="0" fontId="26" fillId="0" borderId="5" xfId="0" applyFont="1" applyBorder="1">
      <alignment vertical="center"/>
    </xf>
    <xf numFmtId="176" fontId="6" fillId="0" borderId="100" xfId="0" applyNumberFormat="1" applyFont="1" applyBorder="1">
      <alignment vertical="center"/>
    </xf>
    <xf numFmtId="0" fontId="6" fillId="0" borderId="101" xfId="0" applyFont="1" applyBorder="1" applyAlignment="1">
      <alignment horizontal="center" vertical="center"/>
    </xf>
    <xf numFmtId="14" fontId="6" fillId="0" borderId="101" xfId="0" applyNumberFormat="1" applyFont="1" applyBorder="1" applyAlignment="1">
      <alignment horizontal="center" vertical="center"/>
    </xf>
    <xf numFmtId="176" fontId="27" fillId="3" borderId="101" xfId="0" quotePrefix="1" applyNumberFormat="1" applyFont="1" applyFill="1" applyBorder="1" applyAlignment="1">
      <alignment horizontal="left" vertical="center" indent="1"/>
    </xf>
    <xf numFmtId="0" fontId="6" fillId="0" borderId="50" xfId="0" applyFont="1" applyBorder="1" applyAlignment="1"/>
    <xf numFmtId="14" fontId="6" fillId="0" borderId="47" xfId="0" applyNumberFormat="1" applyFont="1" applyBorder="1" applyAlignment="1">
      <alignment horizontal="center" vertical="center"/>
    </xf>
    <xf numFmtId="0" fontId="6" fillId="0" borderId="127" xfId="0" applyFont="1" applyBorder="1">
      <alignment vertical="center"/>
    </xf>
    <xf numFmtId="0" fontId="6" fillId="0" borderId="75" xfId="0" applyFont="1" applyBorder="1" applyAlignment="1">
      <alignment horizontal="center" vertical="center"/>
    </xf>
    <xf numFmtId="0" fontId="6" fillId="0" borderId="128" xfId="0" applyFont="1" applyBorder="1">
      <alignment vertical="center"/>
    </xf>
    <xf numFmtId="0" fontId="54" fillId="0" borderId="0" xfId="0" applyFont="1">
      <alignment vertical="center"/>
    </xf>
    <xf numFmtId="0" fontId="39" fillId="0" borderId="0" xfId="0" applyFont="1">
      <alignment vertical="center"/>
    </xf>
    <xf numFmtId="0" fontId="4" fillId="6" borderId="3" xfId="0" applyFont="1" applyFill="1" applyBorder="1" applyAlignment="1">
      <alignment horizontal="left" vertical="center" indent="1"/>
    </xf>
    <xf numFmtId="0" fontId="4" fillId="6" borderId="2" xfId="0" applyFont="1" applyFill="1" applyBorder="1" applyAlignment="1">
      <alignment horizontal="left" vertical="center" indent="1"/>
    </xf>
    <xf numFmtId="0" fontId="4" fillId="0" borderId="3" xfId="0" applyFont="1" applyBorder="1" applyAlignment="1">
      <alignment horizontal="left" vertical="top" wrapText="1" indent="1"/>
    </xf>
    <xf numFmtId="0" fontId="4" fillId="0" borderId="2" xfId="0" applyFont="1" applyBorder="1" applyAlignment="1">
      <alignment horizontal="left" vertical="top" wrapText="1" indent="1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820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PivotStyle="PivotStyleLight16"/>
  <colors>
    <mruColors>
      <color rgb="FFC39BE1"/>
      <color rgb="FFFF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38100</xdr:rowOff>
        </xdr:from>
        <xdr:to>
          <xdr:col>7</xdr:col>
          <xdr:colOff>1028700</xdr:colOff>
          <xdr:row>2</xdr:row>
          <xdr:rowOff>152400</xdr:rowOff>
        </xdr:to>
        <xdr:sp macro="" textlink="">
          <xdr:nvSpPr>
            <xdr:cNvPr id="1025" name="SheetNameChang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2038350</xdr:colOff>
          <xdr:row>1</xdr:row>
          <xdr:rowOff>38100</xdr:rowOff>
        </xdr:from>
        <xdr:to>
          <xdr:col>7</xdr:col>
          <xdr:colOff>2800350</xdr:colOff>
          <xdr:row>2</xdr:row>
          <xdr:rowOff>152400</xdr:rowOff>
        </xdr:to>
        <xdr:sp macro="" textlink="">
          <xdr:nvSpPr>
            <xdr:cNvPr id="1026" name="JsonMakerCre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1152525</xdr:colOff>
          <xdr:row>1</xdr:row>
          <xdr:rowOff>38100</xdr:rowOff>
        </xdr:from>
        <xdr:to>
          <xdr:col>7</xdr:col>
          <xdr:colOff>1914525</xdr:colOff>
          <xdr:row>2</xdr:row>
          <xdr:rowOff>152400</xdr:rowOff>
        </xdr:to>
        <xdr:sp macro="" textlink="">
          <xdr:nvSpPr>
            <xdr:cNvPr id="1028" name="FieldNameLin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590550</xdr:colOff>
          <xdr:row>1</xdr:row>
          <xdr:rowOff>19050</xdr:rowOff>
        </xdr:to>
        <xdr:sp macro="" textlink="">
          <xdr:nvSpPr>
            <xdr:cNvPr id="3073" name="JsonFileCrea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923925</xdr:colOff>
          <xdr:row>8</xdr:row>
          <xdr:rowOff>104775</xdr:rowOff>
        </xdr:to>
        <xdr:sp macro="" textlink="">
          <xdr:nvSpPr>
            <xdr:cNvPr id="5121" name="JsonFileCre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28575</xdr:rowOff>
        </xdr:from>
        <xdr:to>
          <xdr:col>0</xdr:col>
          <xdr:colOff>923925</xdr:colOff>
          <xdr:row>11</xdr:row>
          <xdr:rowOff>171450</xdr:rowOff>
        </xdr:to>
        <xdr:sp macro="" textlink="">
          <xdr:nvSpPr>
            <xdr:cNvPr id="5122" name="WordDirectionChang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0</xdr:rowOff>
        </xdr:from>
        <xdr:to>
          <xdr:col>0</xdr:col>
          <xdr:colOff>895350</xdr:colOff>
          <xdr:row>9</xdr:row>
          <xdr:rowOff>200025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커밋하기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923925</xdr:colOff>
          <xdr:row>8</xdr:row>
          <xdr:rowOff>104775</xdr:rowOff>
        </xdr:to>
        <xdr:sp macro="" textlink="">
          <xdr:nvSpPr>
            <xdr:cNvPr id="2049" name="JsonFile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28575</xdr:rowOff>
        </xdr:from>
        <xdr:to>
          <xdr:col>0</xdr:col>
          <xdr:colOff>923925</xdr:colOff>
          <xdr:row>11</xdr:row>
          <xdr:rowOff>171450</xdr:rowOff>
        </xdr:to>
        <xdr:sp macro="" textlink="">
          <xdr:nvSpPr>
            <xdr:cNvPr id="2051" name="WordDirectionChang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0</xdr:rowOff>
        </xdr:from>
        <xdr:to>
          <xdr:col>0</xdr:col>
          <xdr:colOff>895350</xdr:colOff>
          <xdr:row>9</xdr:row>
          <xdr:rowOff>200025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커밋하기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B1:H21"/>
  <sheetViews>
    <sheetView workbookViewId="0">
      <selection activeCell="G15" sqref="G15:H15"/>
    </sheetView>
  </sheetViews>
  <sheetFormatPr defaultRowHeight="16.5" x14ac:dyDescent="0.3"/>
  <cols>
    <col min="1" max="1" width="1.125" style="1" customWidth="1"/>
    <col min="2" max="3" width="19.375" style="1" customWidth="1"/>
    <col min="4" max="5" width="9.375" style="1" customWidth="1"/>
    <col min="6" max="6" width="21.875" style="1" customWidth="1"/>
    <col min="7" max="7" width="62.5" style="1" customWidth="1"/>
    <col min="8" max="8" width="37.5" style="1" customWidth="1"/>
    <col min="9" max="9" width="1.25" style="1" customWidth="1"/>
    <col min="10" max="16384" width="9" style="1"/>
  </cols>
  <sheetData>
    <row r="1" spans="2:8" ht="6.75" customHeight="1" x14ac:dyDescent="0.3"/>
    <row r="2" spans="2:8" x14ac:dyDescent="0.3">
      <c r="B2" s="2" t="s">
        <v>10</v>
      </c>
      <c r="C2" s="462" t="s">
        <v>31</v>
      </c>
      <c r="D2" s="463"/>
      <c r="E2" s="463"/>
      <c r="F2" s="463"/>
      <c r="G2" s="463"/>
      <c r="H2" s="466"/>
    </row>
    <row r="3" spans="2:8" ht="16.5" customHeight="1" x14ac:dyDescent="0.3">
      <c r="B3" s="2" t="s">
        <v>11</v>
      </c>
      <c r="C3" s="464" t="s">
        <v>17</v>
      </c>
      <c r="D3" s="465"/>
      <c r="E3" s="465"/>
      <c r="F3" s="465"/>
      <c r="G3" s="465"/>
      <c r="H3" s="467"/>
    </row>
    <row r="4" spans="2:8" x14ac:dyDescent="0.3">
      <c r="H4" s="5" t="s">
        <v>15</v>
      </c>
    </row>
    <row r="5" spans="2:8" x14ac:dyDescent="0.3">
      <c r="B5" s="2" t="s">
        <v>0</v>
      </c>
      <c r="C5" s="2" t="s">
        <v>1</v>
      </c>
      <c r="D5" s="2" t="s">
        <v>4</v>
      </c>
      <c r="E5" s="2" t="s">
        <v>5</v>
      </c>
      <c r="F5" s="2" t="s">
        <v>2</v>
      </c>
      <c r="G5" s="2" t="s">
        <v>3</v>
      </c>
      <c r="H5" s="2" t="s">
        <v>12</v>
      </c>
    </row>
    <row r="6" spans="2:8" x14ac:dyDescent="0.3">
      <c r="B6" s="4" t="s">
        <v>13</v>
      </c>
      <c r="C6" s="3" t="s">
        <v>16</v>
      </c>
      <c r="D6" s="3"/>
      <c r="E6" s="3"/>
      <c r="F6" s="3" t="s">
        <v>7</v>
      </c>
      <c r="G6" s="3" t="s">
        <v>8</v>
      </c>
      <c r="H6" s="3"/>
    </row>
    <row r="7" spans="2:8" ht="33" x14ac:dyDescent="0.3">
      <c r="B7" s="123" t="s">
        <v>2693</v>
      </c>
      <c r="C7" s="123" t="s">
        <v>16</v>
      </c>
      <c r="D7" s="123"/>
      <c r="E7" s="123"/>
      <c r="F7" s="123" t="s">
        <v>2694</v>
      </c>
      <c r="G7" s="123" t="s">
        <v>2695</v>
      </c>
      <c r="H7" s="123"/>
    </row>
    <row r="8" spans="2:8" x14ac:dyDescent="0.3">
      <c r="B8" s="126" t="s">
        <v>2696</v>
      </c>
      <c r="C8" s="56" t="s">
        <v>2697</v>
      </c>
      <c r="D8" s="56"/>
      <c r="E8" s="56"/>
      <c r="F8" s="56" t="s">
        <v>2698</v>
      </c>
      <c r="G8" s="56" t="s">
        <v>2699</v>
      </c>
      <c r="H8" s="56"/>
    </row>
    <row r="9" spans="2:8" x14ac:dyDescent="0.3">
      <c r="B9" s="126" t="s">
        <v>2696</v>
      </c>
      <c r="C9" s="56" t="s">
        <v>2697</v>
      </c>
      <c r="D9" s="56"/>
      <c r="E9" s="56"/>
      <c r="F9" s="56" t="s">
        <v>2700</v>
      </c>
      <c r="G9" s="56" t="s">
        <v>2701</v>
      </c>
      <c r="H9" s="56"/>
    </row>
    <row r="10" spans="2:8" x14ac:dyDescent="0.3">
      <c r="B10" s="126" t="s">
        <v>2696</v>
      </c>
      <c r="C10" s="56" t="s">
        <v>2697</v>
      </c>
      <c r="D10" s="56"/>
      <c r="E10" s="56"/>
      <c r="F10" s="56" t="s">
        <v>2702</v>
      </c>
      <c r="G10" s="56" t="s">
        <v>2703</v>
      </c>
      <c r="H10" s="56"/>
    </row>
    <row r="11" spans="2:8" x14ac:dyDescent="0.3">
      <c r="B11" s="126" t="s">
        <v>2704</v>
      </c>
      <c r="C11" s="56" t="s">
        <v>2705</v>
      </c>
      <c r="D11" s="56"/>
      <c r="E11" s="56"/>
      <c r="F11" s="56" t="s">
        <v>2706</v>
      </c>
      <c r="G11" s="56" t="s">
        <v>2707</v>
      </c>
      <c r="H11" s="56"/>
    </row>
    <row r="12" spans="2:8" x14ac:dyDescent="0.3">
      <c r="B12" s="124" t="s">
        <v>18</v>
      </c>
      <c r="C12" s="125" t="s">
        <v>16</v>
      </c>
      <c r="D12" s="125"/>
      <c r="E12" t="s">
        <v>438</v>
      </c>
      <c r="F12" s="125" t="s">
        <v>24</v>
      </c>
      <c r="G12" s="125" t="s">
        <v>28</v>
      </c>
      <c r="H12" s="125"/>
    </row>
    <row r="13" spans="2:8" x14ac:dyDescent="0.3">
      <c r="B13" s="3" t="s">
        <v>192</v>
      </c>
      <c r="C13" s="3" t="s">
        <v>193</v>
      </c>
      <c r="D13" s="3"/>
      <c r="E13" s="3"/>
      <c r="F13" s="3" t="s">
        <v>194</v>
      </c>
      <c r="G13" s="3"/>
      <c r="H13" s="3"/>
    </row>
    <row r="14" spans="2:8" ht="82.5" x14ac:dyDescent="0.3">
      <c r="B14" s="3" t="s">
        <v>19</v>
      </c>
      <c r="C14" s="3" t="s">
        <v>16</v>
      </c>
      <c r="D14" s="3"/>
      <c r="E14" s="3"/>
      <c r="F14" s="3" t="s">
        <v>25</v>
      </c>
      <c r="G14" s="3" t="s">
        <v>774</v>
      </c>
      <c r="H14" s="3"/>
    </row>
    <row r="15" spans="2:8" x14ac:dyDescent="0.3">
      <c r="B15" s="3" t="s">
        <v>20</v>
      </c>
      <c r="C15" s="3" t="s">
        <v>16</v>
      </c>
      <c r="D15" s="3"/>
      <c r="E15" s="3"/>
      <c r="F15" s="3" t="s">
        <v>26</v>
      </c>
      <c r="G15" s="3" t="s">
        <v>29</v>
      </c>
      <c r="H15" s="3" t="s">
        <v>30</v>
      </c>
    </row>
    <row r="16" spans="2:8" ht="99" x14ac:dyDescent="0.3">
      <c r="B16" s="3" t="s">
        <v>768</v>
      </c>
      <c r="C16" s="3" t="s">
        <v>16</v>
      </c>
      <c r="D16" s="3"/>
      <c r="E16" s="3"/>
      <c r="F16" s="3" t="s">
        <v>769</v>
      </c>
      <c r="G16" s="3" t="s">
        <v>773</v>
      </c>
      <c r="H16" s="3"/>
    </row>
    <row r="17" spans="2:8" ht="33" x14ac:dyDescent="0.3">
      <c r="B17" s="3" t="s">
        <v>946</v>
      </c>
      <c r="C17" s="3" t="s">
        <v>770</v>
      </c>
      <c r="D17" s="3"/>
      <c r="E17" s="3"/>
      <c r="F17" s="3" t="s">
        <v>771</v>
      </c>
      <c r="G17" s="3" t="s">
        <v>772</v>
      </c>
      <c r="H17" s="3"/>
    </row>
    <row r="18" spans="2:8" x14ac:dyDescent="0.3">
      <c r="B18" s="3" t="s">
        <v>21</v>
      </c>
      <c r="C18" s="3" t="s">
        <v>23</v>
      </c>
      <c r="D18" s="3"/>
      <c r="E18" s="3"/>
      <c r="F18" s="3" t="s">
        <v>27</v>
      </c>
      <c r="G18" s="3"/>
      <c r="H18" s="3"/>
    </row>
    <row r="19" spans="2:8" x14ac:dyDescent="0.3">
      <c r="B19" s="3" t="s">
        <v>22</v>
      </c>
      <c r="C19" s="3" t="s">
        <v>23</v>
      </c>
      <c r="D19" s="3"/>
      <c r="E19" s="3"/>
      <c r="F19" s="3" t="s">
        <v>27</v>
      </c>
      <c r="G19" s="3"/>
      <c r="H19" s="3"/>
    </row>
    <row r="20" spans="2:8" x14ac:dyDescent="0.3">
      <c r="B20"/>
    </row>
    <row r="21" spans="2:8" x14ac:dyDescent="0.3">
      <c r="B21"/>
    </row>
  </sheetData>
  <mergeCells count="3">
    <mergeCell ref="C2:G2"/>
    <mergeCell ref="C3:G3"/>
    <mergeCell ref="H2:H3"/>
  </mergeCells>
  <phoneticPr fontId="2" type="noConversion"/>
  <pageMargins left="0.7" right="0.7" top="0.75" bottom="0.75" header="0.3" footer="0.3"/>
  <pageSetup paperSize="9" scale="5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eetNameChangeButton">
          <controlPr defaultSize="0" autoLine="0" autoPict="0" r:id="rId5">
            <anchor moveWithCells="1">
              <from>
                <xdr:col>7</xdr:col>
                <xdr:colOff>57150</xdr:colOff>
                <xdr:row>1</xdr:row>
                <xdr:rowOff>38100</xdr:rowOff>
              </from>
              <to>
                <xdr:col>7</xdr:col>
                <xdr:colOff>1028700</xdr:colOff>
                <xdr:row>2</xdr:row>
                <xdr:rowOff>152400</xdr:rowOff>
              </to>
            </anchor>
          </controlPr>
        </control>
      </mc:Choice>
      <mc:Fallback>
        <control shapeId="1025" r:id="rId4" name="SheetNameChangeButton"/>
      </mc:Fallback>
    </mc:AlternateContent>
    <mc:AlternateContent xmlns:mc="http://schemas.openxmlformats.org/markup-compatibility/2006">
      <mc:Choice Requires="x14">
        <control shapeId="1026" r:id="rId6" name="JsonMakerCreate">
          <controlPr defaultSize="0" autoLine="0" r:id="rId7">
            <anchor moveWithCells="1">
              <from>
                <xdr:col>7</xdr:col>
                <xdr:colOff>2038350</xdr:colOff>
                <xdr:row>1</xdr:row>
                <xdr:rowOff>38100</xdr:rowOff>
              </from>
              <to>
                <xdr:col>7</xdr:col>
                <xdr:colOff>2800350</xdr:colOff>
                <xdr:row>2</xdr:row>
                <xdr:rowOff>152400</xdr:rowOff>
              </to>
            </anchor>
          </controlPr>
        </control>
      </mc:Choice>
      <mc:Fallback>
        <control shapeId="1026" r:id="rId6" name="JsonMakerCreate"/>
      </mc:Fallback>
    </mc:AlternateContent>
    <mc:AlternateContent xmlns:mc="http://schemas.openxmlformats.org/markup-compatibility/2006">
      <mc:Choice Requires="x14">
        <control shapeId="1028" r:id="rId8" name="FieldNameLink">
          <controlPr autoLine="0" r:id="rId9">
            <anchor moveWithCells="1">
              <from>
                <xdr:col>7</xdr:col>
                <xdr:colOff>1152525</xdr:colOff>
                <xdr:row>1</xdr:row>
                <xdr:rowOff>38100</xdr:rowOff>
              </from>
              <to>
                <xdr:col>7</xdr:col>
                <xdr:colOff>1914525</xdr:colOff>
                <xdr:row>2</xdr:row>
                <xdr:rowOff>152400</xdr:rowOff>
              </to>
            </anchor>
          </controlPr>
        </control>
      </mc:Choice>
      <mc:Fallback>
        <control shapeId="1028" r:id="rId8" name="FieldNameLin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2E451-E498-433E-80D3-138C6C9DCEEF}">
  <sheetPr codeName="Sheet3">
    <tabColor rgb="FFFF3300"/>
  </sheetPr>
  <dimension ref="A1:U1599"/>
  <sheetViews>
    <sheetView tabSelected="1" zoomScaleNormal="100" workbookViewId="0">
      <pane xSplit="8" ySplit="4" topLeftCell="K1052" activePane="bottomRight" state="frozen"/>
      <selection pane="topRight" activeCell="D1" sqref="D1"/>
      <selection pane="bottomLeft" activeCell="A5" sqref="A5"/>
      <selection pane="bottomRight" activeCell="H1057" sqref="H1057"/>
    </sheetView>
  </sheetViews>
  <sheetFormatPr defaultRowHeight="12" x14ac:dyDescent="0.3"/>
  <cols>
    <col min="1" max="1" width="3.875" style="50" customWidth="1"/>
    <col min="2" max="2" width="12.125" style="50" bestFit="1" customWidth="1"/>
    <col min="3" max="3" width="12.125" style="50" customWidth="1"/>
    <col min="4" max="5" width="10.5" style="50" bestFit="1" customWidth="1"/>
    <col min="6" max="6" width="11" style="50" customWidth="1"/>
    <col min="7" max="7" width="12.125" style="50" customWidth="1"/>
    <col min="8" max="8" width="11" style="50" bestFit="1" customWidth="1"/>
    <col min="9" max="9" width="16.125" style="50" bestFit="1" customWidth="1"/>
    <col min="10" max="10" width="12.75" style="50" bestFit="1" customWidth="1"/>
    <col min="11" max="11" width="16.125" style="105" bestFit="1" customWidth="1"/>
    <col min="12" max="12" width="14.375" style="50" bestFit="1" customWidth="1"/>
    <col min="13" max="13" width="100.5" style="50" customWidth="1"/>
    <col min="14" max="14" width="54.375" style="50" bestFit="1" customWidth="1"/>
    <col min="15" max="15" width="63.875" style="50" bestFit="1" customWidth="1"/>
    <col min="16" max="16" width="9.625" style="50" customWidth="1"/>
    <col min="17" max="16384" width="9" style="50"/>
  </cols>
  <sheetData>
    <row r="1" spans="1:15" ht="39.950000000000003" customHeight="1" x14ac:dyDescent="0.3"/>
    <row r="2" spans="1:15" ht="16.5" customHeight="1" x14ac:dyDescent="0.3">
      <c r="A2" s="148" t="s">
        <v>14</v>
      </c>
      <c r="B2" s="149" t="str">
        <f>'!명세서'!F6</f>
        <v>언리얼 필수값</v>
      </c>
      <c r="C2" s="149" t="str">
        <f>'!명세서'!$F7</f>
        <v>데이터적용여부</v>
      </c>
      <c r="D2" s="149" t="str">
        <f>'!명세서'!$F8</f>
        <v>국내업데이트</v>
      </c>
      <c r="E2" s="149" t="str">
        <f>'!명세서'!$F9</f>
        <v>수정업데이트</v>
      </c>
      <c r="F2" s="149" t="str">
        <f>'!명세서'!$F10</f>
        <v>글로벌업데이트</v>
      </c>
      <c r="G2" s="149" t="str">
        <f>'!명세서'!$F11</f>
        <v>글로벌 OnOFF</v>
      </c>
      <c r="H2" s="149" t="str">
        <f>'!명세서'!F12</f>
        <v>에러ID</v>
      </c>
      <c r="I2" s="149" t="str">
        <f>'!명세서'!F13</f>
        <v>기획 참고용</v>
      </c>
      <c r="J2" s="149" t="str">
        <f>'!명세서'!F14</f>
        <v>에러TYPE</v>
      </c>
      <c r="K2" s="150" t="str">
        <f>'!명세서'!F15</f>
        <v>연결 스트링메시지ID</v>
      </c>
      <c r="L2" s="149" t="str">
        <f>'!명세서'!F16</f>
        <v>에러TYPE개발버전</v>
      </c>
      <c r="M2" s="149" t="str">
        <f>'!명세서'!F17</f>
        <v>개발버전출력내용</v>
      </c>
      <c r="N2" s="149" t="str">
        <f>'!명세서'!F18</f>
        <v>기획참조</v>
      </c>
      <c r="O2" s="149" t="str">
        <f>'!명세서'!F19</f>
        <v>기획참조</v>
      </c>
    </row>
    <row r="3" spans="1:15" x14ac:dyDescent="0.3">
      <c r="A3" s="151" t="s">
        <v>1</v>
      </c>
      <c r="B3" s="152" t="str">
        <f>'!명세서'!C6</f>
        <v>int</v>
      </c>
      <c r="C3" s="152" t="str">
        <f>'!명세서'!$C7</f>
        <v>int</v>
      </c>
      <c r="D3" s="152" t="str">
        <f>'!명세서'!$C8</f>
        <v>!</v>
      </c>
      <c r="E3" s="152" t="str">
        <f>'!명세서'!$C9</f>
        <v>!</v>
      </c>
      <c r="F3" s="152" t="str">
        <f>'!명세서'!$C10</f>
        <v>!</v>
      </c>
      <c r="G3" s="152" t="str">
        <f>'!명세서'!$C11</f>
        <v>int</v>
      </c>
      <c r="H3" s="152" t="str">
        <f>'!명세서'!C12</f>
        <v>int</v>
      </c>
      <c r="I3" s="152" t="str">
        <f>'!명세서'!C13</f>
        <v>string</v>
      </c>
      <c r="J3" s="152" t="str">
        <f>'!명세서'!C14</f>
        <v>int</v>
      </c>
      <c r="K3" s="153" t="str">
        <f>'!명세서'!C15</f>
        <v>int</v>
      </c>
      <c r="L3" s="152" t="str">
        <f>'!명세서'!C16</f>
        <v>int</v>
      </c>
      <c r="M3" s="152" t="str">
        <f>'!명세서'!C17</f>
        <v>String</v>
      </c>
      <c r="N3" s="152" t="str">
        <f>'!명세서'!C18</f>
        <v>text</v>
      </c>
      <c r="O3" s="152" t="str">
        <f>'!명세서'!C19</f>
        <v>text</v>
      </c>
    </row>
    <row r="4" spans="1:15" x14ac:dyDescent="0.3">
      <c r="A4" s="154" t="s">
        <v>6</v>
      </c>
      <c r="B4" s="155" t="str">
        <f>'!명세서'!B6</f>
        <v>Name</v>
      </c>
      <c r="C4" s="155" t="str">
        <f>'!명세서'!$B7</f>
        <v>DataOnOff</v>
      </c>
      <c r="D4" s="155" t="str">
        <f>'!명세서'!$B8</f>
        <v>!Refer</v>
      </c>
      <c r="E4" s="155" t="str">
        <f>'!명세서'!$B9</f>
        <v>!Refer</v>
      </c>
      <c r="F4" s="155" t="str">
        <f>'!명세서'!$B10</f>
        <v>!Refer</v>
      </c>
      <c r="G4" s="155" t="str">
        <f>'!명세서'!$B11</f>
        <v>DataOnOff_G</v>
      </c>
      <c r="H4" s="155" t="str">
        <f>'!명세서'!B12</f>
        <v>ErrorId</v>
      </c>
      <c r="I4" s="155" t="str">
        <f>'!명세서'!B13</f>
        <v>!ErrorType</v>
      </c>
      <c r="J4" s="155" t="str">
        <f>'!명세서'!B14</f>
        <v>ErrorType</v>
      </c>
      <c r="K4" s="156" t="str">
        <f>'!명세서'!B15</f>
        <v>LinkStringId</v>
      </c>
      <c r="L4" s="155" t="str">
        <f>'!명세서'!B16</f>
        <v>ErrorTypeDev</v>
      </c>
      <c r="M4" s="155" t="str">
        <f>'!명세서'!B17</f>
        <v>LinkStringDev</v>
      </c>
      <c r="N4" s="155" t="str">
        <f>'!명세서'!B18</f>
        <v>!에러코더</v>
      </c>
      <c r="O4" s="155" t="str">
        <f>'!명세서'!B19</f>
        <v>!에러설명</v>
      </c>
    </row>
    <row r="5" spans="1:15" x14ac:dyDescent="0.2">
      <c r="B5" s="39">
        <f t="shared" ref="B5:B38" si="0">H5</f>
        <v>1</v>
      </c>
      <c r="C5" s="39">
        <v>1</v>
      </c>
      <c r="D5" s="39"/>
      <c r="E5" s="39"/>
      <c r="F5" s="39"/>
      <c r="G5" s="39">
        <v>1</v>
      </c>
      <c r="H5" s="21">
        <v>1</v>
      </c>
      <c r="I5" s="21" t="s">
        <v>188</v>
      </c>
      <c r="J5" s="21">
        <v>99</v>
      </c>
      <c r="K5" s="157">
        <v>1400001</v>
      </c>
      <c r="L5" s="21">
        <f t="shared" ref="L5:L38" si="1">VLOOKUP(I5,error,2,FALSE)</f>
        <v>31</v>
      </c>
      <c r="M5" s="21" t="s">
        <v>2105</v>
      </c>
      <c r="N5" s="21" t="s">
        <v>325</v>
      </c>
      <c r="O5" s="21" t="s">
        <v>391</v>
      </c>
    </row>
    <row r="6" spans="1:15" x14ac:dyDescent="0.2">
      <c r="B6" s="39">
        <f t="shared" si="0"/>
        <v>2</v>
      </c>
      <c r="C6" s="39">
        <v>1</v>
      </c>
      <c r="D6" s="39"/>
      <c r="E6" s="39"/>
      <c r="F6" s="39"/>
      <c r="G6" s="39">
        <v>1</v>
      </c>
      <c r="H6" s="21">
        <v>2</v>
      </c>
      <c r="I6" s="21" t="s">
        <v>188</v>
      </c>
      <c r="J6" s="39">
        <v>99</v>
      </c>
      <c r="K6" s="46">
        <v>1400002</v>
      </c>
      <c r="L6" s="39">
        <f t="shared" si="1"/>
        <v>31</v>
      </c>
      <c r="M6" s="39" t="s">
        <v>2106</v>
      </c>
      <c r="N6" s="21" t="s">
        <v>326</v>
      </c>
      <c r="O6" s="21" t="s">
        <v>392</v>
      </c>
    </row>
    <row r="7" spans="1:15" x14ac:dyDescent="0.2">
      <c r="B7" s="39">
        <f t="shared" si="0"/>
        <v>3</v>
      </c>
      <c r="C7" s="39">
        <v>1</v>
      </c>
      <c r="D7" s="39"/>
      <c r="E7" s="39"/>
      <c r="F7" s="39"/>
      <c r="G7" s="39">
        <v>1</v>
      </c>
      <c r="H7" s="21">
        <v>3</v>
      </c>
      <c r="I7" s="21" t="s">
        <v>188</v>
      </c>
      <c r="J7" s="39">
        <v>99</v>
      </c>
      <c r="K7" s="46">
        <v>1400003</v>
      </c>
      <c r="L7" s="39">
        <f t="shared" si="1"/>
        <v>31</v>
      </c>
      <c r="M7" s="39" t="s">
        <v>2107</v>
      </c>
      <c r="N7" s="21" t="s">
        <v>327</v>
      </c>
      <c r="O7" s="21" t="s">
        <v>393</v>
      </c>
    </row>
    <row r="8" spans="1:15" x14ac:dyDescent="0.2">
      <c r="B8" s="39">
        <f t="shared" si="0"/>
        <v>4</v>
      </c>
      <c r="C8" s="39">
        <v>1</v>
      </c>
      <c r="D8" s="39"/>
      <c r="E8" s="39"/>
      <c r="F8" s="39"/>
      <c r="G8" s="39">
        <v>1</v>
      </c>
      <c r="H8" s="21">
        <v>4</v>
      </c>
      <c r="I8" s="21" t="s">
        <v>188</v>
      </c>
      <c r="J8" s="39">
        <v>99</v>
      </c>
      <c r="K8" s="46">
        <v>1400004</v>
      </c>
      <c r="L8" s="39">
        <f t="shared" si="1"/>
        <v>31</v>
      </c>
      <c r="M8" s="39" t="s">
        <v>2108</v>
      </c>
      <c r="N8" s="21" t="s">
        <v>328</v>
      </c>
      <c r="O8" s="21" t="s">
        <v>394</v>
      </c>
    </row>
    <row r="9" spans="1:15" x14ac:dyDescent="0.2">
      <c r="B9" s="39">
        <f t="shared" si="0"/>
        <v>5</v>
      </c>
      <c r="C9" s="39">
        <v>1</v>
      </c>
      <c r="D9" s="39"/>
      <c r="E9" s="39"/>
      <c r="F9" s="39"/>
      <c r="G9" s="39">
        <v>1</v>
      </c>
      <c r="H9" s="21">
        <v>5</v>
      </c>
      <c r="I9" s="21" t="s">
        <v>188</v>
      </c>
      <c r="J9" s="39">
        <v>99</v>
      </c>
      <c r="K9" s="46">
        <v>1400005</v>
      </c>
      <c r="L9" s="39">
        <f t="shared" si="1"/>
        <v>31</v>
      </c>
      <c r="M9" s="39" t="s">
        <v>2109</v>
      </c>
      <c r="N9" s="21" t="s">
        <v>329</v>
      </c>
      <c r="O9" s="21" t="s">
        <v>395</v>
      </c>
    </row>
    <row r="10" spans="1:15" x14ac:dyDescent="0.2">
      <c r="B10" s="39">
        <f t="shared" si="0"/>
        <v>6</v>
      </c>
      <c r="C10" s="39">
        <v>1</v>
      </c>
      <c r="D10" s="39"/>
      <c r="E10" s="39"/>
      <c r="F10" s="39"/>
      <c r="G10" s="39">
        <v>1</v>
      </c>
      <c r="H10" s="21">
        <v>6</v>
      </c>
      <c r="I10" s="21" t="s">
        <v>188</v>
      </c>
      <c r="J10" s="39">
        <v>99</v>
      </c>
      <c r="K10" s="46">
        <v>1400006</v>
      </c>
      <c r="L10" s="39">
        <f t="shared" si="1"/>
        <v>31</v>
      </c>
      <c r="M10" s="39" t="s">
        <v>2110</v>
      </c>
      <c r="N10" s="21" t="s">
        <v>330</v>
      </c>
      <c r="O10" s="21" t="s">
        <v>396</v>
      </c>
    </row>
    <row r="11" spans="1:15" x14ac:dyDescent="0.2">
      <c r="B11" s="39">
        <f t="shared" si="0"/>
        <v>7</v>
      </c>
      <c r="C11" s="39">
        <v>1</v>
      </c>
      <c r="D11" s="39"/>
      <c r="E11" s="39"/>
      <c r="F11" s="39"/>
      <c r="G11" s="39">
        <v>1</v>
      </c>
      <c r="H11" s="21">
        <v>7</v>
      </c>
      <c r="I11" s="21" t="s">
        <v>188</v>
      </c>
      <c r="J11" s="39">
        <v>99</v>
      </c>
      <c r="K11" s="46">
        <v>1400007</v>
      </c>
      <c r="L11" s="39">
        <f t="shared" si="1"/>
        <v>31</v>
      </c>
      <c r="M11" s="39" t="s">
        <v>2111</v>
      </c>
      <c r="N11" s="21" t="s">
        <v>331</v>
      </c>
      <c r="O11" s="21" t="s">
        <v>397</v>
      </c>
    </row>
    <row r="12" spans="1:15" x14ac:dyDescent="0.2">
      <c r="B12" s="39">
        <f t="shared" si="0"/>
        <v>8</v>
      </c>
      <c r="C12" s="39">
        <v>1</v>
      </c>
      <c r="D12" s="39"/>
      <c r="E12" s="39"/>
      <c r="F12" s="39"/>
      <c r="G12" s="39">
        <v>1</v>
      </c>
      <c r="H12" s="21">
        <v>8</v>
      </c>
      <c r="I12" s="21" t="s">
        <v>188</v>
      </c>
      <c r="J12" s="39">
        <v>99</v>
      </c>
      <c r="K12" s="46">
        <v>1400008</v>
      </c>
      <c r="L12" s="39">
        <f t="shared" si="1"/>
        <v>31</v>
      </c>
      <c r="M12" s="39" t="s">
        <v>2112</v>
      </c>
      <c r="N12" s="21" t="s">
        <v>332</v>
      </c>
      <c r="O12" s="21" t="s">
        <v>398</v>
      </c>
    </row>
    <row r="13" spans="1:15" x14ac:dyDescent="0.2">
      <c r="B13" s="39">
        <f t="shared" si="0"/>
        <v>101</v>
      </c>
      <c r="C13" s="39">
        <v>1</v>
      </c>
      <c r="D13" s="39"/>
      <c r="E13" s="39"/>
      <c r="F13" s="39"/>
      <c r="G13" s="39">
        <v>1</v>
      </c>
      <c r="H13" s="21">
        <v>101</v>
      </c>
      <c r="I13" s="21" t="s">
        <v>188</v>
      </c>
      <c r="J13" s="39">
        <v>99</v>
      </c>
      <c r="K13" s="46">
        <v>1400009</v>
      </c>
      <c r="L13" s="39">
        <f t="shared" si="1"/>
        <v>31</v>
      </c>
      <c r="M13" s="39" t="s">
        <v>2113</v>
      </c>
      <c r="N13" s="21" t="s">
        <v>333</v>
      </c>
      <c r="O13" s="21" t="s">
        <v>399</v>
      </c>
    </row>
    <row r="14" spans="1:15" x14ac:dyDescent="0.2">
      <c r="B14" s="39">
        <f t="shared" si="0"/>
        <v>201</v>
      </c>
      <c r="C14" s="39">
        <v>1</v>
      </c>
      <c r="D14" s="39"/>
      <c r="E14" s="39"/>
      <c r="F14" s="39"/>
      <c r="G14" s="39">
        <v>1</v>
      </c>
      <c r="H14" s="21">
        <v>201</v>
      </c>
      <c r="I14" s="21" t="s">
        <v>188</v>
      </c>
      <c r="J14" s="39">
        <v>99</v>
      </c>
      <c r="K14" s="46">
        <v>1400010</v>
      </c>
      <c r="L14" s="39">
        <f t="shared" si="1"/>
        <v>31</v>
      </c>
      <c r="M14" s="39" t="s">
        <v>2114</v>
      </c>
      <c r="N14" s="21" t="s">
        <v>334</v>
      </c>
      <c r="O14" s="21" t="s">
        <v>400</v>
      </c>
    </row>
    <row r="15" spans="1:15" x14ac:dyDescent="0.2">
      <c r="B15" s="39">
        <f t="shared" si="0"/>
        <v>203</v>
      </c>
      <c r="C15" s="39">
        <v>1</v>
      </c>
      <c r="D15" s="39"/>
      <c r="E15" s="39"/>
      <c r="F15" s="39"/>
      <c r="G15" s="39">
        <v>1</v>
      </c>
      <c r="H15" s="21">
        <v>203</v>
      </c>
      <c r="I15" s="21" t="s">
        <v>188</v>
      </c>
      <c r="J15" s="39">
        <v>99</v>
      </c>
      <c r="K15" s="46">
        <v>1400011</v>
      </c>
      <c r="L15" s="39">
        <f t="shared" si="1"/>
        <v>31</v>
      </c>
      <c r="M15" s="39" t="s">
        <v>2115</v>
      </c>
      <c r="N15" s="21" t="s">
        <v>335</v>
      </c>
      <c r="O15" s="21" t="s">
        <v>401</v>
      </c>
    </row>
    <row r="16" spans="1:15" x14ac:dyDescent="0.2">
      <c r="B16" s="39">
        <f t="shared" si="0"/>
        <v>204</v>
      </c>
      <c r="C16" s="39">
        <v>1</v>
      </c>
      <c r="D16" s="39"/>
      <c r="E16" s="39"/>
      <c r="F16" s="39"/>
      <c r="G16" s="39">
        <v>1</v>
      </c>
      <c r="H16" s="21">
        <v>204</v>
      </c>
      <c r="I16" s="21" t="s">
        <v>188</v>
      </c>
      <c r="J16" s="39">
        <v>99</v>
      </c>
      <c r="K16" s="46">
        <v>1400012</v>
      </c>
      <c r="L16" s="39">
        <f t="shared" si="1"/>
        <v>31</v>
      </c>
      <c r="M16" s="39" t="s">
        <v>2116</v>
      </c>
      <c r="N16" s="21" t="s">
        <v>336</v>
      </c>
      <c r="O16" s="21" t="s">
        <v>402</v>
      </c>
    </row>
    <row r="17" spans="2:15" x14ac:dyDescent="0.2">
      <c r="B17" s="39">
        <f t="shared" si="0"/>
        <v>301</v>
      </c>
      <c r="C17" s="39">
        <v>1</v>
      </c>
      <c r="D17" s="39"/>
      <c r="E17" s="39"/>
      <c r="F17" s="39"/>
      <c r="G17" s="39">
        <v>1</v>
      </c>
      <c r="H17" s="21">
        <v>301</v>
      </c>
      <c r="I17" s="21" t="s">
        <v>188</v>
      </c>
      <c r="J17" s="39">
        <v>99</v>
      </c>
      <c r="K17" s="46">
        <v>1400013</v>
      </c>
      <c r="L17" s="39">
        <f t="shared" si="1"/>
        <v>31</v>
      </c>
      <c r="M17" s="39" t="s">
        <v>2117</v>
      </c>
      <c r="N17" s="21" t="s">
        <v>337</v>
      </c>
      <c r="O17" s="21" t="s">
        <v>403</v>
      </c>
    </row>
    <row r="18" spans="2:15" x14ac:dyDescent="0.2">
      <c r="B18" s="39">
        <f t="shared" si="0"/>
        <v>302</v>
      </c>
      <c r="C18" s="39">
        <v>1</v>
      </c>
      <c r="D18" s="39"/>
      <c r="E18" s="39"/>
      <c r="F18" s="39"/>
      <c r="G18" s="39">
        <v>1</v>
      </c>
      <c r="H18" s="21">
        <v>302</v>
      </c>
      <c r="I18" s="21" t="s">
        <v>188</v>
      </c>
      <c r="J18" s="39">
        <v>99</v>
      </c>
      <c r="K18" s="46">
        <v>1400014</v>
      </c>
      <c r="L18" s="39">
        <f t="shared" si="1"/>
        <v>31</v>
      </c>
      <c r="M18" s="39" t="s">
        <v>2118</v>
      </c>
      <c r="N18" s="21" t="s">
        <v>338</v>
      </c>
      <c r="O18" s="21" t="s">
        <v>404</v>
      </c>
    </row>
    <row r="19" spans="2:15" x14ac:dyDescent="0.2">
      <c r="B19" s="39">
        <f t="shared" si="0"/>
        <v>401</v>
      </c>
      <c r="C19" s="39">
        <v>1</v>
      </c>
      <c r="D19" s="39"/>
      <c r="E19" s="39"/>
      <c r="F19" s="39"/>
      <c r="G19" s="39">
        <v>1</v>
      </c>
      <c r="H19" s="21">
        <v>401</v>
      </c>
      <c r="I19" s="21" t="s">
        <v>188</v>
      </c>
      <c r="J19" s="39">
        <v>99</v>
      </c>
      <c r="K19" s="46">
        <v>1400015</v>
      </c>
      <c r="L19" s="39">
        <f t="shared" si="1"/>
        <v>31</v>
      </c>
      <c r="M19" s="39" t="s">
        <v>2119</v>
      </c>
      <c r="N19" s="21" t="s">
        <v>339</v>
      </c>
      <c r="O19" s="21" t="s">
        <v>399</v>
      </c>
    </row>
    <row r="20" spans="2:15" x14ac:dyDescent="0.2">
      <c r="B20" s="39">
        <f t="shared" si="0"/>
        <v>402</v>
      </c>
      <c r="C20" s="39">
        <v>1</v>
      </c>
      <c r="D20" s="39"/>
      <c r="E20" s="39"/>
      <c r="F20" s="39"/>
      <c r="G20" s="39">
        <v>1</v>
      </c>
      <c r="H20" s="21">
        <v>402</v>
      </c>
      <c r="I20" s="21" t="s">
        <v>188</v>
      </c>
      <c r="J20" s="39">
        <v>99</v>
      </c>
      <c r="K20" s="46">
        <v>1400016</v>
      </c>
      <c r="L20" s="39">
        <f t="shared" si="1"/>
        <v>31</v>
      </c>
      <c r="M20" s="39" t="s">
        <v>2120</v>
      </c>
      <c r="N20" s="21" t="s">
        <v>340</v>
      </c>
      <c r="O20" s="21" t="s">
        <v>401</v>
      </c>
    </row>
    <row r="21" spans="2:15" x14ac:dyDescent="0.2">
      <c r="B21" s="39">
        <f t="shared" si="0"/>
        <v>403</v>
      </c>
      <c r="C21" s="39">
        <v>1</v>
      </c>
      <c r="D21" s="39"/>
      <c r="E21" s="39"/>
      <c r="F21" s="39"/>
      <c r="G21" s="39">
        <v>1</v>
      </c>
      <c r="H21" s="21">
        <v>403</v>
      </c>
      <c r="I21" s="21" t="s">
        <v>188</v>
      </c>
      <c r="J21" s="39">
        <v>99</v>
      </c>
      <c r="K21" s="46">
        <v>1400017</v>
      </c>
      <c r="L21" s="39">
        <f t="shared" si="1"/>
        <v>31</v>
      </c>
      <c r="M21" s="39" t="s">
        <v>2121</v>
      </c>
      <c r="N21" s="21" t="s">
        <v>341</v>
      </c>
      <c r="O21" s="21" t="s">
        <v>405</v>
      </c>
    </row>
    <row r="22" spans="2:15" x14ac:dyDescent="0.2">
      <c r="B22" s="39">
        <f t="shared" si="0"/>
        <v>404</v>
      </c>
      <c r="C22" s="39">
        <v>1</v>
      </c>
      <c r="D22" s="39"/>
      <c r="E22" s="39"/>
      <c r="F22" s="39"/>
      <c r="G22" s="39">
        <v>1</v>
      </c>
      <c r="H22" s="21">
        <v>404</v>
      </c>
      <c r="I22" s="21" t="s">
        <v>188</v>
      </c>
      <c r="J22" s="39">
        <v>99</v>
      </c>
      <c r="K22" s="46">
        <v>1400018</v>
      </c>
      <c r="L22" s="39">
        <f t="shared" si="1"/>
        <v>31</v>
      </c>
      <c r="M22" s="39" t="s">
        <v>2122</v>
      </c>
      <c r="N22" s="21" t="s">
        <v>342</v>
      </c>
      <c r="O22" s="21" t="s">
        <v>406</v>
      </c>
    </row>
    <row r="23" spans="2:15" x14ac:dyDescent="0.2">
      <c r="B23" s="39">
        <f t="shared" si="0"/>
        <v>405</v>
      </c>
      <c r="C23" s="39">
        <v>1</v>
      </c>
      <c r="D23" s="39"/>
      <c r="E23" s="39"/>
      <c r="F23" s="39"/>
      <c r="G23" s="39">
        <v>1</v>
      </c>
      <c r="H23" s="21">
        <v>405</v>
      </c>
      <c r="I23" s="21" t="s">
        <v>188</v>
      </c>
      <c r="J23" s="39">
        <v>99</v>
      </c>
      <c r="K23" s="46">
        <v>1400019</v>
      </c>
      <c r="L23" s="39">
        <f t="shared" si="1"/>
        <v>31</v>
      </c>
      <c r="M23" s="39" t="s">
        <v>2123</v>
      </c>
      <c r="N23" s="21" t="s">
        <v>343</v>
      </c>
      <c r="O23" s="21" t="s">
        <v>407</v>
      </c>
    </row>
    <row r="24" spans="2:15" x14ac:dyDescent="0.2">
      <c r="B24" s="39">
        <f t="shared" si="0"/>
        <v>406</v>
      </c>
      <c r="C24" s="39">
        <v>1</v>
      </c>
      <c r="D24" s="39"/>
      <c r="E24" s="39"/>
      <c r="F24" s="39"/>
      <c r="G24" s="39">
        <v>1</v>
      </c>
      <c r="H24" s="21">
        <v>406</v>
      </c>
      <c r="I24" s="21" t="s">
        <v>188</v>
      </c>
      <c r="J24" s="39">
        <v>99</v>
      </c>
      <c r="K24" s="46">
        <v>1400020</v>
      </c>
      <c r="L24" s="39">
        <f t="shared" si="1"/>
        <v>31</v>
      </c>
      <c r="M24" s="39" t="s">
        <v>2124</v>
      </c>
      <c r="N24" s="21" t="s">
        <v>344</v>
      </c>
      <c r="O24" s="21" t="s">
        <v>408</v>
      </c>
    </row>
    <row r="25" spans="2:15" x14ac:dyDescent="0.2">
      <c r="B25" s="39">
        <f t="shared" si="0"/>
        <v>501</v>
      </c>
      <c r="C25" s="39">
        <v>1</v>
      </c>
      <c r="D25" s="39"/>
      <c r="E25" s="39"/>
      <c r="F25" s="39"/>
      <c r="G25" s="39">
        <v>1</v>
      </c>
      <c r="H25" s="21">
        <v>501</v>
      </c>
      <c r="I25" s="21" t="s">
        <v>188</v>
      </c>
      <c r="J25" s="39">
        <v>99</v>
      </c>
      <c r="K25" s="46">
        <v>1400021</v>
      </c>
      <c r="L25" s="39">
        <f t="shared" si="1"/>
        <v>31</v>
      </c>
      <c r="M25" s="39" t="s">
        <v>2125</v>
      </c>
      <c r="N25" s="21" t="s">
        <v>345</v>
      </c>
      <c r="O25" s="21" t="s">
        <v>409</v>
      </c>
    </row>
    <row r="26" spans="2:15" x14ac:dyDescent="0.2">
      <c r="B26" s="39">
        <f t="shared" si="0"/>
        <v>502</v>
      </c>
      <c r="C26" s="39">
        <v>1</v>
      </c>
      <c r="D26" s="39"/>
      <c r="E26" s="39"/>
      <c r="F26" s="39"/>
      <c r="G26" s="39">
        <v>1</v>
      </c>
      <c r="H26" s="21">
        <v>502</v>
      </c>
      <c r="I26" s="21" t="s">
        <v>188</v>
      </c>
      <c r="J26" s="39">
        <v>99</v>
      </c>
      <c r="K26" s="46">
        <v>1400022</v>
      </c>
      <c r="L26" s="39">
        <f t="shared" si="1"/>
        <v>31</v>
      </c>
      <c r="M26" s="39" t="s">
        <v>2126</v>
      </c>
      <c r="N26" s="21" t="s">
        <v>346</v>
      </c>
      <c r="O26" s="21" t="s">
        <v>410</v>
      </c>
    </row>
    <row r="27" spans="2:15" x14ac:dyDescent="0.2">
      <c r="B27" s="39">
        <f t="shared" si="0"/>
        <v>601</v>
      </c>
      <c r="C27" s="39">
        <v>1</v>
      </c>
      <c r="D27" s="39"/>
      <c r="E27" s="39"/>
      <c r="F27" s="39"/>
      <c r="G27" s="39">
        <v>1</v>
      </c>
      <c r="H27" s="21">
        <v>601</v>
      </c>
      <c r="I27" s="21" t="s">
        <v>188</v>
      </c>
      <c r="J27" s="39">
        <v>99</v>
      </c>
      <c r="K27" s="46">
        <v>1400023</v>
      </c>
      <c r="L27" s="39">
        <f t="shared" si="1"/>
        <v>31</v>
      </c>
      <c r="M27" s="39" t="s">
        <v>2127</v>
      </c>
      <c r="N27" s="21" t="s">
        <v>347</v>
      </c>
      <c r="O27" s="21" t="s">
        <v>411</v>
      </c>
    </row>
    <row r="28" spans="2:15" x14ac:dyDescent="0.2">
      <c r="B28" s="39">
        <f t="shared" si="0"/>
        <v>602</v>
      </c>
      <c r="C28" s="39">
        <v>1</v>
      </c>
      <c r="D28" s="39"/>
      <c r="E28" s="39"/>
      <c r="F28" s="39"/>
      <c r="G28" s="39">
        <v>1</v>
      </c>
      <c r="H28" s="21">
        <v>602</v>
      </c>
      <c r="I28" s="21" t="s">
        <v>188</v>
      </c>
      <c r="J28" s="39">
        <v>99</v>
      </c>
      <c r="K28" s="46">
        <v>1400024</v>
      </c>
      <c r="L28" s="39">
        <f t="shared" si="1"/>
        <v>31</v>
      </c>
      <c r="M28" s="39" t="s">
        <v>2128</v>
      </c>
      <c r="N28" s="21" t="s">
        <v>348</v>
      </c>
      <c r="O28" s="21" t="s">
        <v>401</v>
      </c>
    </row>
    <row r="29" spans="2:15" x14ac:dyDescent="0.2">
      <c r="B29" s="39">
        <f t="shared" si="0"/>
        <v>603</v>
      </c>
      <c r="C29" s="39">
        <v>1</v>
      </c>
      <c r="D29" s="39"/>
      <c r="E29" s="39"/>
      <c r="F29" s="39"/>
      <c r="G29" s="39">
        <v>1</v>
      </c>
      <c r="H29" s="21">
        <v>603</v>
      </c>
      <c r="I29" s="21" t="s">
        <v>188</v>
      </c>
      <c r="J29" s="39">
        <v>99</v>
      </c>
      <c r="K29" s="46">
        <v>1400025</v>
      </c>
      <c r="L29" s="39">
        <f t="shared" si="1"/>
        <v>31</v>
      </c>
      <c r="M29" s="39" t="s">
        <v>2129</v>
      </c>
      <c r="N29" s="21" t="s">
        <v>349</v>
      </c>
      <c r="O29" s="21" t="s">
        <v>412</v>
      </c>
    </row>
    <row r="30" spans="2:15" x14ac:dyDescent="0.2">
      <c r="B30" s="39">
        <f t="shared" si="0"/>
        <v>604</v>
      </c>
      <c r="C30" s="39">
        <v>1</v>
      </c>
      <c r="D30" s="39"/>
      <c r="E30" s="39"/>
      <c r="F30" s="39"/>
      <c r="G30" s="39">
        <v>1</v>
      </c>
      <c r="H30" s="21">
        <v>604</v>
      </c>
      <c r="I30" s="21" t="s">
        <v>188</v>
      </c>
      <c r="J30" s="39">
        <v>99</v>
      </c>
      <c r="K30" s="46">
        <v>1400026</v>
      </c>
      <c r="L30" s="39">
        <f t="shared" si="1"/>
        <v>31</v>
      </c>
      <c r="M30" s="39" t="s">
        <v>2130</v>
      </c>
      <c r="N30" s="21" t="s">
        <v>350</v>
      </c>
      <c r="O30" s="21" t="s">
        <v>413</v>
      </c>
    </row>
    <row r="31" spans="2:15" x14ac:dyDescent="0.2">
      <c r="B31" s="39">
        <f t="shared" si="0"/>
        <v>701</v>
      </c>
      <c r="C31" s="39">
        <v>1</v>
      </c>
      <c r="D31" s="39"/>
      <c r="E31" s="39"/>
      <c r="F31" s="39"/>
      <c r="G31" s="39">
        <v>1</v>
      </c>
      <c r="H31" s="21">
        <v>701</v>
      </c>
      <c r="I31" s="21" t="s">
        <v>188</v>
      </c>
      <c r="J31" s="39">
        <v>99</v>
      </c>
      <c r="K31" s="46">
        <v>1400027</v>
      </c>
      <c r="L31" s="39">
        <f t="shared" si="1"/>
        <v>31</v>
      </c>
      <c r="M31" s="39" t="s">
        <v>2131</v>
      </c>
      <c r="N31" s="21" t="s">
        <v>351</v>
      </c>
      <c r="O31" s="21" t="s">
        <v>414</v>
      </c>
    </row>
    <row r="32" spans="2:15" x14ac:dyDescent="0.2">
      <c r="B32" s="39">
        <f t="shared" si="0"/>
        <v>702</v>
      </c>
      <c r="C32" s="39">
        <v>1</v>
      </c>
      <c r="D32" s="39"/>
      <c r="E32" s="39"/>
      <c r="F32" s="39"/>
      <c r="G32" s="39">
        <v>1</v>
      </c>
      <c r="H32" s="21">
        <v>702</v>
      </c>
      <c r="I32" s="21" t="s">
        <v>188</v>
      </c>
      <c r="J32" s="39">
        <v>99</v>
      </c>
      <c r="K32" s="46">
        <v>1400028</v>
      </c>
      <c r="L32" s="39">
        <f t="shared" si="1"/>
        <v>31</v>
      </c>
      <c r="M32" s="39" t="s">
        <v>2132</v>
      </c>
      <c r="N32" s="21" t="s">
        <v>352</v>
      </c>
      <c r="O32" s="21" t="s">
        <v>415</v>
      </c>
    </row>
    <row r="33" spans="2:15" x14ac:dyDescent="0.2">
      <c r="B33" s="39">
        <f t="shared" si="0"/>
        <v>703</v>
      </c>
      <c r="C33" s="39">
        <v>1</v>
      </c>
      <c r="D33" s="39"/>
      <c r="E33" s="39"/>
      <c r="F33" s="39"/>
      <c r="G33" s="39">
        <v>1</v>
      </c>
      <c r="H33" s="21">
        <v>703</v>
      </c>
      <c r="I33" s="21" t="s">
        <v>188</v>
      </c>
      <c r="J33" s="39">
        <v>99</v>
      </c>
      <c r="K33" s="46">
        <v>1400029</v>
      </c>
      <c r="L33" s="39">
        <f t="shared" si="1"/>
        <v>31</v>
      </c>
      <c r="M33" s="39" t="s">
        <v>2133</v>
      </c>
      <c r="N33" s="21" t="s">
        <v>353</v>
      </c>
      <c r="O33" s="21" t="s">
        <v>416</v>
      </c>
    </row>
    <row r="34" spans="2:15" x14ac:dyDescent="0.2">
      <c r="B34" s="39">
        <f t="shared" si="0"/>
        <v>802</v>
      </c>
      <c r="C34" s="39">
        <v>1</v>
      </c>
      <c r="D34" s="39"/>
      <c r="E34" s="39"/>
      <c r="F34" s="39"/>
      <c r="G34" s="39">
        <v>1</v>
      </c>
      <c r="H34" s="21">
        <v>802</v>
      </c>
      <c r="I34" s="21" t="s">
        <v>188</v>
      </c>
      <c r="J34" s="39">
        <v>99</v>
      </c>
      <c r="K34" s="46">
        <v>1400030</v>
      </c>
      <c r="L34" s="39">
        <f t="shared" si="1"/>
        <v>31</v>
      </c>
      <c r="M34" s="39" t="s">
        <v>2134</v>
      </c>
      <c r="N34" s="21" t="s">
        <v>354</v>
      </c>
      <c r="O34" s="21" t="s">
        <v>401</v>
      </c>
    </row>
    <row r="35" spans="2:15" x14ac:dyDescent="0.2">
      <c r="B35" s="39">
        <f t="shared" si="0"/>
        <v>903</v>
      </c>
      <c r="C35" s="39">
        <v>1</v>
      </c>
      <c r="D35" s="39"/>
      <c r="E35" s="39"/>
      <c r="F35" s="39"/>
      <c r="G35" s="39">
        <v>1</v>
      </c>
      <c r="H35" s="21">
        <v>903</v>
      </c>
      <c r="I35" s="21" t="s">
        <v>188</v>
      </c>
      <c r="J35" s="39">
        <v>99</v>
      </c>
      <c r="K35" s="46">
        <v>1400031</v>
      </c>
      <c r="L35" s="39">
        <f t="shared" si="1"/>
        <v>31</v>
      </c>
      <c r="M35" s="39" t="s">
        <v>2135</v>
      </c>
      <c r="N35" s="21" t="s">
        <v>355</v>
      </c>
      <c r="O35" s="21" t="s">
        <v>417</v>
      </c>
    </row>
    <row r="36" spans="2:15" ht="16.5" customHeight="1" x14ac:dyDescent="0.3">
      <c r="B36" s="39">
        <f t="shared" si="0"/>
        <v>1001</v>
      </c>
      <c r="C36" s="39">
        <v>1</v>
      </c>
      <c r="D36" s="39"/>
      <c r="E36" s="39"/>
      <c r="F36" s="39"/>
      <c r="G36" s="39">
        <v>1</v>
      </c>
      <c r="H36" s="39">
        <v>1001</v>
      </c>
      <c r="I36" s="39" t="s">
        <v>186</v>
      </c>
      <c r="J36" s="39">
        <v>23</v>
      </c>
      <c r="K36" s="46">
        <v>1400483</v>
      </c>
      <c r="L36" s="39">
        <f t="shared" si="1"/>
        <v>21</v>
      </c>
      <c r="M36" s="39" t="s">
        <v>2136</v>
      </c>
      <c r="N36" s="39" t="s">
        <v>1262</v>
      </c>
      <c r="O36" s="39" t="s">
        <v>1261</v>
      </c>
    </row>
    <row r="37" spans="2:15" ht="16.5" customHeight="1" x14ac:dyDescent="0.3">
      <c r="B37" s="39">
        <f t="shared" si="0"/>
        <v>1101</v>
      </c>
      <c r="C37" s="39">
        <v>1</v>
      </c>
      <c r="D37" s="39"/>
      <c r="E37" s="39"/>
      <c r="F37" s="39"/>
      <c r="G37" s="39">
        <v>1</v>
      </c>
      <c r="H37" s="39">
        <v>1101</v>
      </c>
      <c r="I37" s="39" t="s">
        <v>187</v>
      </c>
      <c r="J37" s="39">
        <v>21</v>
      </c>
      <c r="K37" s="46">
        <v>1028123</v>
      </c>
      <c r="L37" s="39">
        <f t="shared" si="1"/>
        <v>21</v>
      </c>
      <c r="M37" s="39" t="s">
        <v>2137</v>
      </c>
      <c r="N37" s="39" t="s">
        <v>1051</v>
      </c>
      <c r="O37" s="39"/>
    </row>
    <row r="38" spans="2:15" ht="16.5" customHeight="1" x14ac:dyDescent="0.3">
      <c r="B38" s="39">
        <f t="shared" si="0"/>
        <v>1102</v>
      </c>
      <c r="C38" s="39">
        <v>1</v>
      </c>
      <c r="D38" s="39"/>
      <c r="E38" s="39"/>
      <c r="F38" s="39"/>
      <c r="G38" s="39">
        <v>1</v>
      </c>
      <c r="H38" s="39">
        <v>1102</v>
      </c>
      <c r="I38" s="39" t="s">
        <v>187</v>
      </c>
      <c r="J38" s="39">
        <v>21</v>
      </c>
      <c r="K38" s="46">
        <v>1028124</v>
      </c>
      <c r="L38" s="39">
        <f t="shared" si="1"/>
        <v>21</v>
      </c>
      <c r="M38" s="39" t="s">
        <v>2138</v>
      </c>
      <c r="N38" s="39" t="s">
        <v>1052</v>
      </c>
      <c r="O38" s="39"/>
    </row>
    <row r="39" spans="2:15" ht="16.5" customHeight="1" x14ac:dyDescent="0.3">
      <c r="B39" s="39">
        <v>1103</v>
      </c>
      <c r="C39" s="39">
        <v>1</v>
      </c>
      <c r="D39" s="39"/>
      <c r="E39" s="39"/>
      <c r="F39" s="39"/>
      <c r="G39" s="39">
        <v>1</v>
      </c>
      <c r="H39" s="39">
        <v>1103</v>
      </c>
      <c r="I39" s="39" t="s">
        <v>187</v>
      </c>
      <c r="J39" s="39">
        <v>21</v>
      </c>
      <c r="K39" s="46">
        <v>1400537</v>
      </c>
      <c r="L39" s="39">
        <v>21</v>
      </c>
      <c r="M39" s="39" t="s">
        <v>2139</v>
      </c>
      <c r="N39" s="39" t="s">
        <v>1598</v>
      </c>
      <c r="O39" s="39" t="s">
        <v>1597</v>
      </c>
    </row>
    <row r="40" spans="2:15" ht="16.5" customHeight="1" x14ac:dyDescent="0.3">
      <c r="B40" s="39">
        <v>1105</v>
      </c>
      <c r="C40" s="39">
        <v>1</v>
      </c>
      <c r="D40" s="39"/>
      <c r="E40" s="39"/>
      <c r="F40" s="39" t="s">
        <v>2881</v>
      </c>
      <c r="G40" s="39">
        <v>1</v>
      </c>
      <c r="H40" s="39">
        <v>1105</v>
      </c>
      <c r="I40" s="39" t="s">
        <v>187</v>
      </c>
      <c r="J40" s="39">
        <v>13</v>
      </c>
      <c r="K40" s="46">
        <v>2530061</v>
      </c>
      <c r="L40" s="39">
        <v>21</v>
      </c>
      <c r="M40" s="39" t="s">
        <v>2921</v>
      </c>
      <c r="N40" s="39" t="s">
        <v>2922</v>
      </c>
      <c r="O40" s="39" t="s">
        <v>2923</v>
      </c>
    </row>
    <row r="41" spans="2:15" x14ac:dyDescent="0.2">
      <c r="B41" s="39">
        <f t="shared" ref="B41:B162" si="2">H41</f>
        <v>8000</v>
      </c>
      <c r="C41" s="39">
        <v>1</v>
      </c>
      <c r="D41" s="39"/>
      <c r="E41" s="39"/>
      <c r="F41" s="39"/>
      <c r="G41" s="39">
        <v>1</v>
      </c>
      <c r="H41" s="21">
        <v>8000</v>
      </c>
      <c r="I41" s="21" t="s">
        <v>186</v>
      </c>
      <c r="J41" s="39">
        <v>21</v>
      </c>
      <c r="K41" s="46">
        <v>1108004</v>
      </c>
      <c r="L41" s="39">
        <f t="shared" ref="L41:L52" si="3">VLOOKUP(I41,error,2,FALSE)</f>
        <v>21</v>
      </c>
      <c r="M41" s="39" t="s">
        <v>1003</v>
      </c>
      <c r="N41" s="21" t="s">
        <v>1041</v>
      </c>
      <c r="O41" s="158" t="s">
        <v>1780</v>
      </c>
    </row>
    <row r="42" spans="2:15" x14ac:dyDescent="0.2">
      <c r="B42" s="39">
        <f t="shared" si="2"/>
        <v>8001</v>
      </c>
      <c r="C42" s="39">
        <v>1</v>
      </c>
      <c r="D42" s="39"/>
      <c r="E42" s="39"/>
      <c r="F42" s="39"/>
      <c r="G42" s="39">
        <v>1</v>
      </c>
      <c r="H42" s="21">
        <v>8001</v>
      </c>
      <c r="I42" s="21" t="s">
        <v>186</v>
      </c>
      <c r="J42" s="39">
        <v>21</v>
      </c>
      <c r="K42" s="46">
        <v>1108005</v>
      </c>
      <c r="L42" s="39">
        <f t="shared" si="3"/>
        <v>21</v>
      </c>
      <c r="M42" s="39" t="s">
        <v>1004</v>
      </c>
      <c r="N42" s="21" t="s">
        <v>1042</v>
      </c>
      <c r="O42" s="40" t="s">
        <v>1781</v>
      </c>
    </row>
    <row r="43" spans="2:15" x14ac:dyDescent="0.2">
      <c r="B43" s="39">
        <f t="shared" si="2"/>
        <v>8002</v>
      </c>
      <c r="C43" s="39">
        <v>1</v>
      </c>
      <c r="D43" s="39"/>
      <c r="E43" s="39"/>
      <c r="F43" s="39"/>
      <c r="G43" s="39">
        <v>1</v>
      </c>
      <c r="H43" s="21">
        <v>8002</v>
      </c>
      <c r="I43" s="21" t="s">
        <v>186</v>
      </c>
      <c r="J43" s="39">
        <v>21</v>
      </c>
      <c r="K43" s="46">
        <v>1108006</v>
      </c>
      <c r="L43" s="39">
        <f t="shared" si="3"/>
        <v>21</v>
      </c>
      <c r="M43" s="39" t="s">
        <v>1005</v>
      </c>
      <c r="N43" s="21" t="s">
        <v>1043</v>
      </c>
      <c r="O43" s="40" t="s">
        <v>1782</v>
      </c>
    </row>
    <row r="44" spans="2:15" x14ac:dyDescent="0.2">
      <c r="B44" s="39">
        <f t="shared" si="2"/>
        <v>8003</v>
      </c>
      <c r="C44" s="39">
        <v>1</v>
      </c>
      <c r="D44" s="39"/>
      <c r="E44" s="39"/>
      <c r="F44" s="39"/>
      <c r="G44" s="39">
        <v>1</v>
      </c>
      <c r="H44" s="21">
        <v>8003</v>
      </c>
      <c r="I44" s="21" t="s">
        <v>186</v>
      </c>
      <c r="J44" s="39">
        <v>21</v>
      </c>
      <c r="K44" s="46">
        <v>1108007</v>
      </c>
      <c r="L44" s="39">
        <f t="shared" si="3"/>
        <v>21</v>
      </c>
      <c r="M44" s="39" t="s">
        <v>1006</v>
      </c>
      <c r="N44" s="21" t="s">
        <v>1044</v>
      </c>
      <c r="O44" s="40" t="s">
        <v>1783</v>
      </c>
    </row>
    <row r="45" spans="2:15" x14ac:dyDescent="0.2">
      <c r="B45" s="39">
        <f t="shared" si="2"/>
        <v>8004</v>
      </c>
      <c r="C45" s="39">
        <v>1</v>
      </c>
      <c r="D45" s="39"/>
      <c r="E45" s="39"/>
      <c r="F45" s="39"/>
      <c r="G45" s="39">
        <v>1</v>
      </c>
      <c r="H45" s="21">
        <v>8004</v>
      </c>
      <c r="I45" s="21" t="s">
        <v>186</v>
      </c>
      <c r="J45" s="39">
        <v>21</v>
      </c>
      <c r="K45" s="46">
        <v>1108008</v>
      </c>
      <c r="L45" s="39">
        <f t="shared" si="3"/>
        <v>21</v>
      </c>
      <c r="M45" s="39" t="s">
        <v>1007</v>
      </c>
      <c r="N45" s="21" t="s">
        <v>1045</v>
      </c>
      <c r="O45" s="40" t="s">
        <v>1784</v>
      </c>
    </row>
    <row r="46" spans="2:15" x14ac:dyDescent="0.2">
      <c r="B46" s="39">
        <f t="shared" si="2"/>
        <v>8005</v>
      </c>
      <c r="C46" s="39">
        <v>1</v>
      </c>
      <c r="D46" s="39"/>
      <c r="E46" s="39"/>
      <c r="F46" s="39"/>
      <c r="G46" s="39">
        <v>1</v>
      </c>
      <c r="H46" s="21">
        <v>8005</v>
      </c>
      <c r="I46" s="21" t="s">
        <v>186</v>
      </c>
      <c r="J46" s="39">
        <v>21</v>
      </c>
      <c r="K46" s="46">
        <v>1108009</v>
      </c>
      <c r="L46" s="39">
        <f t="shared" si="3"/>
        <v>21</v>
      </c>
      <c r="M46" s="39" t="s">
        <v>1008</v>
      </c>
      <c r="N46" s="21" t="s">
        <v>1046</v>
      </c>
      <c r="O46" s="40" t="s">
        <v>1785</v>
      </c>
    </row>
    <row r="47" spans="2:15" x14ac:dyDescent="0.2">
      <c r="B47" s="39">
        <f t="shared" si="2"/>
        <v>8006</v>
      </c>
      <c r="C47" s="39">
        <v>1</v>
      </c>
      <c r="D47" s="39"/>
      <c r="E47" s="39"/>
      <c r="F47" s="39"/>
      <c r="G47" s="39">
        <v>1</v>
      </c>
      <c r="H47" s="21">
        <v>8006</v>
      </c>
      <c r="I47" s="21" t="s">
        <v>186</v>
      </c>
      <c r="J47" s="39">
        <v>21</v>
      </c>
      <c r="K47" s="46">
        <v>1108010</v>
      </c>
      <c r="L47" s="39">
        <f t="shared" si="3"/>
        <v>21</v>
      </c>
      <c r="M47" s="39" t="s">
        <v>1009</v>
      </c>
      <c r="N47" s="21" t="s">
        <v>1047</v>
      </c>
      <c r="O47" s="40" t="s">
        <v>1786</v>
      </c>
    </row>
    <row r="48" spans="2:15" x14ac:dyDescent="0.2">
      <c r="B48" s="39">
        <f t="shared" si="2"/>
        <v>8007</v>
      </c>
      <c r="C48" s="39">
        <v>1</v>
      </c>
      <c r="D48" s="39"/>
      <c r="E48" s="39"/>
      <c r="F48" s="39"/>
      <c r="G48" s="39">
        <v>1</v>
      </c>
      <c r="H48" s="21">
        <v>8007</v>
      </c>
      <c r="I48" s="21" t="s">
        <v>186</v>
      </c>
      <c r="J48" s="39">
        <v>21</v>
      </c>
      <c r="K48" s="46">
        <v>1108011</v>
      </c>
      <c r="L48" s="39">
        <f t="shared" si="3"/>
        <v>21</v>
      </c>
      <c r="M48" s="39" t="s">
        <v>1010</v>
      </c>
      <c r="N48" s="21" t="s">
        <v>1048</v>
      </c>
      <c r="O48" s="40" t="s">
        <v>1787</v>
      </c>
    </row>
    <row r="49" spans="2:15" x14ac:dyDescent="0.2">
      <c r="B49" s="39">
        <f t="shared" si="2"/>
        <v>8008</v>
      </c>
      <c r="C49" s="39">
        <v>1</v>
      </c>
      <c r="D49" s="39"/>
      <c r="E49" s="39"/>
      <c r="F49" s="39"/>
      <c r="G49" s="39">
        <v>1</v>
      </c>
      <c r="H49" s="21">
        <v>8008</v>
      </c>
      <c r="I49" s="21" t="s">
        <v>186</v>
      </c>
      <c r="J49" s="39">
        <v>21</v>
      </c>
      <c r="K49" s="46">
        <v>1108012</v>
      </c>
      <c r="L49" s="39">
        <f t="shared" si="3"/>
        <v>21</v>
      </c>
      <c r="M49" s="39" t="s">
        <v>1011</v>
      </c>
      <c r="N49" s="21" t="s">
        <v>1049</v>
      </c>
      <c r="O49" s="40" t="s">
        <v>1788</v>
      </c>
    </row>
    <row r="50" spans="2:15" x14ac:dyDescent="0.2">
      <c r="B50" s="39">
        <f t="shared" si="2"/>
        <v>8009</v>
      </c>
      <c r="C50" s="39">
        <v>1</v>
      </c>
      <c r="D50" s="39"/>
      <c r="E50" s="39"/>
      <c r="F50" s="39"/>
      <c r="G50" s="39">
        <v>1</v>
      </c>
      <c r="H50" s="21">
        <v>8009</v>
      </c>
      <c r="I50" s="21" t="s">
        <v>186</v>
      </c>
      <c r="J50" s="39">
        <v>21</v>
      </c>
      <c r="K50" s="46">
        <v>1108013</v>
      </c>
      <c r="L50" s="39">
        <f t="shared" si="3"/>
        <v>21</v>
      </c>
      <c r="M50" s="39" t="s">
        <v>1012</v>
      </c>
      <c r="N50" s="21" t="s">
        <v>1050</v>
      </c>
      <c r="O50" s="40" t="s">
        <v>1789</v>
      </c>
    </row>
    <row r="51" spans="2:15" x14ac:dyDescent="0.2">
      <c r="B51" s="39">
        <f t="shared" si="2"/>
        <v>8010</v>
      </c>
      <c r="C51" s="39">
        <v>1</v>
      </c>
      <c r="D51" s="39"/>
      <c r="E51" s="39"/>
      <c r="F51" s="39"/>
      <c r="G51" s="39">
        <v>1</v>
      </c>
      <c r="H51" s="21">
        <v>8010</v>
      </c>
      <c r="I51" s="21" t="s">
        <v>186</v>
      </c>
      <c r="J51" s="39">
        <v>21</v>
      </c>
      <c r="K51" s="46">
        <v>1108014</v>
      </c>
      <c r="L51" s="39">
        <f t="shared" si="3"/>
        <v>21</v>
      </c>
      <c r="M51" s="39" t="s">
        <v>1013</v>
      </c>
      <c r="N51" s="21"/>
      <c r="O51" s="40" t="s">
        <v>1790</v>
      </c>
    </row>
    <row r="52" spans="2:15" ht="16.5" customHeight="1" x14ac:dyDescent="0.3">
      <c r="B52" s="39">
        <f t="shared" si="2"/>
        <v>8012</v>
      </c>
      <c r="C52" s="39">
        <v>1</v>
      </c>
      <c r="D52" s="39"/>
      <c r="E52" s="39"/>
      <c r="F52" s="39"/>
      <c r="G52" s="39">
        <v>1</v>
      </c>
      <c r="H52" s="39">
        <v>8012</v>
      </c>
      <c r="I52" s="39" t="s">
        <v>186</v>
      </c>
      <c r="J52" s="39">
        <v>21</v>
      </c>
      <c r="K52" s="46">
        <v>1400484</v>
      </c>
      <c r="L52" s="39">
        <f t="shared" si="3"/>
        <v>21</v>
      </c>
      <c r="M52" s="39" t="s">
        <v>2140</v>
      </c>
      <c r="N52" s="39" t="s">
        <v>1263</v>
      </c>
      <c r="O52" s="158" t="s">
        <v>1791</v>
      </c>
    </row>
    <row r="53" spans="2:15" ht="16.5" customHeight="1" x14ac:dyDescent="0.3">
      <c r="B53" s="39">
        <f t="shared" si="2"/>
        <v>8013</v>
      </c>
      <c r="C53" s="39">
        <v>1</v>
      </c>
      <c r="D53" s="39"/>
      <c r="E53" s="39"/>
      <c r="F53" s="39"/>
      <c r="G53" s="39">
        <v>1</v>
      </c>
      <c r="H53" s="39">
        <v>8013</v>
      </c>
      <c r="I53" s="39" t="s">
        <v>186</v>
      </c>
      <c r="J53" s="39">
        <v>21</v>
      </c>
      <c r="K53" s="46">
        <v>1108016</v>
      </c>
      <c r="L53" s="39">
        <v>21</v>
      </c>
      <c r="M53" s="39" t="s">
        <v>1772</v>
      </c>
      <c r="N53" s="39" t="s">
        <v>1776</v>
      </c>
      <c r="O53" s="39" t="s">
        <v>1792</v>
      </c>
    </row>
    <row r="54" spans="2:15" ht="16.5" customHeight="1" x14ac:dyDescent="0.3">
      <c r="B54" s="39">
        <f t="shared" si="2"/>
        <v>8014</v>
      </c>
      <c r="C54" s="39">
        <v>1</v>
      </c>
      <c r="D54" s="39"/>
      <c r="E54" s="39"/>
      <c r="F54" s="39"/>
      <c r="G54" s="39">
        <v>1</v>
      </c>
      <c r="H54" s="39">
        <v>8014</v>
      </c>
      <c r="I54" s="39" t="s">
        <v>186</v>
      </c>
      <c r="J54" s="39">
        <v>21</v>
      </c>
      <c r="K54" s="46">
        <v>1108017</v>
      </c>
      <c r="L54" s="39">
        <v>21</v>
      </c>
      <c r="M54" s="39" t="s">
        <v>1773</v>
      </c>
      <c r="N54" s="39" t="s">
        <v>1777</v>
      </c>
      <c r="O54" s="39" t="s">
        <v>1793</v>
      </c>
    </row>
    <row r="55" spans="2:15" ht="16.5" customHeight="1" x14ac:dyDescent="0.3">
      <c r="B55" s="39">
        <f t="shared" si="2"/>
        <v>8015</v>
      </c>
      <c r="C55" s="39">
        <v>1</v>
      </c>
      <c r="D55" s="39"/>
      <c r="E55" s="39"/>
      <c r="F55" s="39"/>
      <c r="G55" s="39">
        <v>1</v>
      </c>
      <c r="H55" s="39">
        <v>8015</v>
      </c>
      <c r="I55" s="39" t="s">
        <v>186</v>
      </c>
      <c r="J55" s="39">
        <v>21</v>
      </c>
      <c r="K55" s="46">
        <v>1108018</v>
      </c>
      <c r="L55" s="39">
        <v>21</v>
      </c>
      <c r="M55" s="39" t="s">
        <v>1774</v>
      </c>
      <c r="N55" s="39" t="s">
        <v>1778</v>
      </c>
      <c r="O55" s="39" t="s">
        <v>1794</v>
      </c>
    </row>
    <row r="56" spans="2:15" ht="16.5" customHeight="1" x14ac:dyDescent="0.3">
      <c r="B56" s="39">
        <f t="shared" si="2"/>
        <v>8016</v>
      </c>
      <c r="C56" s="39">
        <v>1</v>
      </c>
      <c r="D56" s="39"/>
      <c r="E56" s="39"/>
      <c r="F56" s="39"/>
      <c r="G56" s="39">
        <v>1</v>
      </c>
      <c r="H56" s="39">
        <v>8016</v>
      </c>
      <c r="I56" s="39" t="s">
        <v>186</v>
      </c>
      <c r="J56" s="39">
        <v>21</v>
      </c>
      <c r="K56" s="46">
        <v>1108019</v>
      </c>
      <c r="L56" s="39">
        <v>21</v>
      </c>
      <c r="M56" s="39" t="s">
        <v>1775</v>
      </c>
      <c r="N56" s="39" t="s">
        <v>1779</v>
      </c>
      <c r="O56" s="39" t="s">
        <v>1795</v>
      </c>
    </row>
    <row r="57" spans="2:15" ht="16.5" customHeight="1" x14ac:dyDescent="0.3">
      <c r="B57" s="39">
        <f t="shared" ref="B57" si="4">H57</f>
        <v>8017</v>
      </c>
      <c r="C57" s="39">
        <v>1</v>
      </c>
      <c r="D57" s="39"/>
      <c r="E57" s="39"/>
      <c r="F57" s="39"/>
      <c r="G57" s="39">
        <v>1</v>
      </c>
      <c r="H57" s="39">
        <v>8017</v>
      </c>
      <c r="I57" s="39" t="s">
        <v>186</v>
      </c>
      <c r="J57" s="39">
        <v>21</v>
      </c>
      <c r="K57" s="46">
        <v>1108020</v>
      </c>
      <c r="L57" s="39">
        <v>21</v>
      </c>
      <c r="M57" s="39" t="s">
        <v>2806</v>
      </c>
      <c r="N57" s="39" t="s">
        <v>2807</v>
      </c>
      <c r="O57" s="39" t="s">
        <v>2806</v>
      </c>
    </row>
    <row r="58" spans="2:15" ht="16.5" customHeight="1" x14ac:dyDescent="0.3">
      <c r="B58" s="39">
        <f t="shared" ref="B58" si="5">H58</f>
        <v>8018</v>
      </c>
      <c r="C58" s="39">
        <v>0</v>
      </c>
      <c r="D58" s="39"/>
      <c r="E58" s="39"/>
      <c r="F58" s="39"/>
      <c r="G58" s="39">
        <v>1</v>
      </c>
      <c r="H58" s="39">
        <v>8018</v>
      </c>
      <c r="I58" s="39" t="s">
        <v>186</v>
      </c>
      <c r="J58" s="39">
        <v>21</v>
      </c>
      <c r="K58" s="46">
        <v>2611010</v>
      </c>
      <c r="L58" s="39">
        <v>21</v>
      </c>
      <c r="M58" s="39" t="s">
        <v>3366</v>
      </c>
      <c r="N58" s="39" t="s">
        <v>3365</v>
      </c>
      <c r="O58" s="39" t="s">
        <v>3364</v>
      </c>
    </row>
    <row r="59" spans="2:15" ht="16.5" customHeight="1" x14ac:dyDescent="0.3">
      <c r="B59" s="39">
        <f t="shared" ref="B59" si="6">H59</f>
        <v>8019</v>
      </c>
      <c r="C59" s="39">
        <v>1</v>
      </c>
      <c r="D59" s="39" t="s">
        <v>3355</v>
      </c>
      <c r="E59" s="39"/>
      <c r="F59" s="39" t="s">
        <v>3354</v>
      </c>
      <c r="G59" s="39">
        <v>1</v>
      </c>
      <c r="H59" s="39">
        <v>8019</v>
      </c>
      <c r="I59" s="39" t="s">
        <v>186</v>
      </c>
      <c r="J59" s="39">
        <v>21</v>
      </c>
      <c r="K59" s="46">
        <v>1108021</v>
      </c>
      <c r="L59" s="39">
        <v>21</v>
      </c>
      <c r="M59" s="39" t="s">
        <v>3356</v>
      </c>
      <c r="N59" s="39" t="s">
        <v>3358</v>
      </c>
      <c r="O59" s="39" t="s">
        <v>3357</v>
      </c>
    </row>
    <row r="60" spans="2:15" ht="16.5" customHeight="1" x14ac:dyDescent="0.3">
      <c r="B60" s="42">
        <f t="shared" si="2"/>
        <v>8091</v>
      </c>
      <c r="C60" s="39">
        <v>1</v>
      </c>
      <c r="D60" s="39"/>
      <c r="E60" s="39"/>
      <c r="F60" s="39"/>
      <c r="G60" s="39">
        <v>1</v>
      </c>
      <c r="H60" s="42">
        <v>8091</v>
      </c>
      <c r="I60" s="42" t="s">
        <v>187</v>
      </c>
      <c r="J60" s="42">
        <v>21</v>
      </c>
      <c r="K60" s="159">
        <v>1400463</v>
      </c>
      <c r="L60" s="42">
        <f t="shared" ref="L60:L86" si="7">VLOOKUP(I60,error,2,FALSE)</f>
        <v>21</v>
      </c>
      <c r="M60" s="42" t="s">
        <v>2141</v>
      </c>
      <c r="N60" s="42" t="s">
        <v>1192</v>
      </c>
      <c r="O60" s="39"/>
    </row>
    <row r="61" spans="2:15" ht="16.5" customHeight="1" x14ac:dyDescent="0.3">
      <c r="B61" s="42">
        <f t="shared" si="2"/>
        <v>8092</v>
      </c>
      <c r="C61" s="39">
        <v>1</v>
      </c>
      <c r="D61" s="39"/>
      <c r="E61" s="39"/>
      <c r="F61" s="39"/>
      <c r="G61" s="39">
        <v>1</v>
      </c>
      <c r="H61" s="42">
        <v>8092</v>
      </c>
      <c r="I61" s="42" t="s">
        <v>187</v>
      </c>
      <c r="J61" s="42">
        <v>21</v>
      </c>
      <c r="K61" s="159">
        <v>1400464</v>
      </c>
      <c r="L61" s="42">
        <f t="shared" si="7"/>
        <v>21</v>
      </c>
      <c r="M61" s="42" t="s">
        <v>2142</v>
      </c>
      <c r="N61" s="42" t="s">
        <v>1193</v>
      </c>
      <c r="O61" s="39"/>
    </row>
    <row r="62" spans="2:15" ht="16.5" customHeight="1" x14ac:dyDescent="0.3">
      <c r="B62" s="42">
        <f t="shared" si="2"/>
        <v>8093</v>
      </c>
      <c r="C62" s="39">
        <v>1</v>
      </c>
      <c r="D62" s="39"/>
      <c r="E62" s="39"/>
      <c r="F62" s="39"/>
      <c r="G62" s="39">
        <v>1</v>
      </c>
      <c r="H62" s="42">
        <v>8093</v>
      </c>
      <c r="I62" s="42" t="s">
        <v>187</v>
      </c>
      <c r="J62" s="42">
        <v>21</v>
      </c>
      <c r="K62" s="159">
        <v>1400465</v>
      </c>
      <c r="L62" s="42">
        <f t="shared" si="7"/>
        <v>21</v>
      </c>
      <c r="M62" s="42" t="s">
        <v>2143</v>
      </c>
      <c r="N62" s="42" t="s">
        <v>1194</v>
      </c>
      <c r="O62" s="39"/>
    </row>
    <row r="63" spans="2:15" ht="16.5" customHeight="1" x14ac:dyDescent="0.3">
      <c r="B63" s="42">
        <f t="shared" si="2"/>
        <v>8094</v>
      </c>
      <c r="C63" s="39">
        <v>1</v>
      </c>
      <c r="D63" s="39"/>
      <c r="E63" s="39"/>
      <c r="F63" s="39"/>
      <c r="G63" s="39">
        <v>1</v>
      </c>
      <c r="H63" s="42">
        <v>8094</v>
      </c>
      <c r="I63" s="42" t="s">
        <v>187</v>
      </c>
      <c r="J63" s="42">
        <v>21</v>
      </c>
      <c r="K63" s="159">
        <v>1400466</v>
      </c>
      <c r="L63" s="42">
        <f t="shared" si="7"/>
        <v>21</v>
      </c>
      <c r="M63" s="42" t="s">
        <v>2144</v>
      </c>
      <c r="N63" s="42" t="s">
        <v>1195</v>
      </c>
      <c r="O63" s="39"/>
    </row>
    <row r="64" spans="2:15" ht="16.5" customHeight="1" x14ac:dyDescent="0.3">
      <c r="B64" s="42">
        <f t="shared" si="2"/>
        <v>8300</v>
      </c>
      <c r="C64" s="39">
        <v>0</v>
      </c>
      <c r="D64" s="39"/>
      <c r="E64" s="39"/>
      <c r="F64" s="39" t="s">
        <v>3350</v>
      </c>
      <c r="G64" s="39">
        <v>1</v>
      </c>
      <c r="H64" s="42">
        <v>8300</v>
      </c>
      <c r="I64" s="42" t="s">
        <v>186</v>
      </c>
      <c r="J64" s="42">
        <v>21</v>
      </c>
      <c r="K64" s="159">
        <v>2611051</v>
      </c>
      <c r="L64" s="42">
        <f t="shared" ref="L64" si="8">VLOOKUP(I64,error,2,FALSE)</f>
        <v>21</v>
      </c>
      <c r="M64" s="42" t="s">
        <v>3329</v>
      </c>
      <c r="N64" s="42" t="s">
        <v>3330</v>
      </c>
      <c r="O64" s="39" t="s">
        <v>3331</v>
      </c>
    </row>
    <row r="65" spans="2:15" ht="16.5" customHeight="1" x14ac:dyDescent="0.3">
      <c r="B65" s="42">
        <f t="shared" si="2"/>
        <v>8301</v>
      </c>
      <c r="C65" s="39">
        <v>0</v>
      </c>
      <c r="D65" s="39"/>
      <c r="E65" s="39"/>
      <c r="F65" s="39" t="s">
        <v>3350</v>
      </c>
      <c r="G65" s="39">
        <v>1</v>
      </c>
      <c r="H65" s="42">
        <v>8301</v>
      </c>
      <c r="I65" s="42" t="s">
        <v>186</v>
      </c>
      <c r="J65" s="42">
        <v>21</v>
      </c>
      <c r="K65" s="159">
        <v>2611052</v>
      </c>
      <c r="L65" s="42">
        <f t="shared" ref="L65:L70" si="9">VLOOKUP(I65,error,2,FALSE)</f>
        <v>21</v>
      </c>
      <c r="M65" s="42" t="s">
        <v>3332</v>
      </c>
      <c r="N65" s="42" t="s">
        <v>3333</v>
      </c>
      <c r="O65" s="39" t="s">
        <v>3334</v>
      </c>
    </row>
    <row r="66" spans="2:15" ht="16.5" customHeight="1" x14ac:dyDescent="0.3">
      <c r="B66" s="42">
        <f t="shared" si="2"/>
        <v>8302</v>
      </c>
      <c r="C66" s="39">
        <v>0</v>
      </c>
      <c r="D66" s="39"/>
      <c r="E66" s="39"/>
      <c r="F66" s="39" t="s">
        <v>3350</v>
      </c>
      <c r="G66" s="39">
        <v>1</v>
      </c>
      <c r="H66" s="42">
        <v>8302</v>
      </c>
      <c r="I66" s="42" t="s">
        <v>186</v>
      </c>
      <c r="J66" s="42">
        <v>21</v>
      </c>
      <c r="K66" s="159">
        <v>2611053</v>
      </c>
      <c r="L66" s="42">
        <f t="shared" si="9"/>
        <v>21</v>
      </c>
      <c r="M66" s="42" t="s">
        <v>3335</v>
      </c>
      <c r="N66" s="42" t="s">
        <v>3336</v>
      </c>
      <c r="O66" s="39" t="s">
        <v>3337</v>
      </c>
    </row>
    <row r="67" spans="2:15" ht="16.5" customHeight="1" x14ac:dyDescent="0.3">
      <c r="B67" s="42">
        <f t="shared" si="2"/>
        <v>8303</v>
      </c>
      <c r="C67" s="39">
        <v>0</v>
      </c>
      <c r="D67" s="39"/>
      <c r="E67" s="39"/>
      <c r="F67" s="39" t="s">
        <v>3350</v>
      </c>
      <c r="G67" s="39">
        <v>1</v>
      </c>
      <c r="H67" s="42">
        <v>8303</v>
      </c>
      <c r="I67" s="42" t="s">
        <v>186</v>
      </c>
      <c r="J67" s="42">
        <v>21</v>
      </c>
      <c r="K67" s="159">
        <v>2611054</v>
      </c>
      <c r="L67" s="42">
        <f t="shared" si="9"/>
        <v>21</v>
      </c>
      <c r="M67" s="42" t="s">
        <v>3338</v>
      </c>
      <c r="N67" s="42" t="s">
        <v>3339</v>
      </c>
      <c r="O67" s="39" t="s">
        <v>3340</v>
      </c>
    </row>
    <row r="68" spans="2:15" ht="16.5" customHeight="1" x14ac:dyDescent="0.3">
      <c r="B68" s="42">
        <f t="shared" si="2"/>
        <v>8304</v>
      </c>
      <c r="C68" s="39">
        <v>0</v>
      </c>
      <c r="D68" s="39"/>
      <c r="E68" s="39"/>
      <c r="F68" s="39" t="s">
        <v>3350</v>
      </c>
      <c r="G68" s="39">
        <v>1</v>
      </c>
      <c r="H68" s="42">
        <v>8304</v>
      </c>
      <c r="I68" s="42" t="s">
        <v>186</v>
      </c>
      <c r="J68" s="42">
        <v>21</v>
      </c>
      <c r="K68" s="159">
        <v>2611055</v>
      </c>
      <c r="L68" s="42">
        <f t="shared" si="9"/>
        <v>21</v>
      </c>
      <c r="M68" s="42" t="s">
        <v>3341</v>
      </c>
      <c r="N68" s="42" t="s">
        <v>3342</v>
      </c>
      <c r="O68" s="39" t="s">
        <v>3343</v>
      </c>
    </row>
    <row r="69" spans="2:15" ht="16.5" customHeight="1" x14ac:dyDescent="0.3">
      <c r="B69" s="42">
        <f t="shared" si="2"/>
        <v>8305</v>
      </c>
      <c r="C69" s="39">
        <v>0</v>
      </c>
      <c r="D69" s="39"/>
      <c r="E69" s="39"/>
      <c r="F69" s="39" t="s">
        <v>3350</v>
      </c>
      <c r="G69" s="39">
        <v>1</v>
      </c>
      <c r="H69" s="42">
        <v>8305</v>
      </c>
      <c r="I69" s="42" t="s">
        <v>186</v>
      </c>
      <c r="J69" s="42">
        <v>21</v>
      </c>
      <c r="K69" s="159">
        <v>2611056</v>
      </c>
      <c r="L69" s="42">
        <f t="shared" si="9"/>
        <v>21</v>
      </c>
      <c r="M69" s="42" t="s">
        <v>3344</v>
      </c>
      <c r="N69" s="42" t="s">
        <v>3345</v>
      </c>
      <c r="O69" s="39" t="s">
        <v>3346</v>
      </c>
    </row>
    <row r="70" spans="2:15" ht="16.5" customHeight="1" x14ac:dyDescent="0.3">
      <c r="B70" s="42">
        <f t="shared" si="2"/>
        <v>8306</v>
      </c>
      <c r="C70" s="39">
        <v>0</v>
      </c>
      <c r="D70" s="39"/>
      <c r="E70" s="39"/>
      <c r="F70" s="39" t="s">
        <v>3350</v>
      </c>
      <c r="G70" s="39">
        <v>1</v>
      </c>
      <c r="H70" s="42">
        <v>8306</v>
      </c>
      <c r="I70" s="42" t="s">
        <v>186</v>
      </c>
      <c r="J70" s="42">
        <v>21</v>
      </c>
      <c r="K70" s="159">
        <v>2611057</v>
      </c>
      <c r="L70" s="42">
        <f t="shared" si="9"/>
        <v>21</v>
      </c>
      <c r="M70" s="42" t="s">
        <v>3347</v>
      </c>
      <c r="N70" s="42" t="s">
        <v>3348</v>
      </c>
      <c r="O70" s="39" t="s">
        <v>3349</v>
      </c>
    </row>
    <row r="71" spans="2:15" x14ac:dyDescent="0.2">
      <c r="B71" s="39">
        <f t="shared" si="2"/>
        <v>9000</v>
      </c>
      <c r="C71" s="39">
        <v>1</v>
      </c>
      <c r="D71" s="39"/>
      <c r="E71" s="39"/>
      <c r="F71" s="39"/>
      <c r="G71" s="39">
        <v>1</v>
      </c>
      <c r="H71" s="21">
        <v>9000</v>
      </c>
      <c r="I71" s="21" t="s">
        <v>188</v>
      </c>
      <c r="J71" s="39">
        <v>99</v>
      </c>
      <c r="K71" s="46">
        <v>1400032</v>
      </c>
      <c r="L71" s="39">
        <f t="shared" si="7"/>
        <v>31</v>
      </c>
      <c r="M71" s="39" t="s">
        <v>2145</v>
      </c>
      <c r="N71" s="21" t="s">
        <v>32</v>
      </c>
      <c r="O71" s="21" t="s">
        <v>200</v>
      </c>
    </row>
    <row r="72" spans="2:15" x14ac:dyDescent="0.2">
      <c r="B72" s="39">
        <f t="shared" si="2"/>
        <v>9001</v>
      </c>
      <c r="C72" s="39">
        <v>1</v>
      </c>
      <c r="D72" s="39"/>
      <c r="E72" s="39"/>
      <c r="F72" s="39"/>
      <c r="G72" s="39">
        <v>1</v>
      </c>
      <c r="H72" s="21">
        <v>9001</v>
      </c>
      <c r="I72" s="21" t="s">
        <v>188</v>
      </c>
      <c r="J72" s="39">
        <v>99</v>
      </c>
      <c r="K72" s="46">
        <v>1400033</v>
      </c>
      <c r="L72" s="39">
        <f t="shared" si="7"/>
        <v>31</v>
      </c>
      <c r="M72" s="39" t="s">
        <v>2146</v>
      </c>
      <c r="N72" s="21" t="s">
        <v>33</v>
      </c>
      <c r="O72" s="21" t="s">
        <v>375</v>
      </c>
    </row>
    <row r="73" spans="2:15" x14ac:dyDescent="0.2">
      <c r="B73" s="39">
        <f t="shared" si="2"/>
        <v>9002</v>
      </c>
      <c r="C73" s="39">
        <v>1</v>
      </c>
      <c r="D73" s="39"/>
      <c r="E73" s="39"/>
      <c r="F73" s="39"/>
      <c r="G73" s="39">
        <v>1</v>
      </c>
      <c r="H73" s="21">
        <v>9002</v>
      </c>
      <c r="I73" s="21" t="s">
        <v>188</v>
      </c>
      <c r="J73" s="39">
        <v>99</v>
      </c>
      <c r="K73" s="46">
        <v>1400034</v>
      </c>
      <c r="L73" s="39">
        <f t="shared" si="7"/>
        <v>31</v>
      </c>
      <c r="M73" s="39" t="s">
        <v>2147</v>
      </c>
      <c r="N73" s="21" t="s">
        <v>34</v>
      </c>
      <c r="O73" s="21" t="s">
        <v>376</v>
      </c>
    </row>
    <row r="74" spans="2:15" x14ac:dyDescent="0.2">
      <c r="B74" s="39">
        <f t="shared" si="2"/>
        <v>9003</v>
      </c>
      <c r="C74" s="39">
        <v>1</v>
      </c>
      <c r="D74" s="39"/>
      <c r="E74" s="39"/>
      <c r="F74" s="39"/>
      <c r="G74" s="39">
        <v>1</v>
      </c>
      <c r="H74" s="21">
        <v>9003</v>
      </c>
      <c r="I74" s="21" t="s">
        <v>188</v>
      </c>
      <c r="J74" s="39">
        <v>99</v>
      </c>
      <c r="K74" s="46">
        <v>1400035</v>
      </c>
      <c r="L74" s="39">
        <f t="shared" si="7"/>
        <v>31</v>
      </c>
      <c r="M74" s="39" t="s">
        <v>2148</v>
      </c>
      <c r="N74" s="21" t="s">
        <v>356</v>
      </c>
      <c r="O74" s="21" t="s">
        <v>418</v>
      </c>
    </row>
    <row r="75" spans="2:15" x14ac:dyDescent="0.2">
      <c r="B75" s="39">
        <f t="shared" si="2"/>
        <v>9004</v>
      </c>
      <c r="C75" s="39">
        <v>1</v>
      </c>
      <c r="D75" s="39"/>
      <c r="E75" s="39"/>
      <c r="F75" s="39"/>
      <c r="G75" s="39">
        <v>1</v>
      </c>
      <c r="H75" s="21">
        <v>9004</v>
      </c>
      <c r="I75" s="21" t="s">
        <v>188</v>
      </c>
      <c r="J75" s="39">
        <v>99</v>
      </c>
      <c r="K75" s="46">
        <v>1400036</v>
      </c>
      <c r="L75" s="39">
        <f t="shared" si="7"/>
        <v>31</v>
      </c>
      <c r="M75" s="39" t="s">
        <v>2149</v>
      </c>
      <c r="N75" s="21" t="s">
        <v>35</v>
      </c>
      <c r="O75" s="21" t="s">
        <v>201</v>
      </c>
    </row>
    <row r="76" spans="2:15" x14ac:dyDescent="0.2">
      <c r="B76" s="39">
        <f t="shared" si="2"/>
        <v>9005</v>
      </c>
      <c r="C76" s="39">
        <v>1</v>
      </c>
      <c r="D76" s="39"/>
      <c r="E76" s="39"/>
      <c r="F76" s="39"/>
      <c r="G76" s="39">
        <v>1</v>
      </c>
      <c r="H76" s="21">
        <v>9005</v>
      </c>
      <c r="I76" s="21" t="s">
        <v>188</v>
      </c>
      <c r="J76" s="39">
        <v>99</v>
      </c>
      <c r="K76" s="46">
        <v>1400037</v>
      </c>
      <c r="L76" s="39">
        <f t="shared" si="7"/>
        <v>31</v>
      </c>
      <c r="M76" s="39" t="s">
        <v>2150</v>
      </c>
      <c r="N76" s="21" t="s">
        <v>36</v>
      </c>
      <c r="O76" s="21" t="s">
        <v>377</v>
      </c>
    </row>
    <row r="77" spans="2:15" x14ac:dyDescent="0.2">
      <c r="B77" s="39">
        <f t="shared" si="2"/>
        <v>9006</v>
      </c>
      <c r="C77" s="39">
        <v>1</v>
      </c>
      <c r="D77" s="39"/>
      <c r="E77" s="39"/>
      <c r="F77" s="39"/>
      <c r="G77" s="39">
        <v>1</v>
      </c>
      <c r="H77" s="21">
        <v>9006</v>
      </c>
      <c r="I77" s="21" t="s">
        <v>184</v>
      </c>
      <c r="J77" s="39">
        <v>13</v>
      </c>
      <c r="K77" s="46">
        <v>1400038</v>
      </c>
      <c r="L77" s="39">
        <f t="shared" si="7"/>
        <v>5</v>
      </c>
      <c r="M77" s="39" t="s">
        <v>775</v>
      </c>
      <c r="N77" s="21" t="s">
        <v>37</v>
      </c>
      <c r="O77" s="21" t="s">
        <v>202</v>
      </c>
    </row>
    <row r="78" spans="2:15" x14ac:dyDescent="0.2">
      <c r="B78" s="39">
        <f t="shared" si="2"/>
        <v>9007</v>
      </c>
      <c r="C78" s="39">
        <v>1</v>
      </c>
      <c r="D78" s="39"/>
      <c r="E78" s="39"/>
      <c r="F78" s="39"/>
      <c r="G78" s="39">
        <v>1</v>
      </c>
      <c r="H78" s="21">
        <v>9007</v>
      </c>
      <c r="I78" s="21" t="s">
        <v>188</v>
      </c>
      <c r="J78" s="39">
        <v>99</v>
      </c>
      <c r="K78" s="46">
        <v>1400039</v>
      </c>
      <c r="L78" s="39">
        <f t="shared" si="7"/>
        <v>31</v>
      </c>
      <c r="M78" s="39" t="s">
        <v>776</v>
      </c>
      <c r="N78" s="21" t="s">
        <v>38</v>
      </c>
      <c r="O78" s="21" t="s">
        <v>378</v>
      </c>
    </row>
    <row r="79" spans="2:15" x14ac:dyDescent="0.2">
      <c r="B79" s="39">
        <f t="shared" si="2"/>
        <v>9008</v>
      </c>
      <c r="C79" s="39">
        <v>1</v>
      </c>
      <c r="D79" s="39"/>
      <c r="E79" s="39"/>
      <c r="F79" s="39"/>
      <c r="G79" s="39">
        <v>1</v>
      </c>
      <c r="H79" s="21">
        <v>9008</v>
      </c>
      <c r="I79" s="21" t="s">
        <v>188</v>
      </c>
      <c r="J79" s="39">
        <v>99</v>
      </c>
      <c r="K79" s="46">
        <v>1400040</v>
      </c>
      <c r="L79" s="39">
        <f t="shared" si="7"/>
        <v>31</v>
      </c>
      <c r="M79" s="39" t="s">
        <v>2151</v>
      </c>
      <c r="N79" s="21" t="s">
        <v>357</v>
      </c>
      <c r="O79" s="21" t="s">
        <v>419</v>
      </c>
    </row>
    <row r="80" spans="2:15" x14ac:dyDescent="0.2">
      <c r="B80" s="39">
        <f t="shared" si="2"/>
        <v>9009</v>
      </c>
      <c r="C80" s="39">
        <v>1</v>
      </c>
      <c r="D80" s="39"/>
      <c r="E80" s="39"/>
      <c r="F80" s="39"/>
      <c r="G80" s="39">
        <v>1</v>
      </c>
      <c r="H80" s="21">
        <v>9009</v>
      </c>
      <c r="I80" s="21" t="s">
        <v>188</v>
      </c>
      <c r="J80" s="39">
        <v>99</v>
      </c>
      <c r="K80" s="46">
        <v>1400041</v>
      </c>
      <c r="L80" s="39">
        <f t="shared" si="7"/>
        <v>31</v>
      </c>
      <c r="M80" s="39" t="s">
        <v>2152</v>
      </c>
      <c r="N80" s="21" t="s">
        <v>358</v>
      </c>
      <c r="O80" s="21" t="s">
        <v>420</v>
      </c>
    </row>
    <row r="81" spans="2:15" ht="16.5" customHeight="1" x14ac:dyDescent="0.3">
      <c r="B81" s="39">
        <f t="shared" si="2"/>
        <v>9012</v>
      </c>
      <c r="C81" s="39">
        <v>1</v>
      </c>
      <c r="D81" s="39"/>
      <c r="E81" s="39"/>
      <c r="F81" s="39"/>
      <c r="G81" s="39">
        <v>1</v>
      </c>
      <c r="H81" s="39">
        <v>9012</v>
      </c>
      <c r="I81" s="39" t="s">
        <v>187</v>
      </c>
      <c r="J81" s="39">
        <v>21</v>
      </c>
      <c r="K81" s="46">
        <v>1400440</v>
      </c>
      <c r="L81" s="39">
        <f t="shared" si="7"/>
        <v>21</v>
      </c>
      <c r="M81" s="39" t="s">
        <v>2153</v>
      </c>
      <c r="N81" s="39" t="s">
        <v>1120</v>
      </c>
      <c r="O81" s="39"/>
    </row>
    <row r="82" spans="2:15" ht="16.5" customHeight="1" x14ac:dyDescent="0.3">
      <c r="B82" s="39">
        <f t="shared" si="2"/>
        <v>9013</v>
      </c>
      <c r="C82" s="39">
        <v>1</v>
      </c>
      <c r="D82" s="39"/>
      <c r="E82" s="39"/>
      <c r="F82" s="39"/>
      <c r="G82" s="39">
        <v>1</v>
      </c>
      <c r="H82" s="39">
        <v>9013</v>
      </c>
      <c r="I82" s="39" t="s">
        <v>187</v>
      </c>
      <c r="J82" s="39">
        <v>21</v>
      </c>
      <c r="K82" s="46">
        <v>1400439</v>
      </c>
      <c r="L82" s="39">
        <f t="shared" si="7"/>
        <v>21</v>
      </c>
      <c r="M82" s="39" t="s">
        <v>2154</v>
      </c>
      <c r="N82" s="39" t="s">
        <v>1119</v>
      </c>
      <c r="O82" s="39"/>
    </row>
    <row r="83" spans="2:15" ht="16.5" customHeight="1" x14ac:dyDescent="0.3">
      <c r="B83" s="39">
        <f t="shared" si="2"/>
        <v>9014</v>
      </c>
      <c r="C83" s="39">
        <v>1</v>
      </c>
      <c r="D83" s="39"/>
      <c r="E83" s="39"/>
      <c r="F83" s="39"/>
      <c r="G83" s="39">
        <v>1</v>
      </c>
      <c r="H83" s="39">
        <v>9014</v>
      </c>
      <c r="I83" s="39" t="s">
        <v>187</v>
      </c>
      <c r="J83" s="39">
        <v>21</v>
      </c>
      <c r="K83" s="46">
        <v>1400438</v>
      </c>
      <c r="L83" s="39">
        <f t="shared" si="7"/>
        <v>21</v>
      </c>
      <c r="M83" s="39" t="s">
        <v>2155</v>
      </c>
      <c r="N83" s="39" t="s">
        <v>1118</v>
      </c>
      <c r="O83" s="39"/>
    </row>
    <row r="84" spans="2:15" x14ac:dyDescent="0.2">
      <c r="B84" s="39">
        <f t="shared" si="2"/>
        <v>9015</v>
      </c>
      <c r="C84" s="39">
        <v>1</v>
      </c>
      <c r="D84" s="39"/>
      <c r="E84" s="39"/>
      <c r="F84" s="39"/>
      <c r="G84" s="39">
        <v>1</v>
      </c>
      <c r="H84" s="21">
        <v>9015</v>
      </c>
      <c r="I84" s="21" t="s">
        <v>188</v>
      </c>
      <c r="J84" s="39">
        <v>99</v>
      </c>
      <c r="K84" s="46">
        <v>0</v>
      </c>
      <c r="L84" s="39">
        <f t="shared" si="7"/>
        <v>31</v>
      </c>
      <c r="M84" s="39" t="s">
        <v>2156</v>
      </c>
      <c r="N84" s="21" t="s">
        <v>1106</v>
      </c>
      <c r="O84" s="21"/>
    </row>
    <row r="85" spans="2:15" x14ac:dyDescent="0.2">
      <c r="B85" s="39">
        <f t="shared" si="2"/>
        <v>9016</v>
      </c>
      <c r="C85" s="39">
        <v>1</v>
      </c>
      <c r="D85" s="39"/>
      <c r="E85" s="39"/>
      <c r="F85" s="39"/>
      <c r="G85" s="39">
        <v>1</v>
      </c>
      <c r="H85" s="21">
        <v>9016</v>
      </c>
      <c r="I85" s="21" t="s">
        <v>188</v>
      </c>
      <c r="J85" s="39">
        <v>99</v>
      </c>
      <c r="K85" s="46">
        <v>1400514</v>
      </c>
      <c r="L85" s="39">
        <f t="shared" si="7"/>
        <v>31</v>
      </c>
      <c r="M85" s="21" t="s">
        <v>2157</v>
      </c>
      <c r="N85" s="21" t="s">
        <v>1463</v>
      </c>
      <c r="O85" s="21" t="s">
        <v>1466</v>
      </c>
    </row>
    <row r="86" spans="2:15" x14ac:dyDescent="0.2">
      <c r="B86" s="39">
        <f t="shared" si="2"/>
        <v>9017</v>
      </c>
      <c r="C86" s="39">
        <v>1</v>
      </c>
      <c r="D86" s="39"/>
      <c r="E86" s="39"/>
      <c r="F86" s="39"/>
      <c r="G86" s="39">
        <v>1</v>
      </c>
      <c r="H86" s="21">
        <v>9017</v>
      </c>
      <c r="I86" s="21" t="s">
        <v>188</v>
      </c>
      <c r="J86" s="39">
        <v>99</v>
      </c>
      <c r="K86" s="46">
        <v>1400515</v>
      </c>
      <c r="L86" s="39">
        <f t="shared" si="7"/>
        <v>31</v>
      </c>
      <c r="M86" s="21" t="s">
        <v>2158</v>
      </c>
      <c r="N86" s="21" t="s">
        <v>1464</v>
      </c>
      <c r="O86" s="21" t="s">
        <v>1465</v>
      </c>
    </row>
    <row r="87" spans="2:15" x14ac:dyDescent="0.2">
      <c r="B87" s="39">
        <f t="shared" si="2"/>
        <v>9018</v>
      </c>
      <c r="C87" s="39">
        <v>1</v>
      </c>
      <c r="D87" s="39"/>
      <c r="E87" s="39"/>
      <c r="F87" s="39"/>
      <c r="G87" s="39">
        <v>1</v>
      </c>
      <c r="H87" s="21">
        <v>9018</v>
      </c>
      <c r="I87" s="21" t="s">
        <v>189</v>
      </c>
      <c r="J87" s="39">
        <v>99</v>
      </c>
      <c r="K87" s="46">
        <v>10105</v>
      </c>
      <c r="L87" s="39">
        <v>99</v>
      </c>
      <c r="M87" s="21" t="s">
        <v>2159</v>
      </c>
      <c r="N87" s="160" t="s">
        <v>1606</v>
      </c>
      <c r="O87" s="21" t="s">
        <v>1923</v>
      </c>
    </row>
    <row r="88" spans="2:15" x14ac:dyDescent="0.2">
      <c r="B88" s="39">
        <f t="shared" si="2"/>
        <v>9019</v>
      </c>
      <c r="C88" s="39">
        <v>1</v>
      </c>
      <c r="D88" s="39"/>
      <c r="E88" s="39"/>
      <c r="F88" s="39"/>
      <c r="G88" s="39">
        <v>1</v>
      </c>
      <c r="H88" s="21">
        <v>9019</v>
      </c>
      <c r="I88" s="39" t="s">
        <v>187</v>
      </c>
      <c r="J88" s="39">
        <v>99</v>
      </c>
      <c r="K88" s="46">
        <v>1400561</v>
      </c>
      <c r="L88" s="39">
        <f>VLOOKUP(I88,error,2,FALSE)</f>
        <v>21</v>
      </c>
      <c r="M88" s="21" t="s">
        <v>2483</v>
      </c>
      <c r="N88" s="160" t="s">
        <v>1754</v>
      </c>
      <c r="O88" s="21" t="s">
        <v>1755</v>
      </c>
    </row>
    <row r="89" spans="2:15" x14ac:dyDescent="0.2">
      <c r="B89" s="39">
        <f t="shared" ref="B89" si="10">H89</f>
        <v>9021</v>
      </c>
      <c r="C89" s="39">
        <v>1</v>
      </c>
      <c r="D89" s="39"/>
      <c r="E89" s="39"/>
      <c r="F89" s="39"/>
      <c r="G89" s="39">
        <v>1</v>
      </c>
      <c r="H89" s="21">
        <v>9021</v>
      </c>
      <c r="I89" s="21" t="s">
        <v>188</v>
      </c>
      <c r="J89" s="39">
        <v>99</v>
      </c>
      <c r="K89" s="46">
        <v>1400614</v>
      </c>
      <c r="L89" s="39">
        <f t="shared" ref="L89" si="11">VLOOKUP(I89,error,2,FALSE)</f>
        <v>31</v>
      </c>
      <c r="M89" s="21" t="s">
        <v>2742</v>
      </c>
      <c r="N89" s="160" t="s">
        <v>2743</v>
      </c>
      <c r="O89" s="21"/>
    </row>
    <row r="90" spans="2:15" x14ac:dyDescent="0.2">
      <c r="B90" s="39">
        <v>9025</v>
      </c>
      <c r="C90" s="39">
        <v>1</v>
      </c>
      <c r="D90" s="39" t="s">
        <v>4285</v>
      </c>
      <c r="E90" s="39"/>
      <c r="F90" s="39" t="s">
        <v>4286</v>
      </c>
      <c r="G90" s="39">
        <v>1</v>
      </c>
      <c r="H90" s="21">
        <v>9025</v>
      </c>
      <c r="I90" s="21" t="s">
        <v>188</v>
      </c>
      <c r="J90" s="39">
        <v>99</v>
      </c>
      <c r="K90" s="46">
        <v>1001512</v>
      </c>
      <c r="L90" s="39">
        <v>99</v>
      </c>
      <c r="M90" s="21" t="s">
        <v>4282</v>
      </c>
      <c r="N90" s="160" t="s">
        <v>4287</v>
      </c>
      <c r="O90" s="21" t="s">
        <v>4283</v>
      </c>
    </row>
    <row r="91" spans="2:15" x14ac:dyDescent="0.2">
      <c r="B91" s="39">
        <v>9026</v>
      </c>
      <c r="C91" s="39">
        <v>1</v>
      </c>
      <c r="D91" s="39" t="s">
        <v>4285</v>
      </c>
      <c r="E91" s="39"/>
      <c r="F91" s="39" t="s">
        <v>4286</v>
      </c>
      <c r="G91" s="39">
        <v>1</v>
      </c>
      <c r="H91" s="21">
        <v>9026</v>
      </c>
      <c r="I91" s="21" t="s">
        <v>188</v>
      </c>
      <c r="J91" s="39">
        <v>99</v>
      </c>
      <c r="K91" s="46">
        <v>1001510</v>
      </c>
      <c r="L91" s="39">
        <v>99</v>
      </c>
      <c r="M91" s="21" t="s">
        <v>4288</v>
      </c>
      <c r="N91" s="160" t="s">
        <v>4289</v>
      </c>
      <c r="O91" s="21" t="s">
        <v>4284</v>
      </c>
    </row>
    <row r="92" spans="2:15" x14ac:dyDescent="0.2">
      <c r="B92" s="39">
        <f t="shared" ref="B92" si="12">H92</f>
        <v>9027</v>
      </c>
      <c r="C92" s="39">
        <v>1</v>
      </c>
      <c r="D92" s="39" t="s">
        <v>4290</v>
      </c>
      <c r="E92" s="39"/>
      <c r="F92" s="39" t="s">
        <v>4256</v>
      </c>
      <c r="G92" s="39">
        <v>1</v>
      </c>
      <c r="H92" s="21">
        <v>9027</v>
      </c>
      <c r="I92" s="21" t="s">
        <v>186</v>
      </c>
      <c r="J92" s="39">
        <v>21</v>
      </c>
      <c r="K92" s="46">
        <v>1001519</v>
      </c>
      <c r="L92" s="39">
        <v>21</v>
      </c>
      <c r="M92" s="21" t="s">
        <v>4291</v>
      </c>
      <c r="N92" s="160" t="s">
        <v>4292</v>
      </c>
      <c r="O92" s="21" t="s">
        <v>4293</v>
      </c>
    </row>
    <row r="93" spans="2:15" x14ac:dyDescent="0.2">
      <c r="B93" s="39">
        <f t="shared" si="2"/>
        <v>10000</v>
      </c>
      <c r="C93" s="39">
        <v>1</v>
      </c>
      <c r="D93" s="39"/>
      <c r="E93" s="39"/>
      <c r="F93" s="39"/>
      <c r="G93" s="39">
        <v>1</v>
      </c>
      <c r="H93" s="21">
        <v>10000</v>
      </c>
      <c r="I93" s="39"/>
      <c r="J93" s="39">
        <v>31</v>
      </c>
      <c r="K93" s="46">
        <v>1400562</v>
      </c>
      <c r="L93" s="39">
        <v>31</v>
      </c>
      <c r="M93" s="21" t="s">
        <v>2160</v>
      </c>
      <c r="N93" s="160" t="s">
        <v>1796</v>
      </c>
      <c r="O93" s="21"/>
    </row>
    <row r="94" spans="2:15" x14ac:dyDescent="0.2">
      <c r="B94" s="39">
        <f t="shared" si="2"/>
        <v>10001</v>
      </c>
      <c r="C94" s="39">
        <v>1</v>
      </c>
      <c r="D94" s="39"/>
      <c r="E94" s="39"/>
      <c r="F94" s="39"/>
      <c r="G94" s="39">
        <v>1</v>
      </c>
      <c r="H94" s="21">
        <v>10001</v>
      </c>
      <c r="I94" s="39"/>
      <c r="J94" s="39">
        <v>31</v>
      </c>
      <c r="K94" s="46">
        <v>1400563</v>
      </c>
      <c r="L94" s="39">
        <v>31</v>
      </c>
      <c r="M94" s="21" t="s">
        <v>2161</v>
      </c>
      <c r="N94" s="160" t="s">
        <v>1797</v>
      </c>
      <c r="O94" s="21"/>
    </row>
    <row r="95" spans="2:15" x14ac:dyDescent="0.2">
      <c r="B95" s="39">
        <f t="shared" si="2"/>
        <v>10002</v>
      </c>
      <c r="C95" s="39">
        <v>1</v>
      </c>
      <c r="D95" s="39"/>
      <c r="E95" s="39"/>
      <c r="F95" s="39"/>
      <c r="G95" s="39">
        <v>1</v>
      </c>
      <c r="H95" s="21">
        <v>10002</v>
      </c>
      <c r="I95" s="39"/>
      <c r="J95" s="39">
        <v>31</v>
      </c>
      <c r="K95" s="46">
        <v>1400564</v>
      </c>
      <c r="L95" s="39">
        <v>31</v>
      </c>
      <c r="M95" s="21" t="s">
        <v>2162</v>
      </c>
      <c r="N95" s="160" t="s">
        <v>1798</v>
      </c>
      <c r="O95" s="21"/>
    </row>
    <row r="96" spans="2:15" x14ac:dyDescent="0.2">
      <c r="B96" s="39">
        <f t="shared" si="2"/>
        <v>10003</v>
      </c>
      <c r="C96" s="39">
        <v>1</v>
      </c>
      <c r="D96" s="39"/>
      <c r="E96" s="39"/>
      <c r="F96" s="39"/>
      <c r="G96" s="39">
        <v>1</v>
      </c>
      <c r="H96" s="21">
        <v>10003</v>
      </c>
      <c r="I96" s="39"/>
      <c r="J96" s="39">
        <v>31</v>
      </c>
      <c r="K96" s="46">
        <v>1400565</v>
      </c>
      <c r="L96" s="39">
        <v>31</v>
      </c>
      <c r="M96" s="21" t="s">
        <v>2163</v>
      </c>
      <c r="N96" s="160" t="s">
        <v>1799</v>
      </c>
      <c r="O96" s="21"/>
    </row>
    <row r="97" spans="2:15" x14ac:dyDescent="0.2">
      <c r="B97" s="39">
        <f t="shared" si="2"/>
        <v>10004</v>
      </c>
      <c r="C97" s="39">
        <v>1</v>
      </c>
      <c r="D97" s="39"/>
      <c r="E97" s="39"/>
      <c r="F97" s="39"/>
      <c r="G97" s="39">
        <v>1</v>
      </c>
      <c r="H97" s="21">
        <v>10004</v>
      </c>
      <c r="I97" s="39"/>
      <c r="J97" s="39">
        <v>21</v>
      </c>
      <c r="K97" s="46">
        <v>1400566</v>
      </c>
      <c r="L97" s="39">
        <v>21</v>
      </c>
      <c r="M97" s="21" t="s">
        <v>2164</v>
      </c>
      <c r="N97" s="160" t="s">
        <v>1800</v>
      </c>
      <c r="O97" s="21"/>
    </row>
    <row r="98" spans="2:15" x14ac:dyDescent="0.2">
      <c r="B98" s="39">
        <f>H98</f>
        <v>10006</v>
      </c>
      <c r="C98" s="39">
        <v>1</v>
      </c>
      <c r="D98" s="39" t="s">
        <v>3313</v>
      </c>
      <c r="E98" s="39">
        <v>0</v>
      </c>
      <c r="F98" s="39" t="s">
        <v>3314</v>
      </c>
      <c r="G98" s="39">
        <v>1</v>
      </c>
      <c r="H98" s="21">
        <v>10006</v>
      </c>
      <c r="I98" s="39" t="s">
        <v>186</v>
      </c>
      <c r="J98" s="39">
        <v>21</v>
      </c>
      <c r="K98" s="46">
        <v>1071551</v>
      </c>
      <c r="L98" s="39">
        <v>21</v>
      </c>
      <c r="M98" s="52" t="s">
        <v>3311</v>
      </c>
      <c r="N98" s="160" t="s">
        <v>3312</v>
      </c>
      <c r="O98" s="21" t="s">
        <v>3310</v>
      </c>
    </row>
    <row r="99" spans="2:15" x14ac:dyDescent="0.2">
      <c r="B99" s="39">
        <f t="shared" ref="B99" si="13">H99</f>
        <v>11000</v>
      </c>
      <c r="C99" s="39">
        <v>1</v>
      </c>
      <c r="D99" s="39"/>
      <c r="E99" s="39"/>
      <c r="F99" s="39"/>
      <c r="G99" s="39">
        <v>1</v>
      </c>
      <c r="H99" s="21">
        <v>11000</v>
      </c>
      <c r="I99" s="39"/>
      <c r="J99" s="39">
        <v>31</v>
      </c>
      <c r="K99" s="46">
        <v>2600101</v>
      </c>
      <c r="L99" s="39">
        <v>31</v>
      </c>
      <c r="M99" s="304" t="s">
        <v>3168</v>
      </c>
      <c r="N99" s="160" t="s">
        <v>3166</v>
      </c>
      <c r="O99" s="21" t="s">
        <v>3167</v>
      </c>
    </row>
    <row r="100" spans="2:15" x14ac:dyDescent="0.2">
      <c r="B100" s="39">
        <f t="shared" ref="B100:B101" si="14">H100</f>
        <v>11001</v>
      </c>
      <c r="C100" s="39">
        <v>0</v>
      </c>
      <c r="D100" s="39"/>
      <c r="E100" s="39"/>
      <c r="F100" s="39"/>
      <c r="G100" s="39">
        <v>1</v>
      </c>
      <c r="H100" s="21">
        <v>11001</v>
      </c>
      <c r="I100" s="39"/>
      <c r="J100" s="39">
        <v>31</v>
      </c>
      <c r="K100" s="46">
        <v>2600103</v>
      </c>
      <c r="L100" s="39">
        <v>31</v>
      </c>
      <c r="M100" s="321" t="s">
        <v>3326</v>
      </c>
      <c r="N100" s="160" t="s">
        <v>3324</v>
      </c>
      <c r="O100" s="21" t="s">
        <v>3325</v>
      </c>
    </row>
    <row r="101" spans="2:15" ht="17.25" thickBot="1" x14ac:dyDescent="0.35">
      <c r="B101" s="44">
        <f t="shared" si="14"/>
        <v>11500</v>
      </c>
      <c r="C101" s="44">
        <v>1</v>
      </c>
      <c r="D101" s="44">
        <v>0</v>
      </c>
      <c r="E101" s="44">
        <v>0</v>
      </c>
      <c r="F101" s="44" t="s">
        <v>3907</v>
      </c>
      <c r="G101" s="44">
        <v>1</v>
      </c>
      <c r="H101" s="44">
        <v>11500</v>
      </c>
      <c r="I101" s="44" t="s">
        <v>186</v>
      </c>
      <c r="J101" s="44">
        <v>13</v>
      </c>
      <c r="K101" s="54">
        <v>2532037</v>
      </c>
      <c r="L101" s="44">
        <v>21</v>
      </c>
      <c r="M101" s="301" t="s">
        <v>3908</v>
      </c>
      <c r="N101" s="44" t="s">
        <v>3909</v>
      </c>
      <c r="O101" s="44" t="s">
        <v>3910</v>
      </c>
    </row>
    <row r="102" spans="2:15" ht="16.5" x14ac:dyDescent="0.3">
      <c r="B102" s="117">
        <f>H102</f>
        <v>10500</v>
      </c>
      <c r="C102" s="88">
        <v>1</v>
      </c>
      <c r="D102" s="88" t="s">
        <v>4086</v>
      </c>
      <c r="E102" s="88">
        <v>0</v>
      </c>
      <c r="F102" s="88" t="s">
        <v>4087</v>
      </c>
      <c r="G102" s="88">
        <v>1</v>
      </c>
      <c r="H102" s="88">
        <v>10500</v>
      </c>
      <c r="I102" s="88" t="s">
        <v>186</v>
      </c>
      <c r="J102" s="88">
        <v>13</v>
      </c>
      <c r="K102" s="118">
        <v>2100245</v>
      </c>
      <c r="L102" s="88">
        <v>21</v>
      </c>
      <c r="M102" s="437" t="s">
        <v>4088</v>
      </c>
      <c r="N102" s="415" t="s">
        <v>4089</v>
      </c>
      <c r="O102" s="119" t="s">
        <v>4090</v>
      </c>
    </row>
    <row r="103" spans="2:15" ht="16.5" x14ac:dyDescent="0.3">
      <c r="B103" s="169">
        <f>H103</f>
        <v>10501</v>
      </c>
      <c r="C103" s="39">
        <v>1</v>
      </c>
      <c r="D103" s="39" t="s">
        <v>4086</v>
      </c>
      <c r="E103" s="39">
        <v>0</v>
      </c>
      <c r="F103" s="39" t="s">
        <v>4087</v>
      </c>
      <c r="G103" s="39">
        <v>1</v>
      </c>
      <c r="H103" s="39">
        <v>10501</v>
      </c>
      <c r="I103" s="39" t="s">
        <v>186</v>
      </c>
      <c r="J103" s="39">
        <v>13</v>
      </c>
      <c r="K103" s="46">
        <v>2100246</v>
      </c>
      <c r="L103" s="39">
        <v>21</v>
      </c>
      <c r="M103" s="301" t="s">
        <v>4091</v>
      </c>
      <c r="N103" s="50" t="s">
        <v>4092</v>
      </c>
      <c r="O103" s="186" t="s">
        <v>4090</v>
      </c>
    </row>
    <row r="104" spans="2:15" ht="17.25" thickBot="1" x14ac:dyDescent="0.35">
      <c r="B104" s="120">
        <f>H104</f>
        <v>10502</v>
      </c>
      <c r="C104" s="89">
        <v>1</v>
      </c>
      <c r="D104" s="89" t="s">
        <v>4086</v>
      </c>
      <c r="E104" s="89">
        <v>0</v>
      </c>
      <c r="F104" s="89" t="s">
        <v>4087</v>
      </c>
      <c r="G104" s="89">
        <v>1</v>
      </c>
      <c r="H104" s="89">
        <v>10502</v>
      </c>
      <c r="I104" s="89" t="s">
        <v>186</v>
      </c>
      <c r="J104" s="89">
        <v>13</v>
      </c>
      <c r="K104" s="121">
        <v>2100247</v>
      </c>
      <c r="L104" s="89">
        <v>21</v>
      </c>
      <c r="M104" s="438" t="s">
        <v>4093</v>
      </c>
      <c r="N104" s="251" t="s">
        <v>4094</v>
      </c>
      <c r="O104" s="122" t="s">
        <v>4095</v>
      </c>
    </row>
    <row r="105" spans="2:15" x14ac:dyDescent="0.2">
      <c r="B105" s="48">
        <f t="shared" ref="B105" si="15">H105</f>
        <v>90000</v>
      </c>
      <c r="C105" s="48">
        <v>1</v>
      </c>
      <c r="D105" s="48"/>
      <c r="E105" s="48"/>
      <c r="F105" s="48"/>
      <c r="G105" s="48">
        <v>1</v>
      </c>
      <c r="H105" s="64">
        <v>90000</v>
      </c>
      <c r="I105" s="48"/>
      <c r="J105" s="48">
        <v>21</v>
      </c>
      <c r="K105" s="106">
        <v>2560002</v>
      </c>
      <c r="L105" s="48">
        <v>21</v>
      </c>
      <c r="M105" s="64" t="s">
        <v>2832</v>
      </c>
      <c r="N105" s="160" t="s">
        <v>2812</v>
      </c>
      <c r="O105" s="64" t="s">
        <v>2822</v>
      </c>
    </row>
    <row r="106" spans="2:15" x14ac:dyDescent="0.2">
      <c r="B106" s="39">
        <f t="shared" ref="B106:B114" si="16">H106</f>
        <v>90001</v>
      </c>
      <c r="C106" s="39">
        <v>1</v>
      </c>
      <c r="D106" s="39"/>
      <c r="E106" s="39"/>
      <c r="F106" s="39"/>
      <c r="G106" s="39">
        <v>1</v>
      </c>
      <c r="H106" s="21">
        <v>90001</v>
      </c>
      <c r="I106" s="39"/>
      <c r="J106" s="39">
        <v>21</v>
      </c>
      <c r="K106" s="46">
        <v>2560003</v>
      </c>
      <c r="L106" s="39">
        <v>21</v>
      </c>
      <c r="M106" s="21" t="s">
        <v>2833</v>
      </c>
      <c r="N106" s="160" t="s">
        <v>2813</v>
      </c>
      <c r="O106" s="21" t="s">
        <v>2823</v>
      </c>
    </row>
    <row r="107" spans="2:15" x14ac:dyDescent="0.2">
      <c r="B107" s="39">
        <f t="shared" si="16"/>
        <v>90002</v>
      </c>
      <c r="C107" s="39">
        <v>1</v>
      </c>
      <c r="D107" s="39"/>
      <c r="E107" s="39"/>
      <c r="F107" s="39"/>
      <c r="G107" s="39">
        <v>1</v>
      </c>
      <c r="H107" s="21">
        <v>90002</v>
      </c>
      <c r="I107" s="39"/>
      <c r="J107" s="39">
        <v>21</v>
      </c>
      <c r="K107" s="46">
        <v>2560047</v>
      </c>
      <c r="L107" s="39">
        <v>21</v>
      </c>
      <c r="M107" s="133" t="s">
        <v>2836</v>
      </c>
      <c r="N107" s="160" t="s">
        <v>2814</v>
      </c>
      <c r="O107" s="21" t="s">
        <v>2824</v>
      </c>
    </row>
    <row r="108" spans="2:15" x14ac:dyDescent="0.2">
      <c r="B108" s="39">
        <f t="shared" si="16"/>
        <v>90003</v>
      </c>
      <c r="C108" s="39">
        <v>1</v>
      </c>
      <c r="D108" s="39"/>
      <c r="E108" s="39"/>
      <c r="F108" s="39"/>
      <c r="G108" s="39">
        <v>1</v>
      </c>
      <c r="H108" s="21">
        <v>90003</v>
      </c>
      <c r="I108" s="39"/>
      <c r="J108" s="39">
        <v>21</v>
      </c>
      <c r="K108" s="46">
        <v>2560001</v>
      </c>
      <c r="L108" s="39">
        <v>21</v>
      </c>
      <c r="M108" s="134" t="s">
        <v>2834</v>
      </c>
      <c r="N108" s="160" t="s">
        <v>2815</v>
      </c>
      <c r="O108" s="21" t="s">
        <v>2825</v>
      </c>
    </row>
    <row r="109" spans="2:15" x14ac:dyDescent="0.2">
      <c r="B109" s="39">
        <f t="shared" si="16"/>
        <v>90004</v>
      </c>
      <c r="C109" s="39">
        <v>1</v>
      </c>
      <c r="D109" s="39"/>
      <c r="E109" s="39"/>
      <c r="F109" s="39"/>
      <c r="G109" s="39">
        <v>1</v>
      </c>
      <c r="H109" s="21">
        <v>90004</v>
      </c>
      <c r="I109" s="39"/>
      <c r="J109" s="39">
        <v>21</v>
      </c>
      <c r="K109" s="46">
        <v>2560048</v>
      </c>
      <c r="L109" s="39">
        <v>21</v>
      </c>
      <c r="M109" s="40" t="s">
        <v>2835</v>
      </c>
      <c r="N109" s="160" t="s">
        <v>2816</v>
      </c>
      <c r="O109" s="21" t="s">
        <v>2826</v>
      </c>
    </row>
    <row r="110" spans="2:15" x14ac:dyDescent="0.2">
      <c r="B110" s="39">
        <f t="shared" si="16"/>
        <v>90005</v>
      </c>
      <c r="C110" s="39">
        <v>1</v>
      </c>
      <c r="D110" s="39"/>
      <c r="E110" s="39"/>
      <c r="F110" s="39"/>
      <c r="G110" s="39">
        <v>1</v>
      </c>
      <c r="H110" s="21">
        <v>90005</v>
      </c>
      <c r="I110" s="39"/>
      <c r="J110" s="39">
        <v>21</v>
      </c>
      <c r="K110" s="46">
        <v>2560049</v>
      </c>
      <c r="L110" s="39">
        <v>21</v>
      </c>
      <c r="M110" s="40" t="s">
        <v>2837</v>
      </c>
      <c r="N110" s="160" t="s">
        <v>2817</v>
      </c>
      <c r="O110" s="21" t="s">
        <v>2827</v>
      </c>
    </row>
    <row r="111" spans="2:15" x14ac:dyDescent="0.2">
      <c r="B111" s="39">
        <f t="shared" si="16"/>
        <v>90006</v>
      </c>
      <c r="C111" s="39">
        <v>1</v>
      </c>
      <c r="D111" s="39"/>
      <c r="E111" s="39"/>
      <c r="F111" s="39"/>
      <c r="G111" s="39">
        <v>1</v>
      </c>
      <c r="H111" s="21">
        <v>90006</v>
      </c>
      <c r="I111" s="39"/>
      <c r="J111" s="39">
        <v>21</v>
      </c>
      <c r="K111" s="46">
        <v>2560049</v>
      </c>
      <c r="L111" s="39">
        <v>21</v>
      </c>
      <c r="M111" s="40" t="s">
        <v>2837</v>
      </c>
      <c r="N111" s="160" t="s">
        <v>2818</v>
      </c>
      <c r="O111" s="21" t="s">
        <v>2828</v>
      </c>
    </row>
    <row r="112" spans="2:15" x14ac:dyDescent="0.2">
      <c r="B112" s="39">
        <f t="shared" si="16"/>
        <v>90007</v>
      </c>
      <c r="C112" s="39">
        <v>1</v>
      </c>
      <c r="D112" s="39"/>
      <c r="E112" s="39"/>
      <c r="F112" s="39"/>
      <c r="G112" s="39">
        <v>1</v>
      </c>
      <c r="H112" s="21">
        <v>90007</v>
      </c>
      <c r="I112" s="39"/>
      <c r="J112" s="39">
        <v>21</v>
      </c>
      <c r="K112" s="46">
        <v>2560049</v>
      </c>
      <c r="L112" s="39">
        <v>21</v>
      </c>
      <c r="M112" s="40" t="s">
        <v>2837</v>
      </c>
      <c r="N112" s="160" t="s">
        <v>2819</v>
      </c>
      <c r="O112" s="21" t="s">
        <v>2829</v>
      </c>
    </row>
    <row r="113" spans="2:15" x14ac:dyDescent="0.2">
      <c r="B113" s="39">
        <f t="shared" si="16"/>
        <v>90008</v>
      </c>
      <c r="C113" s="39">
        <v>1</v>
      </c>
      <c r="D113" s="39"/>
      <c r="E113" s="39"/>
      <c r="F113" s="39"/>
      <c r="G113" s="39">
        <v>1</v>
      </c>
      <c r="H113" s="21">
        <v>90008</v>
      </c>
      <c r="I113" s="39"/>
      <c r="J113" s="39">
        <v>21</v>
      </c>
      <c r="K113" s="46">
        <v>2560049</v>
      </c>
      <c r="L113" s="39">
        <v>21</v>
      </c>
      <c r="M113" s="40" t="s">
        <v>2837</v>
      </c>
      <c r="N113" s="160" t="s">
        <v>2820</v>
      </c>
      <c r="O113" s="21" t="s">
        <v>2830</v>
      </c>
    </row>
    <row r="114" spans="2:15" x14ac:dyDescent="0.2">
      <c r="B114" s="39">
        <f t="shared" si="16"/>
        <v>90009</v>
      </c>
      <c r="C114" s="39">
        <v>1</v>
      </c>
      <c r="D114" s="39"/>
      <c r="E114" s="39"/>
      <c r="F114" s="39"/>
      <c r="G114" s="39">
        <v>1</v>
      </c>
      <c r="H114" s="21">
        <v>90009</v>
      </c>
      <c r="I114" s="39"/>
      <c r="J114" s="39">
        <v>21</v>
      </c>
      <c r="K114" s="46">
        <v>2560049</v>
      </c>
      <c r="L114" s="39">
        <v>21</v>
      </c>
      <c r="M114" s="40" t="s">
        <v>2837</v>
      </c>
      <c r="N114" s="160" t="s">
        <v>2821</v>
      </c>
      <c r="O114" s="21" t="s">
        <v>2831</v>
      </c>
    </row>
    <row r="115" spans="2:15" x14ac:dyDescent="0.2">
      <c r="B115" s="39">
        <f t="shared" ref="B115" si="17">H115</f>
        <v>90010</v>
      </c>
      <c r="C115" s="39">
        <v>1</v>
      </c>
      <c r="D115" s="39"/>
      <c r="E115" s="39"/>
      <c r="F115" s="39"/>
      <c r="G115" s="39">
        <v>1</v>
      </c>
      <c r="H115" s="21">
        <v>90010</v>
      </c>
      <c r="I115" s="39"/>
      <c r="J115" s="39">
        <v>21</v>
      </c>
      <c r="K115" s="46">
        <v>2560063</v>
      </c>
      <c r="L115" s="39">
        <v>21</v>
      </c>
      <c r="M115" s="40" t="s">
        <v>3193</v>
      </c>
      <c r="N115" s="160" t="s">
        <v>3191</v>
      </c>
      <c r="O115" s="21" t="s">
        <v>3192</v>
      </c>
    </row>
    <row r="116" spans="2:15" x14ac:dyDescent="0.2">
      <c r="B116" s="39">
        <f t="shared" ref="B116:B141" si="18">H116</f>
        <v>91000</v>
      </c>
      <c r="C116" s="39">
        <v>1</v>
      </c>
      <c r="D116" s="39"/>
      <c r="E116" s="39"/>
      <c r="F116" s="39"/>
      <c r="G116" s="39">
        <v>1</v>
      </c>
      <c r="H116" s="21">
        <v>91000</v>
      </c>
      <c r="I116" s="39"/>
      <c r="J116" s="39">
        <v>21</v>
      </c>
      <c r="K116" s="46">
        <v>2600019</v>
      </c>
      <c r="L116" s="39">
        <v>21</v>
      </c>
      <c r="M116" s="40" t="s">
        <v>3156</v>
      </c>
      <c r="N116" s="160" t="s">
        <v>3146</v>
      </c>
      <c r="O116" s="21" t="s">
        <v>3139</v>
      </c>
    </row>
    <row r="117" spans="2:15" x14ac:dyDescent="0.2">
      <c r="B117" s="39">
        <f t="shared" si="18"/>
        <v>91001</v>
      </c>
      <c r="C117" s="39">
        <v>1</v>
      </c>
      <c r="D117" s="39"/>
      <c r="E117" s="39"/>
      <c r="F117" s="39"/>
      <c r="G117" s="39">
        <v>1</v>
      </c>
      <c r="H117" s="21">
        <v>91001</v>
      </c>
      <c r="I117" s="39"/>
      <c r="J117" s="39">
        <v>21</v>
      </c>
      <c r="K117" s="46">
        <v>2600020</v>
      </c>
      <c r="L117" s="39">
        <v>21</v>
      </c>
      <c r="M117" s="40" t="s">
        <v>3157</v>
      </c>
      <c r="N117" s="160" t="s">
        <v>3147</v>
      </c>
      <c r="O117" s="21" t="s">
        <v>3140</v>
      </c>
    </row>
    <row r="118" spans="2:15" x14ac:dyDescent="0.2">
      <c r="B118" s="39">
        <f t="shared" si="18"/>
        <v>91002</v>
      </c>
      <c r="C118" s="39">
        <v>1</v>
      </c>
      <c r="D118" s="39"/>
      <c r="E118" s="39"/>
      <c r="F118" s="39"/>
      <c r="G118" s="39">
        <v>1</v>
      </c>
      <c r="H118" s="21">
        <v>91002</v>
      </c>
      <c r="I118" s="39"/>
      <c r="J118" s="39">
        <v>21</v>
      </c>
      <c r="K118" s="46">
        <v>2600021</v>
      </c>
      <c r="L118" s="39">
        <v>21</v>
      </c>
      <c r="M118" s="40" t="s">
        <v>3158</v>
      </c>
      <c r="N118" s="160" t="s">
        <v>3148</v>
      </c>
      <c r="O118" s="21" t="s">
        <v>3141</v>
      </c>
    </row>
    <row r="119" spans="2:15" x14ac:dyDescent="0.2">
      <c r="B119" s="39">
        <f t="shared" si="18"/>
        <v>91003</v>
      </c>
      <c r="C119" s="39">
        <v>1</v>
      </c>
      <c r="D119" s="39"/>
      <c r="E119" s="39"/>
      <c r="F119" s="39"/>
      <c r="G119" s="39">
        <v>1</v>
      </c>
      <c r="H119" s="21">
        <v>91003</v>
      </c>
      <c r="I119" s="39"/>
      <c r="J119" s="39">
        <v>21</v>
      </c>
      <c r="K119" s="46">
        <v>2600022</v>
      </c>
      <c r="L119" s="39">
        <v>21</v>
      </c>
      <c r="M119" s="40" t="s">
        <v>3159</v>
      </c>
      <c r="N119" s="160" t="s">
        <v>3149</v>
      </c>
      <c r="O119" s="21" t="s">
        <v>3142</v>
      </c>
    </row>
    <row r="120" spans="2:15" x14ac:dyDescent="0.2">
      <c r="B120" s="39">
        <f t="shared" si="18"/>
        <v>91004</v>
      </c>
      <c r="C120" s="39">
        <v>1</v>
      </c>
      <c r="D120" s="39"/>
      <c r="E120" s="39"/>
      <c r="F120" s="39"/>
      <c r="G120" s="39">
        <v>1</v>
      </c>
      <c r="H120" s="21">
        <v>91004</v>
      </c>
      <c r="I120" s="39"/>
      <c r="J120" s="39">
        <v>21</v>
      </c>
      <c r="K120" s="46">
        <v>2600023</v>
      </c>
      <c r="L120" s="39">
        <v>21</v>
      </c>
      <c r="M120" s="40" t="s">
        <v>3160</v>
      </c>
      <c r="N120" s="160" t="s">
        <v>3150</v>
      </c>
      <c r="O120" s="21" t="s">
        <v>3143</v>
      </c>
    </row>
    <row r="121" spans="2:15" x14ac:dyDescent="0.2">
      <c r="B121" s="39">
        <f t="shared" si="18"/>
        <v>91005</v>
      </c>
      <c r="C121" s="39">
        <v>1</v>
      </c>
      <c r="D121" s="39"/>
      <c r="E121" s="39"/>
      <c r="F121" s="39"/>
      <c r="G121" s="39">
        <v>1</v>
      </c>
      <c r="H121" s="21">
        <v>91005</v>
      </c>
      <c r="I121" s="39"/>
      <c r="J121" s="39">
        <v>21</v>
      </c>
      <c r="K121" s="46">
        <v>2600024</v>
      </c>
      <c r="L121" s="39">
        <v>21</v>
      </c>
      <c r="M121" s="40" t="s">
        <v>3161</v>
      </c>
      <c r="N121" s="160" t="s">
        <v>3151</v>
      </c>
      <c r="O121" s="21" t="s">
        <v>3144</v>
      </c>
    </row>
    <row r="122" spans="2:15" x14ac:dyDescent="0.2">
      <c r="B122" s="39">
        <f t="shared" si="18"/>
        <v>91006</v>
      </c>
      <c r="C122" s="39">
        <v>1</v>
      </c>
      <c r="D122" s="39"/>
      <c r="E122" s="39"/>
      <c r="F122" s="39"/>
      <c r="G122" s="39">
        <v>1</v>
      </c>
      <c r="H122" s="21">
        <v>91006</v>
      </c>
      <c r="I122" s="39"/>
      <c r="J122" s="39">
        <v>21</v>
      </c>
      <c r="K122" s="46">
        <v>2600025</v>
      </c>
      <c r="L122" s="39">
        <v>21</v>
      </c>
      <c r="M122" s="40" t="s">
        <v>3162</v>
      </c>
      <c r="N122" s="160" t="s">
        <v>3152</v>
      </c>
      <c r="O122" s="21" t="s">
        <v>3145</v>
      </c>
    </row>
    <row r="123" spans="2:15" x14ac:dyDescent="0.2">
      <c r="B123" s="39">
        <f t="shared" si="18"/>
        <v>91007</v>
      </c>
      <c r="C123" s="39">
        <v>1</v>
      </c>
      <c r="D123" s="39"/>
      <c r="E123" s="39"/>
      <c r="F123" s="39"/>
      <c r="G123" s="39">
        <v>1</v>
      </c>
      <c r="H123" s="21">
        <v>91007</v>
      </c>
      <c r="I123" s="39"/>
      <c r="J123" s="39">
        <v>21</v>
      </c>
      <c r="K123" s="46">
        <v>2600026</v>
      </c>
      <c r="L123" s="39">
        <v>21</v>
      </c>
      <c r="M123" s="40" t="s">
        <v>3154</v>
      </c>
      <c r="N123" s="160" t="s">
        <v>3155</v>
      </c>
      <c r="O123" s="21" t="s">
        <v>3153</v>
      </c>
    </row>
    <row r="124" spans="2:15" x14ac:dyDescent="0.2">
      <c r="B124" s="39">
        <f t="shared" si="18"/>
        <v>92001</v>
      </c>
      <c r="C124" s="39">
        <v>0</v>
      </c>
      <c r="D124" s="39"/>
      <c r="E124" s="39"/>
      <c r="F124" s="39"/>
      <c r="G124" s="39">
        <v>0</v>
      </c>
      <c r="H124" s="21">
        <v>92001</v>
      </c>
      <c r="I124" s="39" t="s">
        <v>188</v>
      </c>
      <c r="J124" s="39">
        <v>31</v>
      </c>
      <c r="K124" s="46">
        <v>2614101</v>
      </c>
      <c r="L124" s="39">
        <v>31</v>
      </c>
      <c r="M124" s="40" t="s">
        <v>3483</v>
      </c>
      <c r="N124" s="160" t="s">
        <v>3484</v>
      </c>
      <c r="O124" s="21" t="s">
        <v>3485</v>
      </c>
    </row>
    <row r="125" spans="2:15" x14ac:dyDescent="0.2">
      <c r="B125" s="39">
        <f t="shared" si="18"/>
        <v>92002</v>
      </c>
      <c r="C125" s="39">
        <v>0</v>
      </c>
      <c r="D125" s="39"/>
      <c r="E125" s="39"/>
      <c r="F125" s="39"/>
      <c r="G125" s="39">
        <v>0</v>
      </c>
      <c r="H125" s="21">
        <v>92002</v>
      </c>
      <c r="I125" s="39" t="s">
        <v>188</v>
      </c>
      <c r="J125" s="39">
        <v>31</v>
      </c>
      <c r="K125" s="46">
        <v>2614102</v>
      </c>
      <c r="L125" s="39">
        <v>31</v>
      </c>
      <c r="M125" s="40" t="s">
        <v>3486</v>
      </c>
      <c r="N125" s="160" t="s">
        <v>3487</v>
      </c>
      <c r="O125" s="21" t="s">
        <v>3488</v>
      </c>
    </row>
    <row r="126" spans="2:15" x14ac:dyDescent="0.2">
      <c r="B126" s="39">
        <f t="shared" si="18"/>
        <v>92003</v>
      </c>
      <c r="C126" s="39">
        <v>0</v>
      </c>
      <c r="D126" s="39"/>
      <c r="E126" s="39"/>
      <c r="F126" s="39"/>
      <c r="G126" s="39">
        <v>0</v>
      </c>
      <c r="H126" s="21">
        <v>92003</v>
      </c>
      <c r="I126" s="39" t="s">
        <v>188</v>
      </c>
      <c r="J126" s="39">
        <v>31</v>
      </c>
      <c r="K126" s="46">
        <v>2614103</v>
      </c>
      <c r="L126" s="39">
        <v>31</v>
      </c>
      <c r="M126" s="40" t="s">
        <v>3489</v>
      </c>
      <c r="N126" s="160" t="s">
        <v>3490</v>
      </c>
      <c r="O126" s="21" t="s">
        <v>3491</v>
      </c>
    </row>
    <row r="127" spans="2:15" x14ac:dyDescent="0.2">
      <c r="B127" s="39">
        <f t="shared" si="18"/>
        <v>92004</v>
      </c>
      <c r="C127" s="39">
        <v>0</v>
      </c>
      <c r="D127" s="39"/>
      <c r="E127" s="39"/>
      <c r="F127" s="39"/>
      <c r="G127" s="39">
        <v>0</v>
      </c>
      <c r="H127" s="21">
        <v>92004</v>
      </c>
      <c r="I127" s="39" t="s">
        <v>188</v>
      </c>
      <c r="J127" s="39">
        <v>31</v>
      </c>
      <c r="K127" s="46">
        <v>2614104</v>
      </c>
      <c r="L127" s="39">
        <v>31</v>
      </c>
      <c r="M127" s="40" t="s">
        <v>3492</v>
      </c>
      <c r="N127" s="160" t="s">
        <v>3493</v>
      </c>
      <c r="O127" s="21" t="s">
        <v>3494</v>
      </c>
    </row>
    <row r="128" spans="2:15" x14ac:dyDescent="0.2">
      <c r="B128" s="39">
        <f t="shared" si="18"/>
        <v>92005</v>
      </c>
      <c r="C128" s="39">
        <v>0</v>
      </c>
      <c r="D128" s="39"/>
      <c r="E128" s="39"/>
      <c r="F128" s="39"/>
      <c r="G128" s="39">
        <v>0</v>
      </c>
      <c r="H128" s="21">
        <v>92005</v>
      </c>
      <c r="I128" s="39" t="s">
        <v>188</v>
      </c>
      <c r="J128" s="39">
        <v>31</v>
      </c>
      <c r="K128" s="46">
        <v>2614105</v>
      </c>
      <c r="L128" s="39">
        <v>31</v>
      </c>
      <c r="M128" s="40" t="s">
        <v>3492</v>
      </c>
      <c r="N128" s="160" t="s">
        <v>3495</v>
      </c>
      <c r="O128" s="21" t="s">
        <v>3496</v>
      </c>
    </row>
    <row r="129" spans="2:15" x14ac:dyDescent="0.2">
      <c r="B129" s="39">
        <f t="shared" si="18"/>
        <v>92006</v>
      </c>
      <c r="C129" s="39">
        <v>0</v>
      </c>
      <c r="D129" s="39"/>
      <c r="E129" s="39"/>
      <c r="F129" s="39"/>
      <c r="G129" s="39">
        <v>0</v>
      </c>
      <c r="H129" s="21">
        <v>92006</v>
      </c>
      <c r="I129" s="39" t="s">
        <v>188</v>
      </c>
      <c r="J129" s="39">
        <v>31</v>
      </c>
      <c r="K129" s="46">
        <v>2614106</v>
      </c>
      <c r="L129" s="39">
        <v>31</v>
      </c>
      <c r="M129" s="40" t="s">
        <v>3492</v>
      </c>
      <c r="N129" s="160" t="s">
        <v>3497</v>
      </c>
      <c r="O129" s="21" t="s">
        <v>3498</v>
      </c>
    </row>
    <row r="130" spans="2:15" x14ac:dyDescent="0.2">
      <c r="B130" s="39">
        <f t="shared" si="18"/>
        <v>92007</v>
      </c>
      <c r="C130" s="39">
        <v>0</v>
      </c>
      <c r="D130" s="39"/>
      <c r="E130" s="39"/>
      <c r="F130" s="39"/>
      <c r="G130" s="39">
        <v>0</v>
      </c>
      <c r="H130" s="21">
        <v>92007</v>
      </c>
      <c r="I130" s="39" t="s">
        <v>188</v>
      </c>
      <c r="J130" s="39">
        <v>31</v>
      </c>
      <c r="K130" s="46">
        <v>2614107</v>
      </c>
      <c r="L130" s="39">
        <v>31</v>
      </c>
      <c r="M130" s="40" t="s">
        <v>3499</v>
      </c>
      <c r="N130" s="160" t="s">
        <v>3500</v>
      </c>
      <c r="O130" s="21" t="s">
        <v>3501</v>
      </c>
    </row>
    <row r="131" spans="2:15" x14ac:dyDescent="0.2">
      <c r="B131" s="39">
        <f t="shared" si="18"/>
        <v>92008</v>
      </c>
      <c r="C131" s="39">
        <v>0</v>
      </c>
      <c r="D131" s="39"/>
      <c r="E131" s="39"/>
      <c r="F131" s="39"/>
      <c r="G131" s="39">
        <v>0</v>
      </c>
      <c r="H131" s="21">
        <v>92008</v>
      </c>
      <c r="I131" s="39" t="s">
        <v>188</v>
      </c>
      <c r="J131" s="39">
        <v>31</v>
      </c>
      <c r="K131" s="46">
        <v>2614108</v>
      </c>
      <c r="L131" s="39">
        <v>31</v>
      </c>
      <c r="M131" s="40" t="s">
        <v>3551</v>
      </c>
      <c r="N131" s="160" t="s">
        <v>3533</v>
      </c>
      <c r="O131" s="21" t="s">
        <v>3552</v>
      </c>
    </row>
    <row r="132" spans="2:15" x14ac:dyDescent="0.2">
      <c r="B132" s="39">
        <f t="shared" si="18"/>
        <v>92009</v>
      </c>
      <c r="C132" s="39">
        <v>0</v>
      </c>
      <c r="D132" s="39"/>
      <c r="E132" s="39"/>
      <c r="F132" s="39"/>
      <c r="G132" s="39">
        <v>0</v>
      </c>
      <c r="H132" s="21">
        <v>92009</v>
      </c>
      <c r="I132" s="39" t="s">
        <v>188</v>
      </c>
      <c r="J132" s="39">
        <v>31</v>
      </c>
      <c r="K132" s="46">
        <v>2614109</v>
      </c>
      <c r="L132" s="39">
        <v>31</v>
      </c>
      <c r="M132" s="40" t="s">
        <v>3553</v>
      </c>
      <c r="N132" s="160" t="s">
        <v>3534</v>
      </c>
      <c r="O132" s="21" t="s">
        <v>3554</v>
      </c>
    </row>
    <row r="133" spans="2:15" x14ac:dyDescent="0.2">
      <c r="B133" s="39">
        <f t="shared" si="18"/>
        <v>92010</v>
      </c>
      <c r="C133" s="39">
        <v>0</v>
      </c>
      <c r="D133" s="39"/>
      <c r="E133" s="39"/>
      <c r="F133" s="39"/>
      <c r="G133" s="39">
        <v>0</v>
      </c>
      <c r="H133" s="21">
        <v>92010</v>
      </c>
      <c r="I133" s="39" t="s">
        <v>188</v>
      </c>
      <c r="J133" s="39">
        <v>31</v>
      </c>
      <c r="K133" s="46">
        <v>2614110</v>
      </c>
      <c r="L133" s="39">
        <v>31</v>
      </c>
      <c r="M133" s="40" t="s">
        <v>3555</v>
      </c>
      <c r="N133" s="160" t="s">
        <v>3535</v>
      </c>
      <c r="O133" s="21" t="s">
        <v>3536</v>
      </c>
    </row>
    <row r="134" spans="2:15" x14ac:dyDescent="0.2">
      <c r="B134" s="39">
        <f t="shared" si="18"/>
        <v>92011</v>
      </c>
      <c r="C134" s="39">
        <v>0</v>
      </c>
      <c r="D134" s="39"/>
      <c r="E134" s="39"/>
      <c r="F134" s="39"/>
      <c r="G134" s="39">
        <v>0</v>
      </c>
      <c r="H134" s="21">
        <v>92011</v>
      </c>
      <c r="I134" s="39" t="s">
        <v>188</v>
      </c>
      <c r="J134" s="39">
        <v>31</v>
      </c>
      <c r="K134" s="46">
        <v>2614111</v>
      </c>
      <c r="L134" s="39">
        <v>31</v>
      </c>
      <c r="M134" s="40" t="s">
        <v>3556</v>
      </c>
      <c r="N134" s="160" t="s">
        <v>3537</v>
      </c>
      <c r="O134" s="21" t="s">
        <v>3538</v>
      </c>
    </row>
    <row r="135" spans="2:15" x14ac:dyDescent="0.2">
      <c r="B135" s="39">
        <f t="shared" si="18"/>
        <v>92012</v>
      </c>
      <c r="C135" s="39">
        <v>0</v>
      </c>
      <c r="D135" s="39"/>
      <c r="E135" s="39"/>
      <c r="F135" s="39"/>
      <c r="G135" s="39">
        <v>0</v>
      </c>
      <c r="H135" s="21">
        <v>92012</v>
      </c>
      <c r="I135" s="39" t="s">
        <v>188</v>
      </c>
      <c r="J135" s="39">
        <v>31</v>
      </c>
      <c r="K135" s="46">
        <v>2614112</v>
      </c>
      <c r="L135" s="39">
        <v>31</v>
      </c>
      <c r="M135" s="40" t="s">
        <v>3557</v>
      </c>
      <c r="N135" s="160" t="s">
        <v>3539</v>
      </c>
      <c r="O135" s="21" t="s">
        <v>3540</v>
      </c>
    </row>
    <row r="136" spans="2:15" x14ac:dyDescent="0.2">
      <c r="B136" s="39">
        <f t="shared" si="18"/>
        <v>92013</v>
      </c>
      <c r="C136" s="39">
        <v>0</v>
      </c>
      <c r="D136" s="39"/>
      <c r="E136" s="39"/>
      <c r="F136" s="39"/>
      <c r="G136" s="39">
        <v>0</v>
      </c>
      <c r="H136" s="21">
        <v>92013</v>
      </c>
      <c r="I136" s="39" t="s">
        <v>188</v>
      </c>
      <c r="J136" s="39">
        <v>31</v>
      </c>
      <c r="K136" s="46">
        <v>2614113</v>
      </c>
      <c r="L136" s="39">
        <v>31</v>
      </c>
      <c r="M136" s="40" t="s">
        <v>3558</v>
      </c>
      <c r="N136" s="160" t="s">
        <v>3541</v>
      </c>
      <c r="O136" s="21" t="s">
        <v>3542</v>
      </c>
    </row>
    <row r="137" spans="2:15" x14ac:dyDescent="0.2">
      <c r="B137" s="39">
        <f t="shared" si="18"/>
        <v>92014</v>
      </c>
      <c r="C137" s="39">
        <v>0</v>
      </c>
      <c r="D137" s="39"/>
      <c r="E137" s="39"/>
      <c r="F137" s="39"/>
      <c r="G137" s="39">
        <v>0</v>
      </c>
      <c r="H137" s="21">
        <v>92014</v>
      </c>
      <c r="I137" s="39" t="s">
        <v>188</v>
      </c>
      <c r="J137" s="39">
        <v>31</v>
      </c>
      <c r="K137" s="46">
        <v>2614114</v>
      </c>
      <c r="L137" s="39">
        <v>31</v>
      </c>
      <c r="M137" s="40" t="s">
        <v>3559</v>
      </c>
      <c r="N137" s="160" t="s">
        <v>3543</v>
      </c>
      <c r="O137" s="21" t="s">
        <v>3544</v>
      </c>
    </row>
    <row r="138" spans="2:15" x14ac:dyDescent="0.2">
      <c r="B138" s="39">
        <f t="shared" si="18"/>
        <v>92015</v>
      </c>
      <c r="C138" s="39">
        <v>0</v>
      </c>
      <c r="D138" s="39"/>
      <c r="E138" s="39"/>
      <c r="F138" s="39"/>
      <c r="G138" s="39">
        <v>0</v>
      </c>
      <c r="H138" s="21">
        <v>92015</v>
      </c>
      <c r="I138" s="39" t="s">
        <v>188</v>
      </c>
      <c r="J138" s="39">
        <v>31</v>
      </c>
      <c r="K138" s="46">
        <v>2614116</v>
      </c>
      <c r="L138" s="39">
        <v>31</v>
      </c>
      <c r="M138" s="40" t="s">
        <v>3560</v>
      </c>
      <c r="N138" s="160" t="s">
        <v>3561</v>
      </c>
      <c r="O138" s="21" t="s">
        <v>3562</v>
      </c>
    </row>
    <row r="139" spans="2:15" x14ac:dyDescent="0.2">
      <c r="B139" s="39">
        <f t="shared" si="18"/>
        <v>92016</v>
      </c>
      <c r="C139" s="39">
        <v>0</v>
      </c>
      <c r="D139" s="39"/>
      <c r="E139" s="39"/>
      <c r="F139" s="39"/>
      <c r="G139" s="39">
        <v>0</v>
      </c>
      <c r="H139" s="21">
        <v>92016</v>
      </c>
      <c r="I139" s="39" t="s">
        <v>188</v>
      </c>
      <c r="J139" s="39">
        <v>99</v>
      </c>
      <c r="K139" s="46">
        <v>2614117</v>
      </c>
      <c r="L139" s="39">
        <v>99</v>
      </c>
      <c r="M139" s="40" t="s">
        <v>3563</v>
      </c>
      <c r="N139" s="160" t="s">
        <v>3545</v>
      </c>
      <c r="O139" s="21" t="s">
        <v>3546</v>
      </c>
    </row>
    <row r="140" spans="2:15" x14ac:dyDescent="0.2">
      <c r="B140" s="39">
        <f t="shared" si="18"/>
        <v>92017</v>
      </c>
      <c r="C140" s="39">
        <v>0</v>
      </c>
      <c r="D140" s="39"/>
      <c r="E140" s="39"/>
      <c r="F140" s="39"/>
      <c r="G140" s="39">
        <v>0</v>
      </c>
      <c r="H140" s="21">
        <v>92017</v>
      </c>
      <c r="I140" s="39" t="s">
        <v>188</v>
      </c>
      <c r="J140" s="39">
        <v>99</v>
      </c>
      <c r="K140" s="46">
        <v>2614118</v>
      </c>
      <c r="L140" s="39">
        <v>99</v>
      </c>
      <c r="M140" s="40" t="s">
        <v>3564</v>
      </c>
      <c r="N140" s="160" t="s">
        <v>3547</v>
      </c>
      <c r="O140" s="21" t="s">
        <v>3548</v>
      </c>
    </row>
    <row r="141" spans="2:15" x14ac:dyDescent="0.2">
      <c r="B141" s="39">
        <f t="shared" si="18"/>
        <v>92018</v>
      </c>
      <c r="C141" s="39">
        <v>0</v>
      </c>
      <c r="D141" s="39"/>
      <c r="E141" s="39"/>
      <c r="F141" s="39"/>
      <c r="G141" s="39">
        <v>0</v>
      </c>
      <c r="H141" s="21">
        <v>92018</v>
      </c>
      <c r="I141" s="39" t="s">
        <v>188</v>
      </c>
      <c r="J141" s="39">
        <v>99</v>
      </c>
      <c r="K141" s="46">
        <v>2614119</v>
      </c>
      <c r="L141" s="39">
        <v>99</v>
      </c>
      <c r="M141" s="40" t="s">
        <v>3565</v>
      </c>
      <c r="N141" s="160" t="s">
        <v>3549</v>
      </c>
      <c r="O141" s="21" t="s">
        <v>3550</v>
      </c>
    </row>
    <row r="142" spans="2:15" x14ac:dyDescent="0.2">
      <c r="B142" s="39">
        <f t="shared" si="2"/>
        <v>100000</v>
      </c>
      <c r="C142" s="39">
        <v>1</v>
      </c>
      <c r="D142" s="39"/>
      <c r="E142" s="39"/>
      <c r="F142" s="39"/>
      <c r="G142" s="39">
        <v>1</v>
      </c>
      <c r="H142" s="21">
        <v>100000</v>
      </c>
      <c r="I142" s="21" t="s">
        <v>188</v>
      </c>
      <c r="J142" s="39">
        <v>31</v>
      </c>
      <c r="K142" s="46">
        <v>1400397</v>
      </c>
      <c r="L142" s="39">
        <f t="shared" ref="L142:L168" si="19">VLOOKUP(I142,error,2,FALSE)</f>
        <v>31</v>
      </c>
      <c r="M142" s="40" t="s">
        <v>1816</v>
      </c>
      <c r="N142" s="161" t="s">
        <v>1144</v>
      </c>
      <c r="O142" s="21" t="s">
        <v>1145</v>
      </c>
    </row>
    <row r="143" spans="2:15" x14ac:dyDescent="0.2">
      <c r="B143" s="39">
        <f t="shared" si="2"/>
        <v>100001</v>
      </c>
      <c r="C143" s="39">
        <v>1</v>
      </c>
      <c r="D143" s="39"/>
      <c r="E143" s="39"/>
      <c r="F143" s="39"/>
      <c r="G143" s="39">
        <v>1</v>
      </c>
      <c r="H143" s="21">
        <v>100001</v>
      </c>
      <c r="I143" s="21" t="s">
        <v>188</v>
      </c>
      <c r="J143" s="39">
        <v>31</v>
      </c>
      <c r="K143" s="46">
        <v>1400398</v>
      </c>
      <c r="L143" s="39">
        <f t="shared" si="19"/>
        <v>31</v>
      </c>
      <c r="M143" s="40" t="s">
        <v>1817</v>
      </c>
      <c r="N143" s="161" t="s">
        <v>1143</v>
      </c>
      <c r="O143" s="21" t="s">
        <v>1146</v>
      </c>
    </row>
    <row r="144" spans="2:15" x14ac:dyDescent="0.2">
      <c r="B144" s="39">
        <f t="shared" si="2"/>
        <v>100002</v>
      </c>
      <c r="C144" s="39">
        <v>1</v>
      </c>
      <c r="D144" s="39"/>
      <c r="E144" s="39"/>
      <c r="F144" s="39"/>
      <c r="G144" s="39">
        <v>1</v>
      </c>
      <c r="H144" s="21">
        <v>100002</v>
      </c>
      <c r="I144" s="21" t="s">
        <v>188</v>
      </c>
      <c r="J144" s="39">
        <v>31</v>
      </c>
      <c r="K144" s="46">
        <v>1400399</v>
      </c>
      <c r="L144" s="39">
        <f t="shared" si="19"/>
        <v>31</v>
      </c>
      <c r="M144" s="39" t="s">
        <v>1818</v>
      </c>
      <c r="N144" s="21" t="s">
        <v>1142</v>
      </c>
      <c r="O144" s="21" t="s">
        <v>1147</v>
      </c>
    </row>
    <row r="145" spans="2:15" x14ac:dyDescent="0.2">
      <c r="B145" s="39">
        <f t="shared" si="2"/>
        <v>100003</v>
      </c>
      <c r="C145" s="39">
        <v>1</v>
      </c>
      <c r="D145" s="39"/>
      <c r="E145" s="39"/>
      <c r="F145" s="39"/>
      <c r="G145" s="39">
        <v>1</v>
      </c>
      <c r="H145" s="21">
        <v>100003</v>
      </c>
      <c r="I145" s="21" t="s">
        <v>188</v>
      </c>
      <c r="J145" s="39">
        <v>31</v>
      </c>
      <c r="K145" s="46">
        <v>1400400</v>
      </c>
      <c r="L145" s="39">
        <f t="shared" si="19"/>
        <v>31</v>
      </c>
      <c r="M145" s="39" t="s">
        <v>1819</v>
      </c>
      <c r="N145" s="21" t="s">
        <v>1141</v>
      </c>
      <c r="O145" s="21" t="s">
        <v>1148</v>
      </c>
    </row>
    <row r="146" spans="2:15" x14ac:dyDescent="0.2">
      <c r="B146" s="39">
        <f t="shared" si="2"/>
        <v>100004</v>
      </c>
      <c r="C146" s="39">
        <v>1</v>
      </c>
      <c r="D146" s="39"/>
      <c r="E146" s="39"/>
      <c r="F146" s="39"/>
      <c r="G146" s="39">
        <v>1</v>
      </c>
      <c r="H146" s="21">
        <v>100004</v>
      </c>
      <c r="I146" s="21" t="s">
        <v>188</v>
      </c>
      <c r="J146" s="39">
        <v>31</v>
      </c>
      <c r="K146" s="46">
        <v>1400401</v>
      </c>
      <c r="L146" s="39">
        <f t="shared" si="19"/>
        <v>31</v>
      </c>
      <c r="M146" s="39" t="s">
        <v>1820</v>
      </c>
      <c r="N146" s="21" t="s">
        <v>1140</v>
      </c>
      <c r="O146" s="21" t="s">
        <v>1149</v>
      </c>
    </row>
    <row r="147" spans="2:15" x14ac:dyDescent="0.2">
      <c r="B147" s="39">
        <f t="shared" si="2"/>
        <v>100005</v>
      </c>
      <c r="C147" s="39">
        <v>1</v>
      </c>
      <c r="D147" s="39"/>
      <c r="E147" s="39"/>
      <c r="F147" s="39"/>
      <c r="G147" s="39">
        <v>1</v>
      </c>
      <c r="H147" s="21">
        <v>100005</v>
      </c>
      <c r="I147" s="21" t="s">
        <v>188</v>
      </c>
      <c r="J147" s="39">
        <v>31</v>
      </c>
      <c r="K147" s="46">
        <v>1400402</v>
      </c>
      <c r="L147" s="39">
        <f t="shared" si="19"/>
        <v>31</v>
      </c>
      <c r="M147" s="39" t="s">
        <v>1821</v>
      </c>
      <c r="N147" s="21" t="s">
        <v>1139</v>
      </c>
      <c r="O147" s="21" t="s">
        <v>1150</v>
      </c>
    </row>
    <row r="148" spans="2:15" x14ac:dyDescent="0.2">
      <c r="B148" s="39">
        <f t="shared" si="2"/>
        <v>100006</v>
      </c>
      <c r="C148" s="39">
        <v>1</v>
      </c>
      <c r="D148" s="39"/>
      <c r="E148" s="39"/>
      <c r="F148" s="39"/>
      <c r="G148" s="39">
        <v>1</v>
      </c>
      <c r="H148" s="21">
        <v>100006</v>
      </c>
      <c r="I148" s="21" t="s">
        <v>188</v>
      </c>
      <c r="J148" s="39">
        <v>31</v>
      </c>
      <c r="K148" s="46">
        <v>1400403</v>
      </c>
      <c r="L148" s="39">
        <f t="shared" si="19"/>
        <v>31</v>
      </c>
      <c r="M148" s="39" t="s">
        <v>1822</v>
      </c>
      <c r="N148" s="21" t="s">
        <v>1138</v>
      </c>
      <c r="O148" s="21" t="s">
        <v>1151</v>
      </c>
    </row>
    <row r="149" spans="2:15" x14ac:dyDescent="0.2">
      <c r="B149" s="39">
        <f t="shared" si="2"/>
        <v>100007</v>
      </c>
      <c r="C149" s="39">
        <v>1</v>
      </c>
      <c r="D149" s="39"/>
      <c r="E149" s="39"/>
      <c r="F149" s="39"/>
      <c r="G149" s="39">
        <v>1</v>
      </c>
      <c r="H149" s="21">
        <v>100007</v>
      </c>
      <c r="I149" s="21" t="s">
        <v>188</v>
      </c>
      <c r="J149" s="39">
        <v>31</v>
      </c>
      <c r="K149" s="46">
        <v>1400404</v>
      </c>
      <c r="L149" s="39">
        <f t="shared" si="19"/>
        <v>31</v>
      </c>
      <c r="M149" s="39" t="s">
        <v>1823</v>
      </c>
      <c r="N149" s="21" t="s">
        <v>1137</v>
      </c>
      <c r="O149" s="21" t="s">
        <v>1152</v>
      </c>
    </row>
    <row r="150" spans="2:15" x14ac:dyDescent="0.2">
      <c r="B150" s="39">
        <f t="shared" si="2"/>
        <v>100008</v>
      </c>
      <c r="C150" s="39">
        <v>1</v>
      </c>
      <c r="D150" s="39"/>
      <c r="E150" s="39"/>
      <c r="F150" s="39"/>
      <c r="G150" s="39">
        <v>1</v>
      </c>
      <c r="H150" s="21">
        <v>100008</v>
      </c>
      <c r="I150" s="21" t="s">
        <v>188</v>
      </c>
      <c r="J150" s="39">
        <v>31</v>
      </c>
      <c r="K150" s="46">
        <v>1400405</v>
      </c>
      <c r="L150" s="39">
        <f t="shared" si="19"/>
        <v>31</v>
      </c>
      <c r="M150" s="39" t="s">
        <v>1824</v>
      </c>
      <c r="N150" s="21" t="s">
        <v>1136</v>
      </c>
      <c r="O150" s="21" t="s">
        <v>1165</v>
      </c>
    </row>
    <row r="151" spans="2:15" x14ac:dyDescent="0.2">
      <c r="B151" s="39">
        <f t="shared" si="2"/>
        <v>100009</v>
      </c>
      <c r="C151" s="39">
        <v>1</v>
      </c>
      <c r="D151" s="39"/>
      <c r="E151" s="39"/>
      <c r="F151" s="39"/>
      <c r="G151" s="39">
        <v>1</v>
      </c>
      <c r="H151" s="21">
        <v>100009</v>
      </c>
      <c r="I151" s="21" t="s">
        <v>188</v>
      </c>
      <c r="J151" s="39">
        <v>31</v>
      </c>
      <c r="K151" s="46">
        <v>1400406</v>
      </c>
      <c r="L151" s="39">
        <f t="shared" si="19"/>
        <v>31</v>
      </c>
      <c r="M151" s="39" t="s">
        <v>1825</v>
      </c>
      <c r="N151" s="21" t="s">
        <v>1135</v>
      </c>
      <c r="O151" s="21" t="s">
        <v>1153</v>
      </c>
    </row>
    <row r="152" spans="2:15" x14ac:dyDescent="0.2">
      <c r="B152" s="39">
        <f t="shared" si="2"/>
        <v>100010</v>
      </c>
      <c r="C152" s="39">
        <v>1</v>
      </c>
      <c r="D152" s="39"/>
      <c r="E152" s="39"/>
      <c r="F152" s="39"/>
      <c r="G152" s="39">
        <v>1</v>
      </c>
      <c r="H152" s="21">
        <v>100010</v>
      </c>
      <c r="I152" s="21" t="s">
        <v>188</v>
      </c>
      <c r="J152" s="39">
        <v>31</v>
      </c>
      <c r="K152" s="46">
        <v>1400407</v>
      </c>
      <c r="L152" s="39">
        <f t="shared" si="19"/>
        <v>31</v>
      </c>
      <c r="M152" s="39" t="s">
        <v>1826</v>
      </c>
      <c r="N152" s="21" t="s">
        <v>1134</v>
      </c>
      <c r="O152" s="21" t="s">
        <v>1154</v>
      </c>
    </row>
    <row r="153" spans="2:15" x14ac:dyDescent="0.2">
      <c r="B153" s="39">
        <f t="shared" si="2"/>
        <v>100011</v>
      </c>
      <c r="C153" s="39">
        <v>1</v>
      </c>
      <c r="D153" s="39"/>
      <c r="E153" s="39"/>
      <c r="F153" s="39"/>
      <c r="G153" s="39">
        <v>1</v>
      </c>
      <c r="H153" s="21">
        <v>100011</v>
      </c>
      <c r="I153" s="21" t="s">
        <v>188</v>
      </c>
      <c r="J153" s="39">
        <v>31</v>
      </c>
      <c r="K153" s="46">
        <v>1400408</v>
      </c>
      <c r="L153" s="39">
        <f t="shared" si="19"/>
        <v>31</v>
      </c>
      <c r="M153" s="39" t="s">
        <v>1827</v>
      </c>
      <c r="N153" s="21" t="s">
        <v>1133</v>
      </c>
      <c r="O153" s="21" t="s">
        <v>1155</v>
      </c>
    </row>
    <row r="154" spans="2:15" x14ac:dyDescent="0.2">
      <c r="B154" s="39">
        <f t="shared" si="2"/>
        <v>100012</v>
      </c>
      <c r="C154" s="39">
        <v>1</v>
      </c>
      <c r="D154" s="39"/>
      <c r="E154" s="39"/>
      <c r="F154" s="39"/>
      <c r="G154" s="39">
        <v>1</v>
      </c>
      <c r="H154" s="21">
        <v>100012</v>
      </c>
      <c r="I154" s="21" t="s">
        <v>188</v>
      </c>
      <c r="J154" s="39">
        <v>31</v>
      </c>
      <c r="K154" s="46">
        <v>1400409</v>
      </c>
      <c r="L154" s="39">
        <f t="shared" si="19"/>
        <v>31</v>
      </c>
      <c r="M154" s="39" t="s">
        <v>1828</v>
      </c>
      <c r="N154" s="21" t="s">
        <v>1132</v>
      </c>
      <c r="O154" s="21" t="s">
        <v>1156</v>
      </c>
    </row>
    <row r="155" spans="2:15" x14ac:dyDescent="0.2">
      <c r="B155" s="39">
        <f t="shared" si="2"/>
        <v>100013</v>
      </c>
      <c r="C155" s="39">
        <v>1</v>
      </c>
      <c r="D155" s="39"/>
      <c r="E155" s="39"/>
      <c r="F155" s="39"/>
      <c r="G155" s="39">
        <v>1</v>
      </c>
      <c r="H155" s="21">
        <v>100013</v>
      </c>
      <c r="I155" s="21" t="s">
        <v>188</v>
      </c>
      <c r="J155" s="39">
        <v>31</v>
      </c>
      <c r="K155" s="46">
        <v>1400410</v>
      </c>
      <c r="L155" s="39">
        <f t="shared" si="19"/>
        <v>31</v>
      </c>
      <c r="M155" s="39" t="s">
        <v>1829</v>
      </c>
      <c r="N155" s="21" t="s">
        <v>1131</v>
      </c>
      <c r="O155" s="21" t="s">
        <v>1157</v>
      </c>
    </row>
    <row r="156" spans="2:15" x14ac:dyDescent="0.2">
      <c r="B156" s="39">
        <f t="shared" si="2"/>
        <v>100014</v>
      </c>
      <c r="C156" s="39">
        <v>1</v>
      </c>
      <c r="D156" s="39"/>
      <c r="E156" s="39"/>
      <c r="F156" s="39"/>
      <c r="G156" s="39">
        <v>1</v>
      </c>
      <c r="H156" s="21">
        <v>100014</v>
      </c>
      <c r="I156" s="21" t="s">
        <v>188</v>
      </c>
      <c r="J156" s="39">
        <v>31</v>
      </c>
      <c r="K156" s="46">
        <v>1400411</v>
      </c>
      <c r="L156" s="39">
        <f t="shared" si="19"/>
        <v>31</v>
      </c>
      <c r="M156" s="39" t="s">
        <v>1830</v>
      </c>
      <c r="N156" s="21" t="s">
        <v>1130</v>
      </c>
      <c r="O156" s="21" t="s">
        <v>1158</v>
      </c>
    </row>
    <row r="157" spans="2:15" x14ac:dyDescent="0.2">
      <c r="B157" s="39">
        <f t="shared" si="2"/>
        <v>100015</v>
      </c>
      <c r="C157" s="39">
        <v>1</v>
      </c>
      <c r="D157" s="39"/>
      <c r="E157" s="39"/>
      <c r="F157" s="39"/>
      <c r="G157" s="39">
        <v>1</v>
      </c>
      <c r="H157" s="21">
        <v>100015</v>
      </c>
      <c r="I157" s="21" t="s">
        <v>188</v>
      </c>
      <c r="J157" s="39">
        <v>31</v>
      </c>
      <c r="K157" s="46">
        <v>1400412</v>
      </c>
      <c r="L157" s="39">
        <f t="shared" si="19"/>
        <v>31</v>
      </c>
      <c r="M157" s="39" t="s">
        <v>1831</v>
      </c>
      <c r="N157" s="21" t="s">
        <v>1129</v>
      </c>
      <c r="O157" s="21"/>
    </row>
    <row r="158" spans="2:15" x14ac:dyDescent="0.2">
      <c r="B158" s="39">
        <f t="shared" si="2"/>
        <v>100016</v>
      </c>
      <c r="C158" s="39">
        <v>1</v>
      </c>
      <c r="D158" s="39"/>
      <c r="E158" s="39"/>
      <c r="F158" s="39"/>
      <c r="G158" s="39">
        <v>1</v>
      </c>
      <c r="H158" s="21">
        <v>100016</v>
      </c>
      <c r="I158" s="21" t="s">
        <v>188</v>
      </c>
      <c r="J158" s="39">
        <v>31</v>
      </c>
      <c r="K158" s="46">
        <v>1400413</v>
      </c>
      <c r="L158" s="39">
        <f t="shared" si="19"/>
        <v>31</v>
      </c>
      <c r="M158" s="39" t="s">
        <v>1832</v>
      </c>
      <c r="N158" s="21" t="s">
        <v>1128</v>
      </c>
      <c r="O158" s="21" t="s">
        <v>1159</v>
      </c>
    </row>
    <row r="159" spans="2:15" x14ac:dyDescent="0.2">
      <c r="B159" s="39">
        <f t="shared" si="2"/>
        <v>100017</v>
      </c>
      <c r="C159" s="39">
        <v>1</v>
      </c>
      <c r="D159" s="39"/>
      <c r="E159" s="39"/>
      <c r="F159" s="39"/>
      <c r="G159" s="39">
        <v>1</v>
      </c>
      <c r="H159" s="21">
        <v>100017</v>
      </c>
      <c r="I159" s="21" t="s">
        <v>188</v>
      </c>
      <c r="J159" s="39">
        <v>31</v>
      </c>
      <c r="K159" s="46">
        <v>1400414</v>
      </c>
      <c r="L159" s="39">
        <f t="shared" si="19"/>
        <v>31</v>
      </c>
      <c r="M159" s="39" t="s">
        <v>1833</v>
      </c>
      <c r="N159" s="21" t="s">
        <v>1127</v>
      </c>
      <c r="O159" s="21"/>
    </row>
    <row r="160" spans="2:15" x14ac:dyDescent="0.2">
      <c r="B160" s="39">
        <f t="shared" si="2"/>
        <v>100018</v>
      </c>
      <c r="C160" s="39">
        <v>1</v>
      </c>
      <c r="D160" s="39"/>
      <c r="E160" s="39"/>
      <c r="F160" s="39"/>
      <c r="G160" s="39">
        <v>1</v>
      </c>
      <c r="H160" s="21">
        <v>100018</v>
      </c>
      <c r="I160" s="21" t="s">
        <v>188</v>
      </c>
      <c r="J160" s="39">
        <v>31</v>
      </c>
      <c r="K160" s="46">
        <v>1400415</v>
      </c>
      <c r="L160" s="39">
        <f t="shared" si="19"/>
        <v>31</v>
      </c>
      <c r="M160" s="39" t="s">
        <v>1834</v>
      </c>
      <c r="N160" s="21" t="s">
        <v>1126</v>
      </c>
      <c r="O160" s="21"/>
    </row>
    <row r="161" spans="2:15" x14ac:dyDescent="0.2">
      <c r="B161" s="39">
        <f t="shared" si="2"/>
        <v>100020</v>
      </c>
      <c r="C161" s="39">
        <v>1</v>
      </c>
      <c r="D161" s="39"/>
      <c r="E161" s="39"/>
      <c r="F161" s="39"/>
      <c r="G161" s="39">
        <v>1</v>
      </c>
      <c r="H161" s="21">
        <v>100020</v>
      </c>
      <c r="I161" s="21" t="s">
        <v>188</v>
      </c>
      <c r="J161" s="39">
        <v>31</v>
      </c>
      <c r="K161" s="46">
        <v>1400416</v>
      </c>
      <c r="L161" s="39">
        <f t="shared" si="19"/>
        <v>31</v>
      </c>
      <c r="M161" s="39" t="s">
        <v>1835</v>
      </c>
      <c r="N161" s="21" t="s">
        <v>1125</v>
      </c>
      <c r="O161" s="21" t="s">
        <v>1160</v>
      </c>
    </row>
    <row r="162" spans="2:15" x14ac:dyDescent="0.2">
      <c r="B162" s="39">
        <f t="shared" si="2"/>
        <v>100021</v>
      </c>
      <c r="C162" s="39">
        <v>1</v>
      </c>
      <c r="D162" s="39"/>
      <c r="E162" s="39"/>
      <c r="F162" s="39"/>
      <c r="G162" s="39">
        <v>1</v>
      </c>
      <c r="H162" s="21">
        <v>100021</v>
      </c>
      <c r="I162" s="21" t="s">
        <v>188</v>
      </c>
      <c r="J162" s="39">
        <v>31</v>
      </c>
      <c r="K162" s="46">
        <v>1400417</v>
      </c>
      <c r="L162" s="39">
        <f t="shared" si="19"/>
        <v>31</v>
      </c>
      <c r="M162" s="39" t="s">
        <v>1836</v>
      </c>
      <c r="N162" s="21" t="s">
        <v>1124</v>
      </c>
      <c r="O162" s="21" t="s">
        <v>1161</v>
      </c>
    </row>
    <row r="163" spans="2:15" x14ac:dyDescent="0.2">
      <c r="B163" s="39">
        <f t="shared" ref="B163:B278" si="20">H163</f>
        <v>100022</v>
      </c>
      <c r="C163" s="39">
        <v>1</v>
      </c>
      <c r="D163" s="39"/>
      <c r="E163" s="39"/>
      <c r="F163" s="39"/>
      <c r="G163" s="39">
        <v>1</v>
      </c>
      <c r="H163" s="21">
        <v>100022</v>
      </c>
      <c r="I163" s="21" t="s">
        <v>188</v>
      </c>
      <c r="J163" s="39">
        <v>31</v>
      </c>
      <c r="K163" s="46">
        <v>1400418</v>
      </c>
      <c r="L163" s="39">
        <f t="shared" si="19"/>
        <v>31</v>
      </c>
      <c r="M163" s="39" t="s">
        <v>1837</v>
      </c>
      <c r="N163" s="21" t="s">
        <v>1123</v>
      </c>
      <c r="O163" s="21" t="s">
        <v>1162</v>
      </c>
    </row>
    <row r="164" spans="2:15" x14ac:dyDescent="0.2">
      <c r="B164" s="39">
        <f t="shared" si="20"/>
        <v>100023</v>
      </c>
      <c r="C164" s="39">
        <v>1</v>
      </c>
      <c r="D164" s="39"/>
      <c r="E164" s="39"/>
      <c r="F164" s="39"/>
      <c r="G164" s="39">
        <v>1</v>
      </c>
      <c r="H164" s="21">
        <v>100023</v>
      </c>
      <c r="I164" s="21" t="s">
        <v>188</v>
      </c>
      <c r="J164" s="39">
        <v>31</v>
      </c>
      <c r="K164" s="46">
        <v>1400419</v>
      </c>
      <c r="L164" s="39">
        <f t="shared" si="19"/>
        <v>31</v>
      </c>
      <c r="M164" s="39" t="s">
        <v>1838</v>
      </c>
      <c r="N164" s="21" t="s">
        <v>1122</v>
      </c>
      <c r="O164" s="21" t="s">
        <v>1163</v>
      </c>
    </row>
    <row r="165" spans="2:15" x14ac:dyDescent="0.2">
      <c r="B165" s="39">
        <f t="shared" si="20"/>
        <v>100024</v>
      </c>
      <c r="C165" s="39">
        <v>1</v>
      </c>
      <c r="D165" s="39"/>
      <c r="E165" s="39"/>
      <c r="F165" s="39"/>
      <c r="G165" s="39">
        <v>1</v>
      </c>
      <c r="H165" s="21">
        <v>100024</v>
      </c>
      <c r="I165" s="21" t="s">
        <v>188</v>
      </c>
      <c r="J165" s="39">
        <v>31</v>
      </c>
      <c r="K165" s="46">
        <v>1400420</v>
      </c>
      <c r="L165" s="39">
        <f t="shared" si="19"/>
        <v>31</v>
      </c>
      <c r="M165" s="39" t="s">
        <v>1839</v>
      </c>
      <c r="N165" s="21" t="s">
        <v>1121</v>
      </c>
      <c r="O165" s="21" t="s">
        <v>1164</v>
      </c>
    </row>
    <row r="166" spans="2:15" x14ac:dyDescent="0.2">
      <c r="B166" s="39">
        <f t="shared" si="20"/>
        <v>100025</v>
      </c>
      <c r="C166" s="39">
        <v>1</v>
      </c>
      <c r="D166" s="39"/>
      <c r="E166" s="39"/>
      <c r="F166" s="39"/>
      <c r="G166" s="39">
        <v>1</v>
      </c>
      <c r="H166" s="21">
        <v>100025</v>
      </c>
      <c r="I166" s="21" t="s">
        <v>188</v>
      </c>
      <c r="J166" s="39">
        <v>31</v>
      </c>
      <c r="K166" s="46">
        <v>1400531</v>
      </c>
      <c r="L166" s="39">
        <f t="shared" si="19"/>
        <v>31</v>
      </c>
      <c r="M166" s="39" t="s">
        <v>1526</v>
      </c>
      <c r="N166" s="21" t="s">
        <v>1527</v>
      </c>
      <c r="O166" s="21" t="s">
        <v>1530</v>
      </c>
    </row>
    <row r="167" spans="2:15" x14ac:dyDescent="0.2">
      <c r="B167" s="39">
        <f t="shared" si="20"/>
        <v>100026</v>
      </c>
      <c r="C167" s="39">
        <v>1</v>
      </c>
      <c r="D167" s="39"/>
      <c r="E167" s="39"/>
      <c r="F167" s="39"/>
      <c r="G167" s="39">
        <v>1</v>
      </c>
      <c r="H167" s="21">
        <v>100026</v>
      </c>
      <c r="I167" s="21" t="s">
        <v>188</v>
      </c>
      <c r="J167" s="39">
        <v>31</v>
      </c>
      <c r="K167" s="46">
        <v>1400532</v>
      </c>
      <c r="L167" s="39">
        <f t="shared" si="19"/>
        <v>31</v>
      </c>
      <c r="M167" s="39" t="s">
        <v>1528</v>
      </c>
      <c r="N167" s="21" t="s">
        <v>1529</v>
      </c>
      <c r="O167" s="21" t="s">
        <v>1531</v>
      </c>
    </row>
    <row r="168" spans="2:15" x14ac:dyDescent="0.2">
      <c r="B168" s="39">
        <f t="shared" si="20"/>
        <v>100027</v>
      </c>
      <c r="C168" s="39">
        <v>1</v>
      </c>
      <c r="D168" s="39"/>
      <c r="E168" s="39"/>
      <c r="F168" s="39"/>
      <c r="G168" s="39">
        <v>1</v>
      </c>
      <c r="H168" s="21">
        <v>100027</v>
      </c>
      <c r="I168" s="21" t="s">
        <v>188</v>
      </c>
      <c r="J168" s="39">
        <v>31</v>
      </c>
      <c r="K168" s="46">
        <v>1400541</v>
      </c>
      <c r="L168" s="39">
        <f t="shared" si="19"/>
        <v>31</v>
      </c>
      <c r="M168" s="39" t="s">
        <v>1608</v>
      </c>
      <c r="N168" s="160" t="s">
        <v>1607</v>
      </c>
      <c r="O168" s="21" t="s">
        <v>1531</v>
      </c>
    </row>
    <row r="169" spans="2:15" x14ac:dyDescent="0.2">
      <c r="B169" s="39">
        <f t="shared" si="20"/>
        <v>100028</v>
      </c>
      <c r="C169" s="39">
        <v>1</v>
      </c>
      <c r="D169" s="39"/>
      <c r="E169" s="39"/>
      <c r="F169" s="39"/>
      <c r="G169" s="39">
        <v>1</v>
      </c>
      <c r="H169" s="21">
        <v>100028</v>
      </c>
      <c r="I169" s="21" t="s">
        <v>188</v>
      </c>
      <c r="J169" s="39">
        <v>31</v>
      </c>
      <c r="K169" s="46">
        <v>10104</v>
      </c>
      <c r="L169" s="39">
        <v>31</v>
      </c>
      <c r="M169" s="39" t="s">
        <v>2159</v>
      </c>
      <c r="N169" s="160" t="s">
        <v>1924</v>
      </c>
      <c r="O169" s="21" t="s">
        <v>1925</v>
      </c>
    </row>
    <row r="170" spans="2:15" x14ac:dyDescent="0.2">
      <c r="B170" s="39">
        <f t="shared" ref="B170:B175" si="21">H170</f>
        <v>100029</v>
      </c>
      <c r="C170" s="39">
        <v>1</v>
      </c>
      <c r="D170" s="39"/>
      <c r="E170" s="39"/>
      <c r="F170" s="39"/>
      <c r="G170" s="39">
        <v>1</v>
      </c>
      <c r="H170" s="21">
        <v>100029</v>
      </c>
      <c r="I170" s="21" t="s">
        <v>188</v>
      </c>
      <c r="J170" s="39">
        <v>31</v>
      </c>
      <c r="K170" s="46">
        <v>1400613</v>
      </c>
      <c r="L170" s="39">
        <v>31</v>
      </c>
      <c r="M170" s="64" t="s">
        <v>2708</v>
      </c>
      <c r="N170" s="160" t="s">
        <v>2709</v>
      </c>
      <c r="O170" s="21" t="s">
        <v>2710</v>
      </c>
    </row>
    <row r="171" spans="2:15" ht="12.75" thickBot="1" x14ac:dyDescent="0.25">
      <c r="B171" s="44">
        <f t="shared" si="21"/>
        <v>100030</v>
      </c>
      <c r="C171" s="44">
        <v>1</v>
      </c>
      <c r="D171" s="44">
        <v>0</v>
      </c>
      <c r="E171" s="44">
        <v>0</v>
      </c>
      <c r="F171" s="44">
        <v>0</v>
      </c>
      <c r="G171" s="44">
        <v>1</v>
      </c>
      <c r="H171" s="63">
        <v>100030</v>
      </c>
      <c r="I171" s="63" t="s">
        <v>189</v>
      </c>
      <c r="J171" s="44">
        <v>31</v>
      </c>
      <c r="K171" s="54">
        <v>1067575</v>
      </c>
      <c r="L171" s="44">
        <v>31</v>
      </c>
      <c r="M171" s="172" t="s">
        <v>2785</v>
      </c>
      <c r="N171" s="160" t="s">
        <v>2786</v>
      </c>
      <c r="O171" s="63" t="s">
        <v>2787</v>
      </c>
    </row>
    <row r="172" spans="2:15" ht="12.75" thickBot="1" x14ac:dyDescent="0.25">
      <c r="B172" s="254">
        <f>H172</f>
        <v>100031</v>
      </c>
      <c r="C172" s="255">
        <v>1</v>
      </c>
      <c r="D172" s="255" t="s">
        <v>3061</v>
      </c>
      <c r="E172" s="255">
        <v>0</v>
      </c>
      <c r="F172" s="255" t="s">
        <v>3038</v>
      </c>
      <c r="G172" s="255">
        <v>1</v>
      </c>
      <c r="H172" s="256">
        <v>100031</v>
      </c>
      <c r="I172" s="257" t="s">
        <v>189</v>
      </c>
      <c r="J172" s="241">
        <v>99</v>
      </c>
      <c r="K172" s="241">
        <v>1067576</v>
      </c>
      <c r="L172" s="241">
        <v>99</v>
      </c>
      <c r="M172" s="257" t="s">
        <v>3058</v>
      </c>
      <c r="N172" s="258" t="s">
        <v>3059</v>
      </c>
      <c r="O172" s="259" t="s">
        <v>3060</v>
      </c>
    </row>
    <row r="173" spans="2:15" x14ac:dyDescent="0.3">
      <c r="B173" s="44">
        <f t="shared" si="21"/>
        <v>100032</v>
      </c>
      <c r="C173" s="39">
        <v>1</v>
      </c>
      <c r="D173" s="39">
        <v>0</v>
      </c>
      <c r="E173" s="39">
        <v>0</v>
      </c>
      <c r="F173" s="39" t="s">
        <v>3132</v>
      </c>
      <c r="G173" s="39">
        <v>1</v>
      </c>
      <c r="H173" s="39">
        <v>100032</v>
      </c>
      <c r="I173" s="39" t="s">
        <v>189</v>
      </c>
      <c r="J173" s="39">
        <v>31</v>
      </c>
      <c r="K173" s="39">
        <v>705</v>
      </c>
      <c r="L173" s="39">
        <v>31</v>
      </c>
      <c r="M173" s="39" t="s">
        <v>3123</v>
      </c>
      <c r="N173" s="39" t="s">
        <v>3126</v>
      </c>
      <c r="O173" s="39" t="s">
        <v>3129</v>
      </c>
    </row>
    <row r="174" spans="2:15" x14ac:dyDescent="0.3">
      <c r="B174" s="44">
        <f t="shared" si="21"/>
        <v>100033</v>
      </c>
      <c r="C174" s="39">
        <v>1</v>
      </c>
      <c r="D174" s="39">
        <v>0</v>
      </c>
      <c r="E174" s="39">
        <v>0</v>
      </c>
      <c r="F174" s="39" t="s">
        <v>3132</v>
      </c>
      <c r="G174" s="39">
        <v>1</v>
      </c>
      <c r="H174" s="39">
        <v>100033</v>
      </c>
      <c r="I174" s="39" t="s">
        <v>189</v>
      </c>
      <c r="J174" s="39">
        <v>31</v>
      </c>
      <c r="K174" s="39">
        <v>706</v>
      </c>
      <c r="L174" s="39">
        <v>31</v>
      </c>
      <c r="M174" s="39" t="s">
        <v>3124</v>
      </c>
      <c r="N174" s="39" t="s">
        <v>3127</v>
      </c>
      <c r="O174" s="39" t="s">
        <v>3130</v>
      </c>
    </row>
    <row r="175" spans="2:15" x14ac:dyDescent="0.3">
      <c r="B175" s="44">
        <f t="shared" si="21"/>
        <v>100034</v>
      </c>
      <c r="C175" s="39">
        <v>1</v>
      </c>
      <c r="D175" s="39">
        <v>0</v>
      </c>
      <c r="E175" s="39">
        <v>0</v>
      </c>
      <c r="F175" s="39" t="s">
        <v>3132</v>
      </c>
      <c r="G175" s="39">
        <v>1</v>
      </c>
      <c r="H175" s="39">
        <v>100034</v>
      </c>
      <c r="I175" s="39" t="s">
        <v>189</v>
      </c>
      <c r="J175" s="39">
        <v>31</v>
      </c>
      <c r="K175" s="39">
        <v>707</v>
      </c>
      <c r="L175" s="39">
        <v>31</v>
      </c>
      <c r="M175" s="39" t="s">
        <v>3125</v>
      </c>
      <c r="N175" s="39" t="s">
        <v>3128</v>
      </c>
      <c r="O175" s="39" t="s">
        <v>3131</v>
      </c>
    </row>
    <row r="176" spans="2:15" x14ac:dyDescent="0.3">
      <c r="B176" s="44">
        <f t="shared" ref="B176" si="22">H176</f>
        <v>100035</v>
      </c>
      <c r="C176" s="39">
        <v>0</v>
      </c>
      <c r="D176" s="39">
        <v>0</v>
      </c>
      <c r="E176" s="39">
        <v>0</v>
      </c>
      <c r="F176" s="39" t="s">
        <v>3460</v>
      </c>
      <c r="G176" s="39">
        <v>1</v>
      </c>
      <c r="H176" s="39">
        <v>100035</v>
      </c>
      <c r="I176" s="39" t="s">
        <v>189</v>
      </c>
      <c r="J176" s="39">
        <v>31</v>
      </c>
      <c r="K176" s="378">
        <v>2521011</v>
      </c>
      <c r="L176" s="39">
        <v>31</v>
      </c>
      <c r="M176" s="39" t="s">
        <v>3463</v>
      </c>
      <c r="N176" s="39" t="s">
        <v>3461</v>
      </c>
      <c r="O176" s="39" t="s">
        <v>3462</v>
      </c>
    </row>
    <row r="177" spans="2:15" x14ac:dyDescent="0.2">
      <c r="B177" s="48">
        <f t="shared" si="20"/>
        <v>1000000</v>
      </c>
      <c r="C177" s="48">
        <v>1</v>
      </c>
      <c r="D177" s="48"/>
      <c r="E177" s="48"/>
      <c r="F177" s="48"/>
      <c r="G177" s="48">
        <v>1</v>
      </c>
      <c r="H177" s="64">
        <v>1000000</v>
      </c>
      <c r="I177" s="64" t="s">
        <v>186</v>
      </c>
      <c r="J177" s="48">
        <v>13</v>
      </c>
      <c r="K177" s="106">
        <v>1400042</v>
      </c>
      <c r="L177" s="48">
        <f>VLOOKUP(I177,error,2,FALSE)</f>
        <v>21</v>
      </c>
      <c r="M177" s="48" t="s">
        <v>777</v>
      </c>
      <c r="N177" s="64" t="s">
        <v>39</v>
      </c>
      <c r="O177" s="64" t="s">
        <v>379</v>
      </c>
    </row>
    <row r="178" spans="2:15" x14ac:dyDescent="0.2">
      <c r="B178" s="39">
        <f t="shared" si="20"/>
        <v>1000001</v>
      </c>
      <c r="C178" s="39">
        <v>1</v>
      </c>
      <c r="D178" s="39"/>
      <c r="E178" s="39"/>
      <c r="F178" s="39"/>
      <c r="G178" s="39">
        <v>1</v>
      </c>
      <c r="H178" s="21">
        <v>1000001</v>
      </c>
      <c r="I178" s="21" t="s">
        <v>186</v>
      </c>
      <c r="J178" s="39">
        <v>13</v>
      </c>
      <c r="K178" s="46">
        <v>1400044</v>
      </c>
      <c r="L178" s="39">
        <f>VLOOKUP(I178,error,2,FALSE)</f>
        <v>21</v>
      </c>
      <c r="M178" s="39" t="s">
        <v>778</v>
      </c>
      <c r="N178" s="21" t="s">
        <v>41</v>
      </c>
      <c r="O178" s="21" t="s">
        <v>205</v>
      </c>
    </row>
    <row r="179" spans="2:15" x14ac:dyDescent="0.2">
      <c r="B179" s="39">
        <f t="shared" si="20"/>
        <v>1000002</v>
      </c>
      <c r="C179" s="39">
        <v>1</v>
      </c>
      <c r="D179" s="39"/>
      <c r="E179" s="39"/>
      <c r="F179" s="39"/>
      <c r="G179" s="39">
        <v>1</v>
      </c>
      <c r="H179" s="21">
        <v>1000002</v>
      </c>
      <c r="I179" s="21" t="s">
        <v>184</v>
      </c>
      <c r="J179" s="39">
        <v>13</v>
      </c>
      <c r="K179" s="46">
        <v>1400043</v>
      </c>
      <c r="L179" s="39">
        <f>VLOOKUP(I179,error,2,FALSE)</f>
        <v>5</v>
      </c>
      <c r="M179" s="39" t="s">
        <v>3926</v>
      </c>
      <c r="N179" s="21" t="s">
        <v>489</v>
      </c>
      <c r="O179" s="21" t="s">
        <v>3927</v>
      </c>
    </row>
    <row r="180" spans="2:15" x14ac:dyDescent="0.2">
      <c r="B180" s="39">
        <f t="shared" si="20"/>
        <v>1000003</v>
      </c>
      <c r="C180" s="39">
        <v>1</v>
      </c>
      <c r="D180" s="39"/>
      <c r="E180" s="39"/>
      <c r="F180" s="39"/>
      <c r="G180" s="39">
        <v>1</v>
      </c>
      <c r="H180" s="21">
        <v>1000003</v>
      </c>
      <c r="I180" s="21" t="s">
        <v>184</v>
      </c>
      <c r="J180" s="39">
        <v>13</v>
      </c>
      <c r="K180" s="46">
        <v>1400045</v>
      </c>
      <c r="L180" s="39">
        <f>VLOOKUP(I180,error,2,FALSE)</f>
        <v>5</v>
      </c>
      <c r="M180" s="39" t="s">
        <v>779</v>
      </c>
      <c r="N180" s="21" t="s">
        <v>490</v>
      </c>
      <c r="O180" s="21" t="s">
        <v>206</v>
      </c>
    </row>
    <row r="181" spans="2:15" x14ac:dyDescent="0.2">
      <c r="B181" s="39">
        <f t="shared" si="20"/>
        <v>1100000</v>
      </c>
      <c r="C181" s="39">
        <v>1</v>
      </c>
      <c r="D181" s="39"/>
      <c r="E181" s="39"/>
      <c r="F181" s="39"/>
      <c r="G181" s="39">
        <v>1</v>
      </c>
      <c r="H181" s="21">
        <v>1100000</v>
      </c>
      <c r="I181" s="21" t="s">
        <v>186</v>
      </c>
      <c r="J181" s="39">
        <v>13</v>
      </c>
      <c r="K181" s="46">
        <v>1400524</v>
      </c>
      <c r="L181" s="39">
        <v>13</v>
      </c>
      <c r="M181" s="55" t="s">
        <v>2165</v>
      </c>
      <c r="N181" s="56" t="s">
        <v>1519</v>
      </c>
      <c r="O181" s="55" t="s">
        <v>1512</v>
      </c>
    </row>
    <row r="182" spans="2:15" x14ac:dyDescent="0.2">
      <c r="B182" s="39">
        <f t="shared" si="20"/>
        <v>1100001</v>
      </c>
      <c r="C182" s="39">
        <v>1</v>
      </c>
      <c r="D182" s="39"/>
      <c r="E182" s="39"/>
      <c r="F182" s="39"/>
      <c r="G182" s="39">
        <v>1</v>
      </c>
      <c r="H182" s="21">
        <v>1100001</v>
      </c>
      <c r="I182" s="21" t="s">
        <v>186</v>
      </c>
      <c r="J182" s="39">
        <v>13</v>
      </c>
      <c r="K182" s="46">
        <v>1400525</v>
      </c>
      <c r="L182" s="39">
        <v>13</v>
      </c>
      <c r="M182" s="55" t="s">
        <v>2166</v>
      </c>
      <c r="N182" s="56" t="s">
        <v>1520</v>
      </c>
      <c r="O182" s="55" t="s">
        <v>1513</v>
      </c>
    </row>
    <row r="183" spans="2:15" x14ac:dyDescent="0.2">
      <c r="B183" s="39">
        <f t="shared" si="20"/>
        <v>1100002</v>
      </c>
      <c r="C183" s="39">
        <v>1</v>
      </c>
      <c r="D183" s="39"/>
      <c r="E183" s="39"/>
      <c r="F183" s="39"/>
      <c r="G183" s="39">
        <v>1</v>
      </c>
      <c r="H183" s="21">
        <v>1100002</v>
      </c>
      <c r="I183" s="21" t="s">
        <v>186</v>
      </c>
      <c r="J183" s="39">
        <v>13</v>
      </c>
      <c r="K183" s="46">
        <v>1400526</v>
      </c>
      <c r="L183" s="39">
        <v>13</v>
      </c>
      <c r="M183" s="55" t="s">
        <v>2167</v>
      </c>
      <c r="N183" s="56" t="s">
        <v>1521</v>
      </c>
      <c r="O183" s="55" t="s">
        <v>1514</v>
      </c>
    </row>
    <row r="184" spans="2:15" x14ac:dyDescent="0.2">
      <c r="B184" s="39">
        <f t="shared" si="20"/>
        <v>1100003</v>
      </c>
      <c r="C184" s="39">
        <v>1</v>
      </c>
      <c r="D184" s="39"/>
      <c r="E184" s="39"/>
      <c r="F184" s="39"/>
      <c r="G184" s="39">
        <v>1</v>
      </c>
      <c r="H184" s="21">
        <v>1100003</v>
      </c>
      <c r="I184" s="21" t="s">
        <v>186</v>
      </c>
      <c r="J184" s="39">
        <v>13</v>
      </c>
      <c r="K184" s="46">
        <v>1400527</v>
      </c>
      <c r="L184" s="39">
        <v>13</v>
      </c>
      <c r="M184" s="55" t="s">
        <v>2168</v>
      </c>
      <c r="N184" s="56" t="s">
        <v>1522</v>
      </c>
      <c r="O184" s="55" t="s">
        <v>1515</v>
      </c>
    </row>
    <row r="185" spans="2:15" x14ac:dyDescent="0.2">
      <c r="B185" s="39">
        <f t="shared" si="20"/>
        <v>1100004</v>
      </c>
      <c r="C185" s="39">
        <v>1</v>
      </c>
      <c r="D185" s="39"/>
      <c r="E185" s="39"/>
      <c r="F185" s="39"/>
      <c r="G185" s="39">
        <v>1</v>
      </c>
      <c r="H185" s="21">
        <v>1100004</v>
      </c>
      <c r="I185" s="21" t="s">
        <v>186</v>
      </c>
      <c r="J185" s="39">
        <v>13</v>
      </c>
      <c r="K185" s="46">
        <v>1400528</v>
      </c>
      <c r="L185" s="39">
        <v>13</v>
      </c>
      <c r="M185" s="55" t="s">
        <v>2169</v>
      </c>
      <c r="N185" s="56" t="s">
        <v>1523</v>
      </c>
      <c r="O185" s="55" t="s">
        <v>1516</v>
      </c>
    </row>
    <row r="186" spans="2:15" x14ac:dyDescent="0.2">
      <c r="B186" s="39">
        <f t="shared" si="20"/>
        <v>1100005</v>
      </c>
      <c r="C186" s="39">
        <v>1</v>
      </c>
      <c r="D186" s="39"/>
      <c r="E186" s="39"/>
      <c r="F186" s="39"/>
      <c r="G186" s="39">
        <v>1</v>
      </c>
      <c r="H186" s="21">
        <v>1100005</v>
      </c>
      <c r="I186" s="21" t="s">
        <v>186</v>
      </c>
      <c r="J186" s="39">
        <v>13</v>
      </c>
      <c r="K186" s="46">
        <v>1400529</v>
      </c>
      <c r="L186" s="39">
        <v>13</v>
      </c>
      <c r="M186" s="55" t="s">
        <v>2170</v>
      </c>
      <c r="N186" s="56" t="s">
        <v>1524</v>
      </c>
      <c r="O186" s="55" t="s">
        <v>1517</v>
      </c>
    </row>
    <row r="187" spans="2:15" x14ac:dyDescent="0.2">
      <c r="B187" s="39">
        <f t="shared" si="20"/>
        <v>1100006</v>
      </c>
      <c r="C187" s="39">
        <v>1</v>
      </c>
      <c r="D187" s="39"/>
      <c r="E187" s="39"/>
      <c r="F187" s="39"/>
      <c r="G187" s="39">
        <v>1</v>
      </c>
      <c r="H187" s="21">
        <v>1100006</v>
      </c>
      <c r="I187" s="21" t="s">
        <v>186</v>
      </c>
      <c r="J187" s="39">
        <v>13</v>
      </c>
      <c r="K187" s="46">
        <v>1400530</v>
      </c>
      <c r="L187" s="39">
        <v>13</v>
      </c>
      <c r="M187" s="55" t="s">
        <v>2171</v>
      </c>
      <c r="N187" s="56" t="s">
        <v>1525</v>
      </c>
      <c r="O187" s="55" t="s">
        <v>1518</v>
      </c>
    </row>
    <row r="188" spans="2:15" x14ac:dyDescent="0.2">
      <c r="B188" s="39">
        <f t="shared" si="20"/>
        <v>1100007</v>
      </c>
      <c r="C188" s="39">
        <v>1</v>
      </c>
      <c r="D188" s="39"/>
      <c r="E188" s="39"/>
      <c r="F188" s="39"/>
      <c r="G188" s="39">
        <v>1</v>
      </c>
      <c r="H188" s="21">
        <v>1100007</v>
      </c>
      <c r="I188" s="21" t="s">
        <v>186</v>
      </c>
      <c r="J188" s="39">
        <v>13</v>
      </c>
      <c r="K188" s="46">
        <v>1400579</v>
      </c>
      <c r="L188" s="39">
        <v>13</v>
      </c>
      <c r="M188" s="55" t="s">
        <v>2172</v>
      </c>
      <c r="N188" s="56" t="s">
        <v>1873</v>
      </c>
      <c r="O188" s="55" t="s">
        <v>1874</v>
      </c>
    </row>
    <row r="189" spans="2:15" x14ac:dyDescent="0.2">
      <c r="B189" s="39">
        <f t="shared" si="20"/>
        <v>1100008</v>
      </c>
      <c r="C189" s="39">
        <v>1</v>
      </c>
      <c r="D189" s="39"/>
      <c r="E189" s="39"/>
      <c r="F189" s="39"/>
      <c r="G189" s="39">
        <v>1</v>
      </c>
      <c r="H189" s="21">
        <v>1100008</v>
      </c>
      <c r="I189" s="21" t="s">
        <v>186</v>
      </c>
      <c r="J189" s="39">
        <v>13</v>
      </c>
      <c r="K189" s="46">
        <v>1400580</v>
      </c>
      <c r="L189" s="39">
        <v>13</v>
      </c>
      <c r="M189" s="55" t="s">
        <v>2173</v>
      </c>
      <c r="N189" s="56" t="s">
        <v>1880</v>
      </c>
      <c r="O189" s="55" t="s">
        <v>1875</v>
      </c>
    </row>
    <row r="190" spans="2:15" x14ac:dyDescent="0.2">
      <c r="B190" s="39">
        <f t="shared" si="20"/>
        <v>1100009</v>
      </c>
      <c r="C190" s="39">
        <v>1</v>
      </c>
      <c r="D190" s="39"/>
      <c r="E190" s="39"/>
      <c r="F190" s="39"/>
      <c r="G190" s="39">
        <v>1</v>
      </c>
      <c r="H190" s="21">
        <v>1100009</v>
      </c>
      <c r="I190" s="21" t="s">
        <v>186</v>
      </c>
      <c r="J190" s="39">
        <v>13</v>
      </c>
      <c r="K190" s="46">
        <v>1400581</v>
      </c>
      <c r="L190" s="39">
        <v>13</v>
      </c>
      <c r="M190" s="55" t="s">
        <v>2174</v>
      </c>
      <c r="N190" s="56" t="s">
        <v>1879</v>
      </c>
      <c r="O190" s="55" t="s">
        <v>1876</v>
      </c>
    </row>
    <row r="191" spans="2:15" x14ac:dyDescent="0.2">
      <c r="B191" s="44">
        <f t="shared" si="20"/>
        <v>1100010</v>
      </c>
      <c r="C191" s="39">
        <v>1</v>
      </c>
      <c r="D191" s="39"/>
      <c r="E191" s="39"/>
      <c r="F191" s="39"/>
      <c r="G191" s="39">
        <v>1</v>
      </c>
      <c r="H191" s="63">
        <v>1100010</v>
      </c>
      <c r="I191" s="63" t="s">
        <v>186</v>
      </c>
      <c r="J191" s="44">
        <v>13</v>
      </c>
      <c r="K191" s="54">
        <v>1400582</v>
      </c>
      <c r="L191" s="44">
        <v>13</v>
      </c>
      <c r="M191" s="67" t="s">
        <v>2175</v>
      </c>
      <c r="N191" s="68" t="s">
        <v>1878</v>
      </c>
      <c r="O191" s="67" t="s">
        <v>1877</v>
      </c>
    </row>
    <row r="192" spans="2:15" x14ac:dyDescent="0.2">
      <c r="B192" s="44">
        <f t="shared" ref="B192" si="23">H192</f>
        <v>1100011</v>
      </c>
      <c r="C192" s="39">
        <v>1</v>
      </c>
      <c r="D192" s="39"/>
      <c r="E192" s="39"/>
      <c r="F192" s="39"/>
      <c r="G192" s="39">
        <v>1</v>
      </c>
      <c r="H192" s="63">
        <v>1100011</v>
      </c>
      <c r="I192" s="63" t="s">
        <v>186</v>
      </c>
      <c r="J192" s="44">
        <v>13</v>
      </c>
      <c r="K192" s="54">
        <v>1400607</v>
      </c>
      <c r="L192" s="44">
        <v>13</v>
      </c>
      <c r="M192" s="67" t="s">
        <v>2688</v>
      </c>
      <c r="N192" s="68" t="s">
        <v>2689</v>
      </c>
      <c r="O192" s="67" t="s">
        <v>2688</v>
      </c>
    </row>
    <row r="193" spans="2:15" ht="12.75" thickBot="1" x14ac:dyDescent="0.25">
      <c r="B193" s="44">
        <f t="shared" ref="B193" si="24">H193</f>
        <v>1100013</v>
      </c>
      <c r="C193" s="39">
        <v>1</v>
      </c>
      <c r="D193" s="39"/>
      <c r="E193" s="39"/>
      <c r="F193" s="39"/>
      <c r="G193" s="39">
        <v>1</v>
      </c>
      <c r="H193" s="63">
        <v>1100013</v>
      </c>
      <c r="I193" s="63" t="s">
        <v>186</v>
      </c>
      <c r="J193" s="44">
        <v>13</v>
      </c>
      <c r="K193" s="54">
        <v>1400637</v>
      </c>
      <c r="L193" s="44">
        <v>13</v>
      </c>
      <c r="M193" s="79" t="s">
        <v>3826</v>
      </c>
      <c r="N193" s="132" t="s">
        <v>3827</v>
      </c>
      <c r="O193" s="132" t="s">
        <v>3828</v>
      </c>
    </row>
    <row r="194" spans="2:15" x14ac:dyDescent="0.2">
      <c r="B194" s="162">
        <f t="shared" ref="B194:B197" si="25">H194</f>
        <v>1200000</v>
      </c>
      <c r="C194" s="39">
        <v>1</v>
      </c>
      <c r="D194" s="39"/>
      <c r="E194" s="39"/>
      <c r="F194" s="39"/>
      <c r="G194" s="39">
        <v>1</v>
      </c>
      <c r="H194" s="163">
        <v>1200000</v>
      </c>
      <c r="I194" s="163" t="s">
        <v>186</v>
      </c>
      <c r="J194" s="164">
        <v>13</v>
      </c>
      <c r="K194" s="165">
        <v>1400597</v>
      </c>
      <c r="L194" s="164">
        <v>13</v>
      </c>
      <c r="M194" s="81" t="s">
        <v>2540</v>
      </c>
      <c r="N194" s="82" t="s">
        <v>2541</v>
      </c>
      <c r="O194" s="83" t="s">
        <v>2542</v>
      </c>
    </row>
    <row r="195" spans="2:15" x14ac:dyDescent="0.2">
      <c r="B195" s="166">
        <f t="shared" si="25"/>
        <v>1200001</v>
      </c>
      <c r="C195" s="39">
        <v>1</v>
      </c>
      <c r="D195" s="39"/>
      <c r="E195" s="39"/>
      <c r="F195" s="39"/>
      <c r="G195" s="39">
        <v>1</v>
      </c>
      <c r="H195" s="63">
        <v>1200001</v>
      </c>
      <c r="I195" s="63" t="s">
        <v>186</v>
      </c>
      <c r="J195" s="44">
        <v>13</v>
      </c>
      <c r="K195" s="54">
        <v>1400598</v>
      </c>
      <c r="L195" s="44">
        <v>13</v>
      </c>
      <c r="M195" s="67" t="s">
        <v>2543</v>
      </c>
      <c r="N195" s="68" t="s">
        <v>2544</v>
      </c>
      <c r="O195" s="110" t="s">
        <v>2545</v>
      </c>
    </row>
    <row r="196" spans="2:15" x14ac:dyDescent="0.2">
      <c r="B196" s="166">
        <f t="shared" si="25"/>
        <v>1200002</v>
      </c>
      <c r="C196" s="39">
        <v>1</v>
      </c>
      <c r="D196" s="39"/>
      <c r="E196" s="39"/>
      <c r="F196" s="39"/>
      <c r="G196" s="39">
        <v>1</v>
      </c>
      <c r="H196" s="63">
        <v>1200002</v>
      </c>
      <c r="I196" s="63" t="s">
        <v>186</v>
      </c>
      <c r="J196" s="44">
        <v>13</v>
      </c>
      <c r="K196" s="54">
        <v>1400599</v>
      </c>
      <c r="L196" s="44">
        <v>13</v>
      </c>
      <c r="M196" s="67" t="s">
        <v>2546</v>
      </c>
      <c r="N196" s="68" t="s">
        <v>2547</v>
      </c>
      <c r="O196" s="110" t="s">
        <v>2548</v>
      </c>
    </row>
    <row r="197" spans="2:15" ht="12.75" thickBot="1" x14ac:dyDescent="0.25">
      <c r="B197" s="120">
        <f t="shared" si="25"/>
        <v>1200003</v>
      </c>
      <c r="C197" s="39">
        <v>1</v>
      </c>
      <c r="D197" s="39"/>
      <c r="E197" s="39"/>
      <c r="F197" s="39"/>
      <c r="G197" s="39">
        <v>1</v>
      </c>
      <c r="H197" s="167">
        <v>1200003</v>
      </c>
      <c r="I197" s="167" t="s">
        <v>186</v>
      </c>
      <c r="J197" s="89">
        <v>13</v>
      </c>
      <c r="K197" s="121">
        <v>1400600</v>
      </c>
      <c r="L197" s="89">
        <v>13</v>
      </c>
      <c r="M197" s="73" t="s">
        <v>2549</v>
      </c>
      <c r="N197" s="74" t="s">
        <v>2550</v>
      </c>
      <c r="O197" s="75" t="s">
        <v>2551</v>
      </c>
    </row>
    <row r="198" spans="2:15" x14ac:dyDescent="0.2">
      <c r="B198" s="117">
        <f t="shared" si="20"/>
        <v>1300000</v>
      </c>
      <c r="C198" s="39">
        <v>1</v>
      </c>
      <c r="D198" s="39"/>
      <c r="E198" s="39"/>
      <c r="F198" s="39"/>
      <c r="G198" s="39">
        <v>1</v>
      </c>
      <c r="H198" s="168">
        <v>1300000</v>
      </c>
      <c r="I198" s="168" t="s">
        <v>186</v>
      </c>
      <c r="J198" s="88">
        <v>13</v>
      </c>
      <c r="K198" s="118">
        <v>2010045</v>
      </c>
      <c r="L198" s="88">
        <v>21</v>
      </c>
      <c r="M198" s="69" t="s">
        <v>2176</v>
      </c>
      <c r="N198" s="70" t="s">
        <v>1972</v>
      </c>
      <c r="O198" s="71" t="s">
        <v>1973</v>
      </c>
    </row>
    <row r="199" spans="2:15" x14ac:dyDescent="0.2">
      <c r="B199" s="169">
        <f t="shared" si="20"/>
        <v>1300001</v>
      </c>
      <c r="C199" s="39">
        <v>1</v>
      </c>
      <c r="D199" s="39"/>
      <c r="E199" s="39"/>
      <c r="F199" s="39"/>
      <c r="G199" s="39">
        <v>1</v>
      </c>
      <c r="H199" s="21">
        <v>1300001</v>
      </c>
      <c r="I199" s="21" t="s">
        <v>186</v>
      </c>
      <c r="J199" s="39">
        <v>13</v>
      </c>
      <c r="K199" s="46">
        <v>2010046</v>
      </c>
      <c r="L199" s="39">
        <v>21</v>
      </c>
      <c r="M199" s="55" t="s">
        <v>1974</v>
      </c>
      <c r="N199" s="56" t="s">
        <v>1975</v>
      </c>
      <c r="O199" s="72" t="s">
        <v>1973</v>
      </c>
    </row>
    <row r="200" spans="2:15" x14ac:dyDescent="0.2">
      <c r="B200" s="169">
        <f t="shared" si="20"/>
        <v>1300002</v>
      </c>
      <c r="C200" s="39">
        <v>1</v>
      </c>
      <c r="D200" s="39"/>
      <c r="E200" s="39"/>
      <c r="F200" s="39"/>
      <c r="G200" s="39">
        <v>1</v>
      </c>
      <c r="H200" s="21">
        <v>1300002</v>
      </c>
      <c r="I200" s="21" t="s">
        <v>186</v>
      </c>
      <c r="J200" s="39">
        <v>13</v>
      </c>
      <c r="K200" s="46">
        <v>2010047</v>
      </c>
      <c r="L200" s="39">
        <v>21</v>
      </c>
      <c r="M200" s="55" t="s">
        <v>1976</v>
      </c>
      <c r="N200" s="56" t="s">
        <v>1977</v>
      </c>
      <c r="O200" s="72" t="s">
        <v>1973</v>
      </c>
    </row>
    <row r="201" spans="2:15" x14ac:dyDescent="0.2">
      <c r="B201" s="169">
        <f t="shared" si="20"/>
        <v>1300003</v>
      </c>
      <c r="C201" s="39">
        <v>1</v>
      </c>
      <c r="D201" s="39"/>
      <c r="E201" s="39"/>
      <c r="F201" s="39"/>
      <c r="G201" s="39">
        <v>1</v>
      </c>
      <c r="H201" s="21">
        <v>1300003</v>
      </c>
      <c r="I201" s="21" t="s">
        <v>186</v>
      </c>
      <c r="J201" s="39">
        <v>13</v>
      </c>
      <c r="K201" s="46">
        <v>2010048</v>
      </c>
      <c r="L201" s="39">
        <v>21</v>
      </c>
      <c r="M201" s="55" t="s">
        <v>1978</v>
      </c>
      <c r="N201" s="56" t="s">
        <v>1979</v>
      </c>
      <c r="O201" s="72" t="s">
        <v>1973</v>
      </c>
    </row>
    <row r="202" spans="2:15" x14ac:dyDescent="0.2">
      <c r="B202" s="169">
        <f t="shared" si="20"/>
        <v>1300004</v>
      </c>
      <c r="C202" s="39">
        <v>1</v>
      </c>
      <c r="D202" s="39"/>
      <c r="E202" s="39"/>
      <c r="F202" s="39"/>
      <c r="G202" s="39">
        <v>1</v>
      </c>
      <c r="H202" s="21">
        <v>1300004</v>
      </c>
      <c r="I202" s="21" t="s">
        <v>186</v>
      </c>
      <c r="J202" s="39">
        <v>13</v>
      </c>
      <c r="K202" s="46">
        <v>2010049</v>
      </c>
      <c r="L202" s="39">
        <v>21</v>
      </c>
      <c r="M202" s="55" t="s">
        <v>1980</v>
      </c>
      <c r="N202" s="56" t="s">
        <v>1981</v>
      </c>
      <c r="O202" s="72" t="s">
        <v>1973</v>
      </c>
    </row>
    <row r="203" spans="2:15" x14ac:dyDescent="0.2">
      <c r="B203" s="169">
        <f t="shared" si="20"/>
        <v>1300005</v>
      </c>
      <c r="C203" s="39">
        <v>1</v>
      </c>
      <c r="D203" s="39"/>
      <c r="E203" s="39"/>
      <c r="F203" s="39"/>
      <c r="G203" s="39">
        <v>1</v>
      </c>
      <c r="H203" s="21">
        <v>1300005</v>
      </c>
      <c r="I203" s="21" t="s">
        <v>186</v>
      </c>
      <c r="J203" s="39">
        <v>13</v>
      </c>
      <c r="K203" s="46">
        <v>2010050</v>
      </c>
      <c r="L203" s="39">
        <v>21</v>
      </c>
      <c r="M203" s="55" t="s">
        <v>1982</v>
      </c>
      <c r="N203" s="56" t="s">
        <v>1983</v>
      </c>
      <c r="O203" s="72" t="s">
        <v>1973</v>
      </c>
    </row>
    <row r="204" spans="2:15" x14ac:dyDescent="0.2">
      <c r="B204" s="169">
        <f t="shared" si="20"/>
        <v>1300006</v>
      </c>
      <c r="C204" s="39">
        <v>1</v>
      </c>
      <c r="D204" s="39"/>
      <c r="E204" s="39"/>
      <c r="F204" s="39"/>
      <c r="G204" s="39">
        <v>1</v>
      </c>
      <c r="H204" s="21">
        <v>1300006</v>
      </c>
      <c r="I204" s="21" t="s">
        <v>186</v>
      </c>
      <c r="J204" s="39">
        <v>13</v>
      </c>
      <c r="K204" s="46">
        <v>2010051</v>
      </c>
      <c r="L204" s="39">
        <v>21</v>
      </c>
      <c r="M204" s="55" t="s">
        <v>1984</v>
      </c>
      <c r="N204" s="56" t="s">
        <v>1985</v>
      </c>
      <c r="O204" s="72" t="s">
        <v>1973</v>
      </c>
    </row>
    <row r="205" spans="2:15" x14ac:dyDescent="0.2">
      <c r="B205" s="169">
        <f t="shared" si="20"/>
        <v>1300007</v>
      </c>
      <c r="C205" s="39">
        <v>1</v>
      </c>
      <c r="D205" s="39"/>
      <c r="E205" s="39"/>
      <c r="F205" s="39"/>
      <c r="G205" s="39">
        <v>1</v>
      </c>
      <c r="H205" s="21">
        <v>1300007</v>
      </c>
      <c r="I205" s="21" t="s">
        <v>186</v>
      </c>
      <c r="J205" s="39">
        <v>13</v>
      </c>
      <c r="K205" s="46">
        <v>2010052</v>
      </c>
      <c r="L205" s="39">
        <v>21</v>
      </c>
      <c r="M205" s="55" t="s">
        <v>1986</v>
      </c>
      <c r="N205" s="56" t="s">
        <v>1987</v>
      </c>
      <c r="O205" s="72" t="s">
        <v>1973</v>
      </c>
    </row>
    <row r="206" spans="2:15" x14ac:dyDescent="0.2">
      <c r="B206" s="169">
        <f t="shared" si="20"/>
        <v>1300008</v>
      </c>
      <c r="C206" s="39">
        <v>1</v>
      </c>
      <c r="D206" s="39"/>
      <c r="E206" s="39"/>
      <c r="F206" s="39"/>
      <c r="G206" s="39">
        <v>1</v>
      </c>
      <c r="H206" s="21">
        <v>1300008</v>
      </c>
      <c r="I206" s="21" t="s">
        <v>186</v>
      </c>
      <c r="J206" s="39">
        <v>13</v>
      </c>
      <c r="K206" s="46">
        <v>2010053</v>
      </c>
      <c r="L206" s="39">
        <v>21</v>
      </c>
      <c r="M206" s="55" t="s">
        <v>1988</v>
      </c>
      <c r="N206" s="56" t="s">
        <v>1989</v>
      </c>
      <c r="O206" s="72" t="s">
        <v>1973</v>
      </c>
    </row>
    <row r="207" spans="2:15" x14ac:dyDescent="0.2">
      <c r="B207" s="169">
        <f t="shared" si="20"/>
        <v>1300009</v>
      </c>
      <c r="C207" s="39">
        <v>1</v>
      </c>
      <c r="D207" s="39"/>
      <c r="E207" s="39"/>
      <c r="F207" s="39"/>
      <c r="G207" s="39">
        <v>1</v>
      </c>
      <c r="H207" s="21">
        <v>1300009</v>
      </c>
      <c r="I207" s="21" t="s">
        <v>186</v>
      </c>
      <c r="J207" s="39">
        <v>13</v>
      </c>
      <c r="K207" s="46">
        <v>2010054</v>
      </c>
      <c r="L207" s="39">
        <v>21</v>
      </c>
      <c r="M207" s="55" t="s">
        <v>1990</v>
      </c>
      <c r="N207" s="56" t="s">
        <v>1991</v>
      </c>
      <c r="O207" s="72" t="s">
        <v>1973</v>
      </c>
    </row>
    <row r="208" spans="2:15" x14ac:dyDescent="0.2">
      <c r="B208" s="169">
        <f t="shared" si="20"/>
        <v>1300010</v>
      </c>
      <c r="C208" s="39">
        <v>1</v>
      </c>
      <c r="D208" s="39"/>
      <c r="E208" s="39"/>
      <c r="F208" s="39"/>
      <c r="G208" s="39">
        <v>1</v>
      </c>
      <c r="H208" s="21">
        <v>1300010</v>
      </c>
      <c r="I208" s="21" t="s">
        <v>186</v>
      </c>
      <c r="J208" s="39">
        <v>13</v>
      </c>
      <c r="K208" s="46">
        <v>2010055</v>
      </c>
      <c r="L208" s="39">
        <v>21</v>
      </c>
      <c r="M208" s="55" t="s">
        <v>1992</v>
      </c>
      <c r="N208" s="56" t="s">
        <v>1993</v>
      </c>
      <c r="O208" s="72" t="s">
        <v>1973</v>
      </c>
    </row>
    <row r="209" spans="2:15" x14ac:dyDescent="0.2">
      <c r="B209" s="169">
        <f t="shared" si="20"/>
        <v>1300011</v>
      </c>
      <c r="C209" s="39">
        <v>1</v>
      </c>
      <c r="D209" s="39"/>
      <c r="E209" s="39"/>
      <c r="F209" s="39"/>
      <c r="G209" s="39">
        <v>1</v>
      </c>
      <c r="H209" s="21">
        <v>1300011</v>
      </c>
      <c r="I209" s="21" t="s">
        <v>186</v>
      </c>
      <c r="J209" s="39">
        <v>13</v>
      </c>
      <c r="K209" s="46">
        <v>2010056</v>
      </c>
      <c r="L209" s="39">
        <v>21</v>
      </c>
      <c r="M209" s="55" t="s">
        <v>1994</v>
      </c>
      <c r="N209" s="56" t="s">
        <v>1995</v>
      </c>
      <c r="O209" s="72" t="s">
        <v>1973</v>
      </c>
    </row>
    <row r="210" spans="2:15" x14ac:dyDescent="0.2">
      <c r="B210" s="169">
        <f t="shared" si="20"/>
        <v>1300012</v>
      </c>
      <c r="C210" s="39">
        <v>1</v>
      </c>
      <c r="D210" s="39"/>
      <c r="E210" s="39"/>
      <c r="F210" s="39"/>
      <c r="G210" s="39">
        <v>1</v>
      </c>
      <c r="H210" s="21">
        <v>1300012</v>
      </c>
      <c r="I210" s="21" t="s">
        <v>186</v>
      </c>
      <c r="J210" s="39">
        <v>13</v>
      </c>
      <c r="K210" s="46">
        <v>2010057</v>
      </c>
      <c r="L210" s="39">
        <v>21</v>
      </c>
      <c r="M210" s="55" t="s">
        <v>1996</v>
      </c>
      <c r="N210" s="56" t="s">
        <v>1997</v>
      </c>
      <c r="O210" s="72" t="s">
        <v>1973</v>
      </c>
    </row>
    <row r="211" spans="2:15" x14ac:dyDescent="0.2">
      <c r="B211" s="169">
        <f t="shared" si="20"/>
        <v>1300013</v>
      </c>
      <c r="C211" s="39">
        <v>1</v>
      </c>
      <c r="D211" s="39"/>
      <c r="E211" s="39"/>
      <c r="F211" s="39"/>
      <c r="G211" s="39">
        <v>1</v>
      </c>
      <c r="H211" s="21">
        <v>1300013</v>
      </c>
      <c r="I211" s="21" t="s">
        <v>186</v>
      </c>
      <c r="J211" s="39">
        <v>13</v>
      </c>
      <c r="K211" s="46">
        <v>2010058</v>
      </c>
      <c r="L211" s="39">
        <v>21</v>
      </c>
      <c r="M211" s="55" t="s">
        <v>1998</v>
      </c>
      <c r="N211" s="56" t="s">
        <v>1999</v>
      </c>
      <c r="O211" s="72" t="s">
        <v>1973</v>
      </c>
    </row>
    <row r="212" spans="2:15" x14ac:dyDescent="0.2">
      <c r="B212" s="169">
        <f t="shared" si="20"/>
        <v>1300014</v>
      </c>
      <c r="C212" s="39">
        <v>1</v>
      </c>
      <c r="D212" s="39"/>
      <c r="E212" s="39"/>
      <c r="F212" s="39"/>
      <c r="G212" s="39">
        <v>1</v>
      </c>
      <c r="H212" s="21">
        <v>1300014</v>
      </c>
      <c r="I212" s="21" t="s">
        <v>186</v>
      </c>
      <c r="J212" s="39">
        <v>13</v>
      </c>
      <c r="K212" s="46">
        <v>2010059</v>
      </c>
      <c r="L212" s="39">
        <v>21</v>
      </c>
      <c r="M212" s="55" t="s">
        <v>2000</v>
      </c>
      <c r="N212" s="56" t="s">
        <v>2001</v>
      </c>
      <c r="O212" s="72" t="s">
        <v>1973</v>
      </c>
    </row>
    <row r="213" spans="2:15" x14ac:dyDescent="0.2">
      <c r="B213" s="169">
        <f t="shared" si="20"/>
        <v>1300015</v>
      </c>
      <c r="C213" s="39">
        <v>1</v>
      </c>
      <c r="D213" s="39"/>
      <c r="E213" s="39"/>
      <c r="F213" s="39"/>
      <c r="G213" s="39">
        <v>1</v>
      </c>
      <c r="H213" s="21">
        <v>1300015</v>
      </c>
      <c r="I213" s="21" t="s">
        <v>186</v>
      </c>
      <c r="J213" s="39">
        <v>13</v>
      </c>
      <c r="K213" s="46">
        <v>2010060</v>
      </c>
      <c r="L213" s="39">
        <v>21</v>
      </c>
      <c r="M213" s="55" t="s">
        <v>2002</v>
      </c>
      <c r="N213" s="56" t="s">
        <v>2003</v>
      </c>
      <c r="O213" s="72" t="s">
        <v>1973</v>
      </c>
    </row>
    <row r="214" spans="2:15" x14ac:dyDescent="0.2">
      <c r="B214" s="169">
        <f t="shared" si="20"/>
        <v>1300016</v>
      </c>
      <c r="C214" s="39">
        <v>1</v>
      </c>
      <c r="D214" s="39"/>
      <c r="E214" s="39"/>
      <c r="F214" s="39"/>
      <c r="G214" s="39">
        <v>1</v>
      </c>
      <c r="H214" s="21">
        <v>1300016</v>
      </c>
      <c r="I214" s="21" t="s">
        <v>186</v>
      </c>
      <c r="J214" s="39">
        <v>13</v>
      </c>
      <c r="K214" s="46">
        <v>2010061</v>
      </c>
      <c r="L214" s="39">
        <v>21</v>
      </c>
      <c r="M214" s="55" t="s">
        <v>2004</v>
      </c>
      <c r="N214" s="56" t="s">
        <v>2005</v>
      </c>
      <c r="O214" s="72" t="s">
        <v>1973</v>
      </c>
    </row>
    <row r="215" spans="2:15" x14ac:dyDescent="0.2">
      <c r="B215" s="169">
        <f t="shared" si="20"/>
        <v>1300017</v>
      </c>
      <c r="C215" s="39">
        <v>1</v>
      </c>
      <c r="D215" s="39"/>
      <c r="E215" s="39"/>
      <c r="F215" s="39"/>
      <c r="G215" s="39">
        <v>1</v>
      </c>
      <c r="H215" s="21">
        <v>1300017</v>
      </c>
      <c r="I215" s="21" t="s">
        <v>186</v>
      </c>
      <c r="J215" s="39">
        <v>13</v>
      </c>
      <c r="K215" s="46">
        <v>2010062</v>
      </c>
      <c r="L215" s="39">
        <v>21</v>
      </c>
      <c r="M215" s="55" t="s">
        <v>2006</v>
      </c>
      <c r="N215" s="56" t="s">
        <v>2007</v>
      </c>
      <c r="O215" s="72" t="s">
        <v>1973</v>
      </c>
    </row>
    <row r="216" spans="2:15" x14ac:dyDescent="0.2">
      <c r="B216" s="169">
        <f t="shared" si="20"/>
        <v>1300018</v>
      </c>
      <c r="C216" s="39">
        <v>1</v>
      </c>
      <c r="D216" s="39"/>
      <c r="E216" s="39"/>
      <c r="F216" s="39"/>
      <c r="G216" s="39">
        <v>1</v>
      </c>
      <c r="H216" s="21">
        <v>1300018</v>
      </c>
      <c r="I216" s="21" t="s">
        <v>186</v>
      </c>
      <c r="J216" s="39">
        <v>13</v>
      </c>
      <c r="K216" s="46">
        <v>2010063</v>
      </c>
      <c r="L216" s="39">
        <v>21</v>
      </c>
      <c r="M216" s="55" t="s">
        <v>2008</v>
      </c>
      <c r="N216" s="56" t="s">
        <v>2009</v>
      </c>
      <c r="O216" s="72" t="s">
        <v>1973</v>
      </c>
    </row>
    <row r="217" spans="2:15" x14ac:dyDescent="0.2">
      <c r="B217" s="169">
        <f t="shared" si="20"/>
        <v>1300019</v>
      </c>
      <c r="C217" s="39">
        <v>1</v>
      </c>
      <c r="D217" s="39"/>
      <c r="E217" s="39"/>
      <c r="F217" s="39"/>
      <c r="G217" s="39">
        <v>1</v>
      </c>
      <c r="H217" s="21">
        <v>1300019</v>
      </c>
      <c r="I217" s="21" t="s">
        <v>186</v>
      </c>
      <c r="J217" s="39">
        <v>13</v>
      </c>
      <c r="K217" s="46">
        <v>2010064</v>
      </c>
      <c r="L217" s="39">
        <v>21</v>
      </c>
      <c r="M217" s="55" t="s">
        <v>2010</v>
      </c>
      <c r="N217" s="56" t="s">
        <v>2011</v>
      </c>
      <c r="O217" s="72" t="s">
        <v>1973</v>
      </c>
    </row>
    <row r="218" spans="2:15" x14ac:dyDescent="0.2">
      <c r="B218" s="169">
        <f t="shared" si="20"/>
        <v>1300020</v>
      </c>
      <c r="C218" s="39">
        <v>1</v>
      </c>
      <c r="D218" s="39"/>
      <c r="E218" s="39"/>
      <c r="F218" s="39"/>
      <c r="G218" s="39">
        <v>1</v>
      </c>
      <c r="H218" s="21">
        <v>1300020</v>
      </c>
      <c r="I218" s="21" t="s">
        <v>186</v>
      </c>
      <c r="J218" s="39">
        <v>13</v>
      </c>
      <c r="K218" s="46">
        <v>2010065</v>
      </c>
      <c r="L218" s="39">
        <v>21</v>
      </c>
      <c r="M218" s="55" t="s">
        <v>2012</v>
      </c>
      <c r="N218" s="56" t="s">
        <v>2013</v>
      </c>
      <c r="O218" s="72" t="s">
        <v>1973</v>
      </c>
    </row>
    <row r="219" spans="2:15" x14ac:dyDescent="0.2">
      <c r="B219" s="169">
        <f t="shared" si="20"/>
        <v>1300021</v>
      </c>
      <c r="C219" s="39">
        <v>1</v>
      </c>
      <c r="D219" s="39"/>
      <c r="E219" s="39"/>
      <c r="F219" s="39"/>
      <c r="G219" s="39">
        <v>1</v>
      </c>
      <c r="H219" s="21">
        <v>1300021</v>
      </c>
      <c r="I219" s="21" t="s">
        <v>186</v>
      </c>
      <c r="J219" s="39">
        <v>13</v>
      </c>
      <c r="K219" s="46">
        <v>2010066</v>
      </c>
      <c r="L219" s="39">
        <v>21</v>
      </c>
      <c r="M219" s="55" t="s">
        <v>2014</v>
      </c>
      <c r="N219" s="56" t="s">
        <v>2015</v>
      </c>
      <c r="O219" s="72" t="s">
        <v>1973</v>
      </c>
    </row>
    <row r="220" spans="2:15" ht="12.75" thickBot="1" x14ac:dyDescent="0.25">
      <c r="B220" s="120">
        <f t="shared" si="20"/>
        <v>1300022</v>
      </c>
      <c r="C220" s="39">
        <v>1</v>
      </c>
      <c r="D220" s="39"/>
      <c r="E220" s="39"/>
      <c r="F220" s="39"/>
      <c r="G220" s="39">
        <v>1</v>
      </c>
      <c r="H220" s="167">
        <v>1300022</v>
      </c>
      <c r="I220" s="167" t="s">
        <v>186</v>
      </c>
      <c r="J220" s="89">
        <v>13</v>
      </c>
      <c r="K220" s="121">
        <v>2010067</v>
      </c>
      <c r="L220" s="89">
        <v>21</v>
      </c>
      <c r="M220" s="73" t="s">
        <v>2016</v>
      </c>
      <c r="N220" s="74" t="s">
        <v>2017</v>
      </c>
      <c r="O220" s="75" t="s">
        <v>1973</v>
      </c>
    </row>
    <row r="221" spans="2:15" ht="12.75" thickBot="1" x14ac:dyDescent="0.25">
      <c r="B221" s="90">
        <f t="shared" si="20"/>
        <v>1300023</v>
      </c>
      <c r="C221" s="39">
        <v>1</v>
      </c>
      <c r="D221" s="39"/>
      <c r="E221" s="39"/>
      <c r="F221" s="39"/>
      <c r="G221" s="39">
        <v>1</v>
      </c>
      <c r="H221" s="170">
        <v>1300023</v>
      </c>
      <c r="I221" s="170" t="s">
        <v>2018</v>
      </c>
      <c r="J221" s="91">
        <v>13</v>
      </c>
      <c r="K221" s="92">
        <v>2010068</v>
      </c>
      <c r="L221" s="91">
        <v>21</v>
      </c>
      <c r="M221" s="76" t="s">
        <v>2177</v>
      </c>
      <c r="N221" s="77" t="s">
        <v>2019</v>
      </c>
      <c r="O221" s="78" t="s">
        <v>2020</v>
      </c>
    </row>
    <row r="222" spans="2:15" x14ac:dyDescent="0.2">
      <c r="B222" s="162">
        <f t="shared" si="20"/>
        <v>1300024</v>
      </c>
      <c r="C222" s="39">
        <v>1</v>
      </c>
      <c r="D222" s="39"/>
      <c r="E222" s="39"/>
      <c r="F222" s="39"/>
      <c r="G222" s="39">
        <v>1</v>
      </c>
      <c r="H222" s="163">
        <v>1300024</v>
      </c>
      <c r="I222" s="163" t="s">
        <v>186</v>
      </c>
      <c r="J222" s="164">
        <v>13</v>
      </c>
      <c r="K222" s="165">
        <v>2010069</v>
      </c>
      <c r="L222" s="164">
        <v>21</v>
      </c>
      <c r="M222" s="81" t="s">
        <v>2026</v>
      </c>
      <c r="N222" s="82" t="s">
        <v>2027</v>
      </c>
      <c r="O222" s="83" t="s">
        <v>2028</v>
      </c>
    </row>
    <row r="223" spans="2:15" x14ac:dyDescent="0.2">
      <c r="B223" s="171">
        <f t="shared" si="20"/>
        <v>1300025</v>
      </c>
      <c r="C223" s="39">
        <v>1</v>
      </c>
      <c r="D223" s="39"/>
      <c r="E223" s="39"/>
      <c r="F223" s="39"/>
      <c r="G223" s="39">
        <v>1</v>
      </c>
      <c r="H223" s="172">
        <v>1300025</v>
      </c>
      <c r="I223" s="172" t="s">
        <v>186</v>
      </c>
      <c r="J223" s="93">
        <v>13</v>
      </c>
      <c r="K223" s="173">
        <v>2010070</v>
      </c>
      <c r="L223" s="93">
        <v>21</v>
      </c>
      <c r="M223" s="79" t="s">
        <v>2029</v>
      </c>
      <c r="N223" s="80" t="s">
        <v>2030</v>
      </c>
      <c r="O223" s="84" t="s">
        <v>2028</v>
      </c>
    </row>
    <row r="224" spans="2:15" ht="12.75" thickBot="1" x14ac:dyDescent="0.25">
      <c r="B224" s="174">
        <f t="shared" si="20"/>
        <v>1300026</v>
      </c>
      <c r="C224" s="39">
        <v>1</v>
      </c>
      <c r="D224" s="39"/>
      <c r="E224" s="39"/>
      <c r="F224" s="39"/>
      <c r="G224" s="39">
        <v>1</v>
      </c>
      <c r="H224" s="175">
        <v>1300026</v>
      </c>
      <c r="I224" s="175" t="s">
        <v>186</v>
      </c>
      <c r="J224" s="176">
        <v>13</v>
      </c>
      <c r="K224" s="177">
        <v>2010071</v>
      </c>
      <c r="L224" s="176">
        <v>21</v>
      </c>
      <c r="M224" s="85" t="s">
        <v>2031</v>
      </c>
      <c r="N224" s="86" t="s">
        <v>2032</v>
      </c>
      <c r="O224" s="87" t="s">
        <v>2028</v>
      </c>
    </row>
    <row r="225" spans="2:15" ht="12.75" thickBot="1" x14ac:dyDescent="0.25">
      <c r="B225" s="162">
        <f t="shared" si="20"/>
        <v>1300027</v>
      </c>
      <c r="C225" s="39">
        <v>1</v>
      </c>
      <c r="D225" s="39"/>
      <c r="E225" s="39"/>
      <c r="F225" s="39"/>
      <c r="G225" s="39">
        <v>1</v>
      </c>
      <c r="H225" s="163">
        <v>1300027</v>
      </c>
      <c r="I225" s="21" t="s">
        <v>188</v>
      </c>
      <c r="J225" s="39">
        <v>99</v>
      </c>
      <c r="K225" s="165">
        <v>2100108</v>
      </c>
      <c r="L225" s="164">
        <v>99</v>
      </c>
      <c r="M225" s="81" t="s">
        <v>2038</v>
      </c>
      <c r="N225" s="82" t="s">
        <v>2039</v>
      </c>
      <c r="O225" s="83" t="s">
        <v>2040</v>
      </c>
    </row>
    <row r="226" spans="2:15" ht="12.75" thickBot="1" x14ac:dyDescent="0.25">
      <c r="B226" s="171">
        <f t="shared" si="20"/>
        <v>1300028</v>
      </c>
      <c r="C226" s="39">
        <v>1</v>
      </c>
      <c r="D226" s="39"/>
      <c r="E226" s="39"/>
      <c r="F226" s="39"/>
      <c r="G226" s="39">
        <v>1</v>
      </c>
      <c r="H226" s="172">
        <v>1300028</v>
      </c>
      <c r="I226" s="21" t="s">
        <v>188</v>
      </c>
      <c r="J226" s="39">
        <v>99</v>
      </c>
      <c r="K226" s="165">
        <v>2100108</v>
      </c>
      <c r="L226" s="93">
        <v>99</v>
      </c>
      <c r="M226" s="79" t="s">
        <v>2041</v>
      </c>
      <c r="N226" s="80" t="s">
        <v>2042</v>
      </c>
      <c r="O226" s="84" t="s">
        <v>2040</v>
      </c>
    </row>
    <row r="227" spans="2:15" x14ac:dyDescent="0.2">
      <c r="B227" s="117">
        <f t="shared" si="20"/>
        <v>1300029</v>
      </c>
      <c r="C227" s="39">
        <v>1</v>
      </c>
      <c r="D227" s="39"/>
      <c r="E227" s="39"/>
      <c r="F227" s="39"/>
      <c r="G227" s="39">
        <v>1</v>
      </c>
      <c r="H227" s="168">
        <v>1300029</v>
      </c>
      <c r="I227" s="168" t="s">
        <v>186</v>
      </c>
      <c r="J227" s="88">
        <v>13</v>
      </c>
      <c r="K227" s="118">
        <v>2010074</v>
      </c>
      <c r="L227" s="88">
        <v>21</v>
      </c>
      <c r="M227" s="69" t="s">
        <v>2043</v>
      </c>
      <c r="N227" s="70" t="s">
        <v>2044</v>
      </c>
      <c r="O227" s="71" t="s">
        <v>2045</v>
      </c>
    </row>
    <row r="228" spans="2:15" ht="12.75" thickBot="1" x14ac:dyDescent="0.25">
      <c r="B228" s="120">
        <f t="shared" si="20"/>
        <v>1300030</v>
      </c>
      <c r="C228" s="39">
        <v>1</v>
      </c>
      <c r="D228" s="39"/>
      <c r="E228" s="39"/>
      <c r="F228" s="39"/>
      <c r="G228" s="39">
        <v>1</v>
      </c>
      <c r="H228" s="167">
        <v>1300030</v>
      </c>
      <c r="I228" s="167" t="s">
        <v>186</v>
      </c>
      <c r="J228" s="89">
        <v>13</v>
      </c>
      <c r="K228" s="121">
        <v>2010076</v>
      </c>
      <c r="L228" s="89">
        <v>21</v>
      </c>
      <c r="M228" s="73" t="s">
        <v>2046</v>
      </c>
      <c r="N228" s="74" t="s">
        <v>2047</v>
      </c>
      <c r="O228" s="75" t="s">
        <v>2045</v>
      </c>
    </row>
    <row r="229" spans="2:15" ht="12.75" thickBot="1" x14ac:dyDescent="0.25">
      <c r="B229" s="120">
        <f t="shared" si="20"/>
        <v>1300031</v>
      </c>
      <c r="C229" s="39">
        <v>1</v>
      </c>
      <c r="D229" s="39"/>
      <c r="E229" s="39"/>
      <c r="F229" s="39"/>
      <c r="G229" s="39">
        <v>1</v>
      </c>
      <c r="H229" s="167">
        <v>1300031</v>
      </c>
      <c r="I229" s="167" t="s">
        <v>186</v>
      </c>
      <c r="J229" s="89">
        <v>13</v>
      </c>
      <c r="K229" s="121">
        <v>2010077</v>
      </c>
      <c r="L229" s="89">
        <v>21</v>
      </c>
      <c r="M229" s="73" t="s">
        <v>2178</v>
      </c>
      <c r="N229" s="74" t="s">
        <v>2083</v>
      </c>
      <c r="O229" s="75" t="s">
        <v>2045</v>
      </c>
    </row>
    <row r="230" spans="2:15" ht="12.75" thickBot="1" x14ac:dyDescent="0.25">
      <c r="B230" s="90">
        <f t="shared" si="20"/>
        <v>1300032</v>
      </c>
      <c r="C230" s="39">
        <v>1</v>
      </c>
      <c r="D230" s="39"/>
      <c r="E230" s="39"/>
      <c r="F230" s="39"/>
      <c r="G230" s="39">
        <v>1</v>
      </c>
      <c r="H230" s="170">
        <v>1300032</v>
      </c>
      <c r="I230" s="170" t="s">
        <v>2603</v>
      </c>
      <c r="J230" s="91">
        <v>13</v>
      </c>
      <c r="K230" s="92">
        <v>2010078</v>
      </c>
      <c r="L230" s="91">
        <v>21</v>
      </c>
      <c r="M230" s="76" t="s">
        <v>2084</v>
      </c>
      <c r="N230" s="77" t="s">
        <v>2085</v>
      </c>
      <c r="O230" s="78" t="s">
        <v>2086</v>
      </c>
    </row>
    <row r="231" spans="2:15" ht="12.75" thickBot="1" x14ac:dyDescent="0.25">
      <c r="B231" s="162">
        <f t="shared" ref="B231" si="26">H231</f>
        <v>1300034</v>
      </c>
      <c r="C231" s="44">
        <v>1</v>
      </c>
      <c r="D231" s="44"/>
      <c r="E231" s="44"/>
      <c r="F231" s="44"/>
      <c r="G231" s="44">
        <v>1</v>
      </c>
      <c r="H231" s="163">
        <v>1300034</v>
      </c>
      <c r="I231" s="163" t="s">
        <v>187</v>
      </c>
      <c r="J231" s="164">
        <v>13</v>
      </c>
      <c r="K231" s="165">
        <v>2100109</v>
      </c>
      <c r="L231" s="164">
        <v>21</v>
      </c>
      <c r="M231" s="81" t="s">
        <v>2884</v>
      </c>
      <c r="N231" s="132" t="s">
        <v>2883</v>
      </c>
      <c r="O231" s="83" t="s">
        <v>2882</v>
      </c>
    </row>
    <row r="232" spans="2:15" ht="12.75" thickBot="1" x14ac:dyDescent="0.25">
      <c r="B232" s="240">
        <f t="shared" ref="B232:B239" si="27">H232</f>
        <v>1300035</v>
      </c>
      <c r="C232" s="99">
        <v>0</v>
      </c>
      <c r="D232" s="99">
        <v>0</v>
      </c>
      <c r="E232" s="99">
        <v>0</v>
      </c>
      <c r="F232" s="99" t="s">
        <v>3360</v>
      </c>
      <c r="G232" s="99">
        <v>1</v>
      </c>
      <c r="H232" s="268">
        <v>1300035</v>
      </c>
      <c r="I232" s="268" t="s">
        <v>186</v>
      </c>
      <c r="J232" s="99">
        <v>13</v>
      </c>
      <c r="K232" s="241">
        <v>2010089</v>
      </c>
      <c r="L232" s="99">
        <v>21</v>
      </c>
      <c r="M232" s="269" t="s">
        <v>3361</v>
      </c>
      <c r="N232" s="270" t="s">
        <v>3362</v>
      </c>
      <c r="O232" s="271" t="s">
        <v>3363</v>
      </c>
    </row>
    <row r="233" spans="2:15" ht="12.75" thickBot="1" x14ac:dyDescent="0.25">
      <c r="B233" s="162">
        <f t="shared" si="27"/>
        <v>1300036</v>
      </c>
      <c r="C233" s="44">
        <v>1</v>
      </c>
      <c r="D233" s="44" t="s">
        <v>4013</v>
      </c>
      <c r="E233" s="44"/>
      <c r="F233" s="44" t="s">
        <v>4012</v>
      </c>
      <c r="G233" s="44">
        <v>1</v>
      </c>
      <c r="H233" s="163">
        <v>1300036</v>
      </c>
      <c r="I233" s="163" t="s">
        <v>187</v>
      </c>
      <c r="J233" s="164">
        <v>13</v>
      </c>
      <c r="K233" s="165">
        <v>2626220</v>
      </c>
      <c r="L233" s="164">
        <v>21</v>
      </c>
      <c r="M233" s="81" t="s">
        <v>4014</v>
      </c>
      <c r="N233" s="132" t="s">
        <v>4015</v>
      </c>
      <c r="O233" s="83" t="s">
        <v>4016</v>
      </c>
    </row>
    <row r="234" spans="2:15" ht="12.75" thickBot="1" x14ac:dyDescent="0.25">
      <c r="B234" s="162">
        <f t="shared" si="27"/>
        <v>1300037</v>
      </c>
      <c r="C234" s="44">
        <v>1</v>
      </c>
      <c r="D234" s="44" t="s">
        <v>4134</v>
      </c>
      <c r="E234" s="44"/>
      <c r="F234" s="44" t="s">
        <v>4135</v>
      </c>
      <c r="G234" s="44">
        <v>1</v>
      </c>
      <c r="H234" s="268">
        <v>1300037</v>
      </c>
      <c r="I234" s="163" t="s">
        <v>187</v>
      </c>
      <c r="J234" s="164">
        <v>13</v>
      </c>
      <c r="K234" s="165">
        <v>2626222</v>
      </c>
      <c r="L234" s="164">
        <v>21</v>
      </c>
      <c r="M234" s="81" t="s">
        <v>4136</v>
      </c>
      <c r="N234" s="132" t="s">
        <v>4137</v>
      </c>
      <c r="O234" s="83" t="s">
        <v>4138</v>
      </c>
    </row>
    <row r="235" spans="2:15" ht="12.75" thickBot="1" x14ac:dyDescent="0.25">
      <c r="B235" s="332">
        <f t="shared" si="27"/>
        <v>1300100</v>
      </c>
      <c r="C235" s="324">
        <v>1</v>
      </c>
      <c r="D235" s="323" t="s">
        <v>3068</v>
      </c>
      <c r="E235" s="323">
        <v>0</v>
      </c>
      <c r="F235" s="323" t="s">
        <v>3070</v>
      </c>
      <c r="G235" s="324">
        <v>1</v>
      </c>
      <c r="H235" s="333">
        <v>1300100</v>
      </c>
      <c r="I235" s="333" t="s">
        <v>187</v>
      </c>
      <c r="J235" s="324">
        <v>13</v>
      </c>
      <c r="K235" s="325">
        <v>2100095</v>
      </c>
      <c r="L235" s="324">
        <v>21</v>
      </c>
      <c r="M235" s="334" t="s">
        <v>3071</v>
      </c>
      <c r="N235" s="335" t="s">
        <v>3072</v>
      </c>
      <c r="O235" s="336" t="s">
        <v>3073</v>
      </c>
    </row>
    <row r="236" spans="2:15" x14ac:dyDescent="0.2">
      <c r="B236" s="232">
        <f t="shared" si="27"/>
        <v>1300101</v>
      </c>
      <c r="C236" s="102">
        <v>1</v>
      </c>
      <c r="D236" s="286" t="s">
        <v>3399</v>
      </c>
      <c r="E236" s="286">
        <v>0</v>
      </c>
      <c r="F236" s="286" t="s">
        <v>3400</v>
      </c>
      <c r="G236" s="102">
        <v>1</v>
      </c>
      <c r="H236" s="337">
        <v>1300101</v>
      </c>
      <c r="I236" s="337" t="s">
        <v>186</v>
      </c>
      <c r="J236" s="102">
        <v>21</v>
      </c>
      <c r="K236" s="233">
        <v>2100218</v>
      </c>
      <c r="L236" s="102">
        <v>21</v>
      </c>
      <c r="M236" s="338" t="s">
        <v>3401</v>
      </c>
      <c r="N236" s="339" t="s">
        <v>3402</v>
      </c>
      <c r="O236" s="340" t="s">
        <v>3403</v>
      </c>
    </row>
    <row r="237" spans="2:15" x14ac:dyDescent="0.2">
      <c r="B237" s="235">
        <f t="shared" si="27"/>
        <v>1300102</v>
      </c>
      <c r="C237" s="61">
        <v>1</v>
      </c>
      <c r="D237" s="278" t="s">
        <v>3399</v>
      </c>
      <c r="E237" s="278">
        <v>0</v>
      </c>
      <c r="F237" s="278" t="s">
        <v>3400</v>
      </c>
      <c r="G237" s="61">
        <v>1</v>
      </c>
      <c r="H237" s="341">
        <v>1300102</v>
      </c>
      <c r="I237" s="341" t="s">
        <v>186</v>
      </c>
      <c r="J237" s="61">
        <v>21</v>
      </c>
      <c r="K237" s="220">
        <v>2100029</v>
      </c>
      <c r="L237" s="61">
        <v>21</v>
      </c>
      <c r="M237" s="342" t="s">
        <v>3404</v>
      </c>
      <c r="N237" s="343" t="s">
        <v>3405</v>
      </c>
      <c r="O237" s="344" t="s">
        <v>3403</v>
      </c>
    </row>
    <row r="238" spans="2:15" x14ac:dyDescent="0.2">
      <c r="B238" s="235">
        <f t="shared" si="27"/>
        <v>1300103</v>
      </c>
      <c r="C238" s="61">
        <v>1</v>
      </c>
      <c r="D238" s="278" t="s">
        <v>3399</v>
      </c>
      <c r="E238" s="278">
        <v>0</v>
      </c>
      <c r="F238" s="278" t="s">
        <v>3400</v>
      </c>
      <c r="G238" s="61">
        <v>1</v>
      </c>
      <c r="H238" s="341">
        <v>1300103</v>
      </c>
      <c r="I238" s="341" t="s">
        <v>186</v>
      </c>
      <c r="J238" s="61">
        <v>21</v>
      </c>
      <c r="K238" s="220">
        <v>2100030</v>
      </c>
      <c r="L238" s="61">
        <v>21</v>
      </c>
      <c r="M238" s="342" t="s">
        <v>3406</v>
      </c>
      <c r="N238" s="343" t="s">
        <v>3407</v>
      </c>
      <c r="O238" s="344" t="s">
        <v>3403</v>
      </c>
    </row>
    <row r="239" spans="2:15" ht="12.75" thickBot="1" x14ac:dyDescent="0.25">
      <c r="B239" s="237">
        <f t="shared" si="27"/>
        <v>1300104</v>
      </c>
      <c r="C239" s="103">
        <v>1</v>
      </c>
      <c r="D239" s="287" t="s">
        <v>3399</v>
      </c>
      <c r="E239" s="287">
        <v>0</v>
      </c>
      <c r="F239" s="287" t="s">
        <v>3400</v>
      </c>
      <c r="G239" s="103">
        <v>1</v>
      </c>
      <c r="H239" s="345">
        <v>1300104</v>
      </c>
      <c r="I239" s="345" t="s">
        <v>186</v>
      </c>
      <c r="J239" s="103">
        <v>21</v>
      </c>
      <c r="K239" s="238">
        <v>2100044</v>
      </c>
      <c r="L239" s="103">
        <v>21</v>
      </c>
      <c r="M239" s="346" t="s">
        <v>3408</v>
      </c>
      <c r="N239" s="347" t="s">
        <v>3409</v>
      </c>
      <c r="O239" s="348" t="s">
        <v>3403</v>
      </c>
    </row>
    <row r="240" spans="2:15" ht="12.75" thickBot="1" x14ac:dyDescent="0.35">
      <c r="B240" s="272">
        <f t="shared" si="20"/>
        <v>1300105</v>
      </c>
      <c r="C240" s="93">
        <v>1</v>
      </c>
      <c r="D240" s="93"/>
      <c r="E240" s="93"/>
      <c r="F240" s="93"/>
      <c r="G240" s="93">
        <v>1</v>
      </c>
      <c r="H240" s="273">
        <v>1300105</v>
      </c>
      <c r="I240" s="273" t="s">
        <v>2603</v>
      </c>
      <c r="J240" s="273">
        <v>13</v>
      </c>
      <c r="K240" s="274">
        <v>2100037</v>
      </c>
      <c r="L240" s="273">
        <v>21</v>
      </c>
      <c r="M240" s="275" t="s">
        <v>2604</v>
      </c>
      <c r="N240" s="276" t="s">
        <v>2605</v>
      </c>
      <c r="O240" s="277" t="s">
        <v>2606</v>
      </c>
    </row>
    <row r="241" spans="2:15" ht="12.75" thickBot="1" x14ac:dyDescent="0.25">
      <c r="B241" s="240">
        <f t="shared" ref="B241:B246" si="28">H241</f>
        <v>1300106</v>
      </c>
      <c r="C241" s="99">
        <v>1</v>
      </c>
      <c r="D241" s="255" t="s">
        <v>3068</v>
      </c>
      <c r="E241" s="255">
        <v>0</v>
      </c>
      <c r="F241" s="255" t="s">
        <v>3070</v>
      </c>
      <c r="G241" s="99">
        <v>1</v>
      </c>
      <c r="H241" s="99">
        <v>1300106</v>
      </c>
      <c r="I241" s="268" t="s">
        <v>187</v>
      </c>
      <c r="J241" s="99">
        <v>13</v>
      </c>
      <c r="K241" s="241">
        <v>2100096</v>
      </c>
      <c r="L241" s="99">
        <v>21</v>
      </c>
      <c r="M241" s="269" t="s">
        <v>3074</v>
      </c>
      <c r="N241" s="279" t="s">
        <v>3075</v>
      </c>
      <c r="O241" s="271" t="s">
        <v>3073</v>
      </c>
    </row>
    <row r="242" spans="2:15" x14ac:dyDescent="0.2">
      <c r="B242" s="232">
        <f t="shared" si="28"/>
        <v>1300107</v>
      </c>
      <c r="C242" s="102">
        <v>1</v>
      </c>
      <c r="D242" s="286" t="s">
        <v>3399</v>
      </c>
      <c r="E242" s="286">
        <v>0</v>
      </c>
      <c r="F242" s="286" t="s">
        <v>3400</v>
      </c>
      <c r="G242" s="102">
        <v>1</v>
      </c>
      <c r="H242" s="102">
        <v>1300107</v>
      </c>
      <c r="I242" s="337" t="s">
        <v>186</v>
      </c>
      <c r="J242" s="102">
        <v>21</v>
      </c>
      <c r="K242" s="233">
        <v>2100096</v>
      </c>
      <c r="L242" s="102">
        <v>21</v>
      </c>
      <c r="M242" s="338" t="s">
        <v>3410</v>
      </c>
      <c r="N242" s="107" t="s">
        <v>3411</v>
      </c>
      <c r="O242" s="340" t="s">
        <v>3403</v>
      </c>
    </row>
    <row r="243" spans="2:15" x14ac:dyDescent="0.2">
      <c r="B243" s="235">
        <f t="shared" si="28"/>
        <v>1300108</v>
      </c>
      <c r="C243" s="61">
        <v>1</v>
      </c>
      <c r="D243" s="278" t="s">
        <v>3399</v>
      </c>
      <c r="E243" s="278">
        <v>0</v>
      </c>
      <c r="F243" s="278" t="s">
        <v>3400</v>
      </c>
      <c r="G243" s="61">
        <v>1</v>
      </c>
      <c r="H243" s="61">
        <v>1300108</v>
      </c>
      <c r="I243" s="341" t="s">
        <v>186</v>
      </c>
      <c r="J243" s="61">
        <v>21</v>
      </c>
      <c r="K243" s="220">
        <v>2100219</v>
      </c>
      <c r="L243" s="61">
        <v>21</v>
      </c>
      <c r="M243" s="342" t="s">
        <v>3412</v>
      </c>
      <c r="N243" s="62" t="s">
        <v>3413</v>
      </c>
      <c r="O243" s="344" t="s">
        <v>3403</v>
      </c>
    </row>
    <row r="244" spans="2:15" x14ac:dyDescent="0.2">
      <c r="B244" s="235">
        <f t="shared" si="28"/>
        <v>1300109</v>
      </c>
      <c r="C244" s="61">
        <v>1</v>
      </c>
      <c r="D244" s="278" t="s">
        <v>3399</v>
      </c>
      <c r="E244" s="278">
        <v>0</v>
      </c>
      <c r="F244" s="278" t="s">
        <v>3400</v>
      </c>
      <c r="G244" s="61">
        <v>1</v>
      </c>
      <c r="H244" s="61">
        <v>1300109</v>
      </c>
      <c r="I244" s="341" t="s">
        <v>186</v>
      </c>
      <c r="J244" s="61">
        <v>21</v>
      </c>
      <c r="K244" s="220">
        <v>2100220</v>
      </c>
      <c r="L244" s="61">
        <v>21</v>
      </c>
      <c r="M244" s="342" t="s">
        <v>3414</v>
      </c>
      <c r="N244" s="62" t="s">
        <v>3415</v>
      </c>
      <c r="O244" s="344" t="s">
        <v>3403</v>
      </c>
    </row>
    <row r="245" spans="2:15" x14ac:dyDescent="0.2">
      <c r="B245" s="235">
        <f t="shared" si="28"/>
        <v>1300110</v>
      </c>
      <c r="C245" s="61">
        <v>1</v>
      </c>
      <c r="D245" s="278" t="s">
        <v>3399</v>
      </c>
      <c r="E245" s="278">
        <v>0</v>
      </c>
      <c r="F245" s="278" t="s">
        <v>3400</v>
      </c>
      <c r="G245" s="61">
        <v>1</v>
      </c>
      <c r="H245" s="61">
        <v>1300110</v>
      </c>
      <c r="I245" s="341" t="s">
        <v>186</v>
      </c>
      <c r="J245" s="61">
        <v>21</v>
      </c>
      <c r="K245" s="220">
        <v>2100221</v>
      </c>
      <c r="L245" s="61">
        <v>21</v>
      </c>
      <c r="M245" s="342" t="s">
        <v>3416</v>
      </c>
      <c r="N245" s="62" t="s">
        <v>3417</v>
      </c>
      <c r="O245" s="344" t="s">
        <v>3403</v>
      </c>
    </row>
    <row r="246" spans="2:15" ht="12.75" thickBot="1" x14ac:dyDescent="0.25">
      <c r="B246" s="237">
        <f t="shared" si="28"/>
        <v>1300111</v>
      </c>
      <c r="C246" s="103">
        <v>1</v>
      </c>
      <c r="D246" s="287" t="s">
        <v>3399</v>
      </c>
      <c r="E246" s="287">
        <v>0</v>
      </c>
      <c r="F246" s="287" t="s">
        <v>3400</v>
      </c>
      <c r="G246" s="103">
        <v>1</v>
      </c>
      <c r="H246" s="103">
        <v>1300111</v>
      </c>
      <c r="I246" s="345" t="s">
        <v>186</v>
      </c>
      <c r="J246" s="103">
        <v>21</v>
      </c>
      <c r="K246" s="238">
        <v>2100222</v>
      </c>
      <c r="L246" s="103">
        <v>21</v>
      </c>
      <c r="M246" s="346" t="s">
        <v>3418</v>
      </c>
      <c r="N246" s="108" t="s">
        <v>3419</v>
      </c>
      <c r="O246" s="348" t="s">
        <v>3403</v>
      </c>
    </row>
    <row r="247" spans="2:15" ht="12.75" thickBot="1" x14ac:dyDescent="0.35">
      <c r="B247" s="272">
        <f t="shared" si="20"/>
        <v>1300112</v>
      </c>
      <c r="C247" s="93">
        <v>1</v>
      </c>
      <c r="D247" s="93"/>
      <c r="E247" s="93"/>
      <c r="F247" s="93"/>
      <c r="G247" s="93">
        <v>1</v>
      </c>
      <c r="H247" s="273">
        <v>1300112</v>
      </c>
      <c r="I247" s="273" t="s">
        <v>2597</v>
      </c>
      <c r="J247" s="273">
        <v>13</v>
      </c>
      <c r="K247" s="274">
        <v>2100075</v>
      </c>
      <c r="L247" s="273">
        <v>21</v>
      </c>
      <c r="M247" s="275" t="s">
        <v>2598</v>
      </c>
      <c r="N247" s="276" t="s">
        <v>2599</v>
      </c>
      <c r="O247" s="277" t="s">
        <v>2600</v>
      </c>
    </row>
    <row r="248" spans="2:15" x14ac:dyDescent="0.3">
      <c r="B248" s="280">
        <f t="shared" ref="B248:B257" si="29">H248</f>
        <v>1300113</v>
      </c>
      <c r="C248" s="102">
        <v>1</v>
      </c>
      <c r="D248" s="286" t="s">
        <v>3067</v>
      </c>
      <c r="E248" s="286">
        <v>0</v>
      </c>
      <c r="F248" s="286" t="s">
        <v>3069</v>
      </c>
      <c r="G248" s="102">
        <v>1</v>
      </c>
      <c r="H248" s="281">
        <v>1300113</v>
      </c>
      <c r="I248" s="281" t="s">
        <v>186</v>
      </c>
      <c r="J248" s="281">
        <v>13</v>
      </c>
      <c r="K248" s="282">
        <v>2100097</v>
      </c>
      <c r="L248" s="281">
        <v>21</v>
      </c>
      <c r="M248" s="283" t="s">
        <v>3076</v>
      </c>
      <c r="N248" s="284" t="s">
        <v>3077</v>
      </c>
      <c r="O248" s="285" t="s">
        <v>3073</v>
      </c>
    </row>
    <row r="249" spans="2:15" ht="12.75" thickBot="1" x14ac:dyDescent="0.35">
      <c r="B249" s="349">
        <f t="shared" si="29"/>
        <v>1300114</v>
      </c>
      <c r="C249" s="329">
        <v>1</v>
      </c>
      <c r="D249" s="327" t="s">
        <v>3067</v>
      </c>
      <c r="E249" s="327">
        <v>0</v>
      </c>
      <c r="F249" s="327" t="s">
        <v>3069</v>
      </c>
      <c r="G249" s="329">
        <v>1</v>
      </c>
      <c r="H249" s="350">
        <v>1300114</v>
      </c>
      <c r="I249" s="350" t="s">
        <v>186</v>
      </c>
      <c r="J249" s="350">
        <v>13</v>
      </c>
      <c r="K249" s="351">
        <v>2100098</v>
      </c>
      <c r="L249" s="350">
        <v>21</v>
      </c>
      <c r="M249" s="352" t="s">
        <v>3078</v>
      </c>
      <c r="N249" s="353" t="s">
        <v>3079</v>
      </c>
      <c r="O249" s="354" t="s">
        <v>3073</v>
      </c>
    </row>
    <row r="250" spans="2:15" x14ac:dyDescent="0.3">
      <c r="B250" s="364">
        <f t="shared" si="29"/>
        <v>1300115</v>
      </c>
      <c r="C250" s="365">
        <v>1</v>
      </c>
      <c r="D250" s="366" t="s">
        <v>3399</v>
      </c>
      <c r="E250" s="366">
        <v>0</v>
      </c>
      <c r="F250" s="366" t="s">
        <v>3400</v>
      </c>
      <c r="G250" s="365">
        <v>1</v>
      </c>
      <c r="H250" s="365">
        <v>1300115</v>
      </c>
      <c r="I250" s="365" t="s">
        <v>186</v>
      </c>
      <c r="J250" s="365">
        <v>21</v>
      </c>
      <c r="K250" s="367">
        <v>2100181</v>
      </c>
      <c r="L250" s="365">
        <v>21</v>
      </c>
      <c r="M250" s="368" t="s">
        <v>231</v>
      </c>
      <c r="N250" s="369" t="s">
        <v>3420</v>
      </c>
      <c r="O250" s="370" t="s">
        <v>3403</v>
      </c>
    </row>
    <row r="251" spans="2:15" x14ac:dyDescent="0.3">
      <c r="B251" s="322">
        <f t="shared" si="29"/>
        <v>1300116</v>
      </c>
      <c r="C251" s="329">
        <v>1</v>
      </c>
      <c r="D251" s="327" t="s">
        <v>3399</v>
      </c>
      <c r="E251" s="327">
        <v>0</v>
      </c>
      <c r="F251" s="327" t="s">
        <v>3400</v>
      </c>
      <c r="G251" s="329">
        <v>1</v>
      </c>
      <c r="H251" s="329">
        <v>1300116</v>
      </c>
      <c r="I251" s="329" t="s">
        <v>186</v>
      </c>
      <c r="J251" s="329">
        <v>21</v>
      </c>
      <c r="K251" s="330">
        <v>2100223</v>
      </c>
      <c r="L251" s="329">
        <v>21</v>
      </c>
      <c r="M251" s="355" t="s">
        <v>3421</v>
      </c>
      <c r="N251" s="356" t="s">
        <v>3422</v>
      </c>
      <c r="O251" s="357" t="s">
        <v>3403</v>
      </c>
    </row>
    <row r="252" spans="2:15" ht="12.75" thickBot="1" x14ac:dyDescent="0.35">
      <c r="B252" s="237">
        <f t="shared" si="29"/>
        <v>1300117</v>
      </c>
      <c r="C252" s="103">
        <v>1</v>
      </c>
      <c r="D252" s="287" t="s">
        <v>3399</v>
      </c>
      <c r="E252" s="287">
        <v>0</v>
      </c>
      <c r="F252" s="287" t="s">
        <v>3400</v>
      </c>
      <c r="G252" s="103">
        <v>1</v>
      </c>
      <c r="H252" s="103">
        <v>1300117</v>
      </c>
      <c r="I252" s="103" t="s">
        <v>186</v>
      </c>
      <c r="J252" s="103">
        <v>21</v>
      </c>
      <c r="K252" s="238">
        <v>2100224</v>
      </c>
      <c r="L252" s="103">
        <v>21</v>
      </c>
      <c r="M252" s="346" t="s">
        <v>3423</v>
      </c>
      <c r="N252" s="108" t="s">
        <v>3424</v>
      </c>
      <c r="O252" s="348" t="s">
        <v>3403</v>
      </c>
    </row>
    <row r="253" spans="2:15" ht="12.75" thickBot="1" x14ac:dyDescent="0.35">
      <c r="B253" s="358">
        <f t="shared" si="29"/>
        <v>1300118</v>
      </c>
      <c r="C253" s="324">
        <v>1</v>
      </c>
      <c r="D253" s="323" t="s">
        <v>3080</v>
      </c>
      <c r="E253" s="323">
        <v>0</v>
      </c>
      <c r="F253" s="323" t="s">
        <v>3069</v>
      </c>
      <c r="G253" s="324">
        <v>1</v>
      </c>
      <c r="H253" s="359">
        <v>1300118</v>
      </c>
      <c r="I253" s="359" t="s">
        <v>188</v>
      </c>
      <c r="J253" s="359">
        <v>99</v>
      </c>
      <c r="K253" s="360">
        <v>2100094</v>
      </c>
      <c r="L253" s="359">
        <v>31</v>
      </c>
      <c r="M253" s="361" t="s">
        <v>3081</v>
      </c>
      <c r="N253" s="362"/>
      <c r="O253" s="363" t="s">
        <v>3082</v>
      </c>
    </row>
    <row r="254" spans="2:15" x14ac:dyDescent="0.3">
      <c r="B254" s="232">
        <f t="shared" si="29"/>
        <v>1300119</v>
      </c>
      <c r="C254" s="102">
        <v>1</v>
      </c>
      <c r="D254" s="286" t="s">
        <v>3399</v>
      </c>
      <c r="E254" s="286">
        <v>0</v>
      </c>
      <c r="F254" s="286" t="s">
        <v>3400</v>
      </c>
      <c r="G254" s="102">
        <v>1</v>
      </c>
      <c r="H254" s="102">
        <v>1300119</v>
      </c>
      <c r="I254" s="102" t="s">
        <v>186</v>
      </c>
      <c r="J254" s="102">
        <v>21</v>
      </c>
      <c r="K254" s="233">
        <v>2100225</v>
      </c>
      <c r="L254" s="102">
        <v>21</v>
      </c>
      <c r="M254" s="338" t="s">
        <v>3425</v>
      </c>
      <c r="N254" s="107" t="s">
        <v>3426</v>
      </c>
      <c r="O254" s="340" t="s">
        <v>3403</v>
      </c>
    </row>
    <row r="255" spans="2:15" x14ac:dyDescent="0.3">
      <c r="B255" s="235">
        <f t="shared" si="29"/>
        <v>1300120</v>
      </c>
      <c r="C255" s="61">
        <v>1</v>
      </c>
      <c r="D255" s="278" t="s">
        <v>3399</v>
      </c>
      <c r="E255" s="278">
        <v>0</v>
      </c>
      <c r="F255" s="278" t="s">
        <v>3400</v>
      </c>
      <c r="G255" s="61">
        <v>1</v>
      </c>
      <c r="H255" s="61">
        <v>1300120</v>
      </c>
      <c r="I255" s="61" t="s">
        <v>186</v>
      </c>
      <c r="J255" s="61">
        <v>21</v>
      </c>
      <c r="K255" s="220">
        <v>2100226</v>
      </c>
      <c r="L255" s="61">
        <v>21</v>
      </c>
      <c r="M255" s="342" t="s">
        <v>3427</v>
      </c>
      <c r="N255" s="62" t="s">
        <v>3428</v>
      </c>
      <c r="O255" s="344" t="s">
        <v>3403</v>
      </c>
    </row>
    <row r="256" spans="2:15" x14ac:dyDescent="0.3">
      <c r="B256" s="235">
        <f t="shared" si="29"/>
        <v>1300121</v>
      </c>
      <c r="C256" s="61">
        <v>1</v>
      </c>
      <c r="D256" s="278" t="s">
        <v>3399</v>
      </c>
      <c r="E256" s="278">
        <v>0</v>
      </c>
      <c r="F256" s="278" t="s">
        <v>3400</v>
      </c>
      <c r="G256" s="61">
        <v>1</v>
      </c>
      <c r="H256" s="61">
        <v>1300121</v>
      </c>
      <c r="I256" s="61" t="s">
        <v>186</v>
      </c>
      <c r="J256" s="61">
        <v>21</v>
      </c>
      <c r="K256" s="220">
        <v>2100227</v>
      </c>
      <c r="L256" s="61">
        <v>21</v>
      </c>
      <c r="M256" s="342" t="s">
        <v>3429</v>
      </c>
      <c r="N256" s="62" t="s">
        <v>3430</v>
      </c>
      <c r="O256" s="344" t="s">
        <v>3403</v>
      </c>
    </row>
    <row r="257" spans="2:15" ht="12.75" thickBot="1" x14ac:dyDescent="0.35">
      <c r="B257" s="237">
        <f t="shared" si="29"/>
        <v>1300122</v>
      </c>
      <c r="C257" s="103">
        <v>1</v>
      </c>
      <c r="D257" s="287" t="s">
        <v>3399</v>
      </c>
      <c r="E257" s="287">
        <v>0</v>
      </c>
      <c r="F257" s="287" t="s">
        <v>3400</v>
      </c>
      <c r="G257" s="103">
        <v>1</v>
      </c>
      <c r="H257" s="103">
        <v>1300122</v>
      </c>
      <c r="I257" s="103" t="s">
        <v>186</v>
      </c>
      <c r="J257" s="103">
        <v>21</v>
      </c>
      <c r="K257" s="238">
        <v>2100228</v>
      </c>
      <c r="L257" s="103">
        <v>21</v>
      </c>
      <c r="M257" s="346" t="s">
        <v>3431</v>
      </c>
      <c r="N257" s="108" t="s">
        <v>3432</v>
      </c>
      <c r="O257" s="348" t="s">
        <v>3403</v>
      </c>
    </row>
    <row r="258" spans="2:15" ht="12.75" thickBot="1" x14ac:dyDescent="0.35">
      <c r="B258" s="272">
        <f t="shared" si="20"/>
        <v>1300123</v>
      </c>
      <c r="C258" s="93">
        <v>1</v>
      </c>
      <c r="D258" s="93"/>
      <c r="E258" s="93"/>
      <c r="F258" s="93"/>
      <c r="G258" s="93">
        <v>1</v>
      </c>
      <c r="H258" s="273">
        <v>1300123</v>
      </c>
      <c r="I258" s="273" t="s">
        <v>186</v>
      </c>
      <c r="J258" s="273">
        <v>13</v>
      </c>
      <c r="K258" s="274">
        <v>2100074</v>
      </c>
      <c r="L258" s="273">
        <v>21</v>
      </c>
      <c r="M258" s="275" t="s">
        <v>2594</v>
      </c>
      <c r="N258" s="276" t="s">
        <v>2595</v>
      </c>
      <c r="O258" s="277" t="s">
        <v>2596</v>
      </c>
    </row>
    <row r="259" spans="2:15" x14ac:dyDescent="0.3">
      <c r="B259" s="232">
        <f t="shared" ref="B259:B265" si="30">H259</f>
        <v>1300124</v>
      </c>
      <c r="C259" s="102">
        <v>1</v>
      </c>
      <c r="D259" s="102" t="s">
        <v>3399</v>
      </c>
      <c r="E259" s="102">
        <v>0</v>
      </c>
      <c r="F259" s="102" t="s">
        <v>3400</v>
      </c>
      <c r="G259" s="102">
        <v>1</v>
      </c>
      <c r="H259" s="102">
        <v>1300124</v>
      </c>
      <c r="I259" s="102" t="s">
        <v>186</v>
      </c>
      <c r="J259" s="102">
        <v>21</v>
      </c>
      <c r="K259" s="233">
        <v>2100229</v>
      </c>
      <c r="L259" s="102">
        <v>21</v>
      </c>
      <c r="M259" s="338" t="s">
        <v>273</v>
      </c>
      <c r="N259" s="107" t="s">
        <v>3433</v>
      </c>
      <c r="O259" s="340" t="s">
        <v>3403</v>
      </c>
    </row>
    <row r="260" spans="2:15" x14ac:dyDescent="0.3">
      <c r="B260" s="235">
        <f t="shared" si="30"/>
        <v>1300125</v>
      </c>
      <c r="C260" s="61">
        <v>1</v>
      </c>
      <c r="D260" s="61" t="s">
        <v>3399</v>
      </c>
      <c r="E260" s="61">
        <v>0</v>
      </c>
      <c r="F260" s="61" t="s">
        <v>3400</v>
      </c>
      <c r="G260" s="61">
        <v>1</v>
      </c>
      <c r="H260" s="61">
        <v>1300125</v>
      </c>
      <c r="I260" s="61" t="s">
        <v>186</v>
      </c>
      <c r="J260" s="61">
        <v>21</v>
      </c>
      <c r="K260" s="220">
        <v>2100230</v>
      </c>
      <c r="L260" s="61">
        <v>21</v>
      </c>
      <c r="M260" s="342" t="s">
        <v>3434</v>
      </c>
      <c r="N260" s="62" t="s">
        <v>3435</v>
      </c>
      <c r="O260" s="344" t="s">
        <v>3403</v>
      </c>
    </row>
    <row r="261" spans="2:15" x14ac:dyDescent="0.3">
      <c r="B261" s="235">
        <f t="shared" si="30"/>
        <v>1300126</v>
      </c>
      <c r="C261" s="61">
        <v>1</v>
      </c>
      <c r="D261" s="61" t="s">
        <v>3399</v>
      </c>
      <c r="E261" s="61">
        <v>0</v>
      </c>
      <c r="F261" s="61" t="s">
        <v>3400</v>
      </c>
      <c r="G261" s="61">
        <v>1</v>
      </c>
      <c r="H261" s="61">
        <v>1300126</v>
      </c>
      <c r="I261" s="61" t="s">
        <v>186</v>
      </c>
      <c r="J261" s="61">
        <v>21</v>
      </c>
      <c r="K261" s="220">
        <v>2100231</v>
      </c>
      <c r="L261" s="61">
        <v>21</v>
      </c>
      <c r="M261" s="342" t="s">
        <v>3436</v>
      </c>
      <c r="N261" s="62" t="s">
        <v>3437</v>
      </c>
      <c r="O261" s="344" t="s">
        <v>3403</v>
      </c>
    </row>
    <row r="262" spans="2:15" x14ac:dyDescent="0.3">
      <c r="B262" s="235">
        <f t="shared" si="30"/>
        <v>1300127</v>
      </c>
      <c r="C262" s="61">
        <v>1</v>
      </c>
      <c r="D262" s="61" t="s">
        <v>3399</v>
      </c>
      <c r="E262" s="61">
        <v>0</v>
      </c>
      <c r="F262" s="61" t="s">
        <v>3400</v>
      </c>
      <c r="G262" s="61">
        <v>1</v>
      </c>
      <c r="H262" s="61">
        <v>1300127</v>
      </c>
      <c r="I262" s="61" t="s">
        <v>186</v>
      </c>
      <c r="J262" s="61">
        <v>21</v>
      </c>
      <c r="K262" s="220">
        <v>2100232</v>
      </c>
      <c r="L262" s="61">
        <v>21</v>
      </c>
      <c r="M262" s="342" t="s">
        <v>3438</v>
      </c>
      <c r="N262" s="62" t="s">
        <v>3439</v>
      </c>
      <c r="O262" s="344" t="s">
        <v>3403</v>
      </c>
    </row>
    <row r="263" spans="2:15" ht="12.75" thickBot="1" x14ac:dyDescent="0.35">
      <c r="B263" s="237">
        <f t="shared" si="30"/>
        <v>1300128</v>
      </c>
      <c r="C263" s="103">
        <v>1</v>
      </c>
      <c r="D263" s="103" t="s">
        <v>3399</v>
      </c>
      <c r="E263" s="103">
        <v>0</v>
      </c>
      <c r="F263" s="103" t="s">
        <v>3400</v>
      </c>
      <c r="G263" s="103">
        <v>1</v>
      </c>
      <c r="H263" s="103">
        <v>1300128</v>
      </c>
      <c r="I263" s="103" t="s">
        <v>186</v>
      </c>
      <c r="J263" s="103">
        <v>21</v>
      </c>
      <c r="K263" s="238">
        <v>2100233</v>
      </c>
      <c r="L263" s="103">
        <v>21</v>
      </c>
      <c r="M263" s="346" t="s">
        <v>3440</v>
      </c>
      <c r="N263" s="108" t="s">
        <v>3441</v>
      </c>
      <c r="O263" s="348" t="s">
        <v>3403</v>
      </c>
    </row>
    <row r="264" spans="2:15" ht="12.75" thickBot="1" x14ac:dyDescent="0.35">
      <c r="B264" s="240">
        <f t="shared" si="30"/>
        <v>1300129</v>
      </c>
      <c r="C264" s="99">
        <v>1</v>
      </c>
      <c r="D264" s="255" t="s">
        <v>3198</v>
      </c>
      <c r="E264" s="255">
        <v>0</v>
      </c>
      <c r="F264" s="255" t="s">
        <v>3195</v>
      </c>
      <c r="G264" s="99">
        <v>1</v>
      </c>
      <c r="H264" s="99">
        <v>1300129</v>
      </c>
      <c r="I264" s="99" t="s">
        <v>186</v>
      </c>
      <c r="J264" s="99">
        <v>13</v>
      </c>
      <c r="K264" s="241">
        <v>2100180</v>
      </c>
      <c r="L264" s="99">
        <v>21</v>
      </c>
      <c r="M264" s="269" t="s">
        <v>3199</v>
      </c>
      <c r="N264" s="279" t="s">
        <v>3200</v>
      </c>
      <c r="O264" s="271" t="s">
        <v>3201</v>
      </c>
    </row>
    <row r="265" spans="2:15" ht="24.75" thickBot="1" x14ac:dyDescent="0.35">
      <c r="B265" s="240">
        <f t="shared" si="30"/>
        <v>1300130</v>
      </c>
      <c r="C265" s="99">
        <v>1</v>
      </c>
      <c r="D265" s="255" t="s">
        <v>3229</v>
      </c>
      <c r="E265" s="255">
        <v>0</v>
      </c>
      <c r="F265" s="255" t="s">
        <v>3230</v>
      </c>
      <c r="G265" s="99">
        <v>1</v>
      </c>
      <c r="H265" s="99">
        <v>1300130</v>
      </c>
      <c r="I265" s="99" t="s">
        <v>186</v>
      </c>
      <c r="J265" s="99">
        <v>13</v>
      </c>
      <c r="K265" s="241">
        <v>2100202</v>
      </c>
      <c r="L265" s="99">
        <v>21</v>
      </c>
      <c r="M265" s="269" t="s">
        <v>3231</v>
      </c>
      <c r="N265" s="279" t="s">
        <v>3232</v>
      </c>
      <c r="O265" s="271" t="s">
        <v>3233</v>
      </c>
    </row>
    <row r="266" spans="2:15" ht="16.5" customHeight="1" x14ac:dyDescent="0.3">
      <c r="B266" s="48">
        <f t="shared" si="20"/>
        <v>1400251</v>
      </c>
      <c r="C266" s="48">
        <v>1</v>
      </c>
      <c r="D266" s="48"/>
      <c r="E266" s="48"/>
      <c r="F266" s="48"/>
      <c r="G266" s="48">
        <v>1</v>
      </c>
      <c r="H266" s="48">
        <v>1400251</v>
      </c>
      <c r="I266" s="48" t="s">
        <v>187</v>
      </c>
      <c r="J266" s="48">
        <v>13</v>
      </c>
      <c r="K266" s="106">
        <v>1400477</v>
      </c>
      <c r="L266" s="48">
        <v>13</v>
      </c>
      <c r="M266" s="48" t="s">
        <v>1948</v>
      </c>
      <c r="N266" s="48"/>
      <c r="O266" s="48"/>
    </row>
    <row r="267" spans="2:15" ht="16.5" customHeight="1" x14ac:dyDescent="0.3">
      <c r="B267" s="39">
        <f t="shared" si="20"/>
        <v>1400267</v>
      </c>
      <c r="C267" s="39">
        <v>1</v>
      </c>
      <c r="D267" s="39"/>
      <c r="E267" s="39"/>
      <c r="F267" s="39"/>
      <c r="G267" s="39">
        <v>1</v>
      </c>
      <c r="H267" s="39">
        <v>1400267</v>
      </c>
      <c r="I267" s="39" t="s">
        <v>186</v>
      </c>
      <c r="J267" s="39">
        <v>13</v>
      </c>
      <c r="K267" s="46">
        <v>1063050</v>
      </c>
      <c r="L267" s="39">
        <v>13</v>
      </c>
      <c r="M267" s="181" t="s">
        <v>2179</v>
      </c>
      <c r="N267" s="39"/>
      <c r="O267" s="39"/>
    </row>
    <row r="268" spans="2:15" ht="16.5" customHeight="1" x14ac:dyDescent="0.3">
      <c r="B268" s="39">
        <f t="shared" si="20"/>
        <v>1400268</v>
      </c>
      <c r="C268" s="39">
        <v>1</v>
      </c>
      <c r="D268" s="39"/>
      <c r="E268" s="39"/>
      <c r="F268" s="39"/>
      <c r="G268" s="39">
        <v>1</v>
      </c>
      <c r="H268" s="39">
        <v>1400268</v>
      </c>
      <c r="I268" s="39" t="s">
        <v>187</v>
      </c>
      <c r="J268" s="39">
        <v>13</v>
      </c>
      <c r="K268" s="46">
        <v>1400476</v>
      </c>
      <c r="L268" s="39">
        <v>13</v>
      </c>
      <c r="M268" s="39" t="s">
        <v>2180</v>
      </c>
      <c r="N268" s="39"/>
      <c r="O268" s="39"/>
    </row>
    <row r="269" spans="2:15" ht="16.5" customHeight="1" x14ac:dyDescent="0.3">
      <c r="B269" s="39">
        <f t="shared" si="20"/>
        <v>1400306</v>
      </c>
      <c r="C269" s="39">
        <v>1</v>
      </c>
      <c r="D269" s="39"/>
      <c r="E269" s="39"/>
      <c r="F269" s="39"/>
      <c r="G269" s="39">
        <v>1</v>
      </c>
      <c r="H269" s="39">
        <v>1400306</v>
      </c>
      <c r="I269" s="39" t="s">
        <v>186</v>
      </c>
      <c r="J269" s="39">
        <v>13</v>
      </c>
      <c r="K269" s="46">
        <v>1045024</v>
      </c>
      <c r="L269" s="39">
        <v>13</v>
      </c>
      <c r="M269" s="39" t="s">
        <v>1255</v>
      </c>
      <c r="N269" s="39"/>
      <c r="O269" s="39"/>
    </row>
    <row r="270" spans="2:15" x14ac:dyDescent="0.2">
      <c r="B270" s="39">
        <f t="shared" si="20"/>
        <v>2000000</v>
      </c>
      <c r="C270" s="39">
        <v>1</v>
      </c>
      <c r="D270" s="39"/>
      <c r="E270" s="39"/>
      <c r="F270" s="39"/>
      <c r="G270" s="39">
        <v>1</v>
      </c>
      <c r="H270" s="21">
        <v>2000000</v>
      </c>
      <c r="I270" s="21" t="s">
        <v>186</v>
      </c>
      <c r="J270" s="39">
        <v>13</v>
      </c>
      <c r="K270" s="46">
        <v>1400046</v>
      </c>
      <c r="L270" s="39">
        <v>13</v>
      </c>
      <c r="M270" s="39" t="s">
        <v>780</v>
      </c>
      <c r="N270" s="21" t="s">
        <v>43</v>
      </c>
      <c r="O270" s="21" t="s">
        <v>207</v>
      </c>
    </row>
    <row r="271" spans="2:15" ht="12.75" thickBot="1" x14ac:dyDescent="0.25">
      <c r="B271" s="44">
        <f t="shared" si="20"/>
        <v>2000001</v>
      </c>
      <c r="C271" s="39">
        <v>1</v>
      </c>
      <c r="D271" s="39"/>
      <c r="E271" s="39"/>
      <c r="F271" s="39"/>
      <c r="G271" s="39">
        <v>1</v>
      </c>
      <c r="H271" s="63">
        <v>2000001</v>
      </c>
      <c r="I271" s="63" t="s">
        <v>186</v>
      </c>
      <c r="J271" s="44">
        <v>13</v>
      </c>
      <c r="K271" s="54">
        <v>1400047</v>
      </c>
      <c r="L271" s="44">
        <v>13</v>
      </c>
      <c r="M271" s="44" t="s">
        <v>781</v>
      </c>
      <c r="N271" s="63" t="s">
        <v>44</v>
      </c>
      <c r="O271" s="63" t="s">
        <v>208</v>
      </c>
    </row>
    <row r="272" spans="2:15" ht="12.75" thickBot="1" x14ac:dyDescent="0.35">
      <c r="B272" s="178">
        <f t="shared" si="20"/>
        <v>2100054</v>
      </c>
      <c r="C272" s="39">
        <v>1</v>
      </c>
      <c r="D272" s="39"/>
      <c r="E272" s="39"/>
      <c r="F272" s="39"/>
      <c r="G272" s="39">
        <v>1</v>
      </c>
      <c r="H272" s="179">
        <v>2100054</v>
      </c>
      <c r="I272" s="179" t="s">
        <v>2590</v>
      </c>
      <c r="J272" s="179">
        <v>13</v>
      </c>
      <c r="K272" s="180">
        <v>2100054</v>
      </c>
      <c r="L272" s="179">
        <v>21</v>
      </c>
      <c r="M272" s="179" t="s">
        <v>2591</v>
      </c>
      <c r="N272" s="179" t="s">
        <v>2592</v>
      </c>
      <c r="O272" s="116" t="s">
        <v>2593</v>
      </c>
    </row>
    <row r="273" spans="2:15" ht="12.75" thickBot="1" x14ac:dyDescent="0.35">
      <c r="B273" s="308">
        <f>H273</f>
        <v>2100061</v>
      </c>
      <c r="C273" s="44">
        <v>1</v>
      </c>
      <c r="D273" s="44"/>
      <c r="E273" s="44"/>
      <c r="F273" s="44"/>
      <c r="G273" s="44">
        <v>1</v>
      </c>
      <c r="H273" s="309">
        <v>2100061</v>
      </c>
      <c r="I273" s="309" t="s">
        <v>187</v>
      </c>
      <c r="J273" s="309">
        <v>21</v>
      </c>
      <c r="K273" s="310">
        <v>2100061</v>
      </c>
      <c r="L273" s="309">
        <v>21</v>
      </c>
      <c r="M273" s="309" t="s">
        <v>2601</v>
      </c>
      <c r="N273" s="309"/>
      <c r="O273" s="311" t="s">
        <v>2602</v>
      </c>
    </row>
    <row r="274" spans="2:15" ht="12.75" thickBot="1" x14ac:dyDescent="0.35">
      <c r="B274" s="178">
        <f>H274</f>
        <v>2100064</v>
      </c>
      <c r="C274" s="247">
        <v>1</v>
      </c>
      <c r="D274" s="247" t="s">
        <v>3194</v>
      </c>
      <c r="E274" s="247">
        <v>0</v>
      </c>
      <c r="F274" s="247" t="s">
        <v>3195</v>
      </c>
      <c r="G274" s="247">
        <v>1</v>
      </c>
      <c r="H274" s="180">
        <v>2100064</v>
      </c>
      <c r="I274" s="307" t="s">
        <v>186</v>
      </c>
      <c r="J274" s="180">
        <v>13</v>
      </c>
      <c r="K274" s="180">
        <v>2100064</v>
      </c>
      <c r="L274" s="180">
        <v>21</v>
      </c>
      <c r="M274" s="307" t="s">
        <v>3196</v>
      </c>
      <c r="N274" s="305">
        <v>0</v>
      </c>
      <c r="O274" s="306" t="s">
        <v>3197</v>
      </c>
    </row>
    <row r="275" spans="2:15" ht="12.75" thickBot="1" x14ac:dyDescent="0.35">
      <c r="B275" s="312">
        <f t="shared" si="20"/>
        <v>2100068</v>
      </c>
      <c r="C275" s="48">
        <v>1</v>
      </c>
      <c r="D275" s="48"/>
      <c r="E275" s="48"/>
      <c r="F275" s="48"/>
      <c r="G275" s="48">
        <v>1</v>
      </c>
      <c r="H275" s="266">
        <v>2100068</v>
      </c>
      <c r="I275" s="266" t="s">
        <v>186</v>
      </c>
      <c r="J275" s="266">
        <v>13</v>
      </c>
      <c r="K275" s="267">
        <v>2100068</v>
      </c>
      <c r="L275" s="266">
        <v>21</v>
      </c>
      <c r="M275" s="266" t="s">
        <v>2587</v>
      </c>
      <c r="N275" s="266" t="s">
        <v>2588</v>
      </c>
      <c r="O275" s="313" t="s">
        <v>2589</v>
      </c>
    </row>
    <row r="276" spans="2:15" x14ac:dyDescent="0.2">
      <c r="B276" s="48">
        <f t="shared" si="20"/>
        <v>3800001</v>
      </c>
      <c r="C276" s="39">
        <v>1</v>
      </c>
      <c r="D276" s="39"/>
      <c r="E276" s="39"/>
      <c r="F276" s="39"/>
      <c r="G276" s="39">
        <v>1</v>
      </c>
      <c r="H276" s="64">
        <v>3800001</v>
      </c>
      <c r="I276" s="64" t="s">
        <v>184</v>
      </c>
      <c r="J276" s="48">
        <v>13</v>
      </c>
      <c r="K276" s="106">
        <v>1400048</v>
      </c>
      <c r="L276" s="48">
        <f>VLOOKUP(I276,error,2,FALSE)</f>
        <v>5</v>
      </c>
      <c r="M276" s="48" t="s">
        <v>782</v>
      </c>
      <c r="N276" s="64" t="s">
        <v>491</v>
      </c>
      <c r="O276" s="64" t="s">
        <v>690</v>
      </c>
    </row>
    <row r="277" spans="2:15" x14ac:dyDescent="0.2">
      <c r="B277" s="39">
        <f t="shared" si="20"/>
        <v>3801001</v>
      </c>
      <c r="C277" s="39">
        <v>1</v>
      </c>
      <c r="D277" s="39"/>
      <c r="E277" s="39"/>
      <c r="F277" s="39"/>
      <c r="G277" s="39">
        <v>1</v>
      </c>
      <c r="H277" s="21">
        <v>3801001</v>
      </c>
      <c r="I277" s="21" t="s">
        <v>184</v>
      </c>
      <c r="J277" s="39">
        <v>13</v>
      </c>
      <c r="K277" s="46">
        <v>1400049</v>
      </c>
      <c r="L277" s="39">
        <f>VLOOKUP(I277,error,2,FALSE)</f>
        <v>5</v>
      </c>
      <c r="M277" s="39" t="s">
        <v>783</v>
      </c>
      <c r="N277" s="21" t="s">
        <v>492</v>
      </c>
      <c r="O277" s="21" t="s">
        <v>596</v>
      </c>
    </row>
    <row r="278" spans="2:15" x14ac:dyDescent="0.2">
      <c r="B278" s="39">
        <f t="shared" si="20"/>
        <v>3801002</v>
      </c>
      <c r="C278" s="39">
        <v>1</v>
      </c>
      <c r="D278" s="39"/>
      <c r="E278" s="39"/>
      <c r="F278" s="39"/>
      <c r="G278" s="39">
        <v>1</v>
      </c>
      <c r="H278" s="21">
        <v>3801002</v>
      </c>
      <c r="I278" s="21" t="s">
        <v>184</v>
      </c>
      <c r="J278" s="39">
        <v>13</v>
      </c>
      <c r="K278" s="46">
        <v>1400050</v>
      </c>
      <c r="L278" s="39">
        <f>VLOOKUP(I278,error,2,FALSE)</f>
        <v>5</v>
      </c>
      <c r="M278" s="39" t="s">
        <v>784</v>
      </c>
      <c r="N278" s="21" t="s">
        <v>493</v>
      </c>
      <c r="O278" s="21" t="s">
        <v>597</v>
      </c>
    </row>
    <row r="279" spans="2:15" x14ac:dyDescent="0.2">
      <c r="B279" s="39">
        <f t="shared" ref="B279:B353" si="31">H279</f>
        <v>3801003</v>
      </c>
      <c r="C279" s="39">
        <v>1</v>
      </c>
      <c r="D279" s="39"/>
      <c r="E279" s="39"/>
      <c r="F279" s="39"/>
      <c r="G279" s="39">
        <v>1</v>
      </c>
      <c r="H279" s="21">
        <v>3801003</v>
      </c>
      <c r="I279" s="21" t="s">
        <v>184</v>
      </c>
      <c r="J279" s="39">
        <v>13</v>
      </c>
      <c r="K279" s="46">
        <v>1400534</v>
      </c>
      <c r="L279" s="39">
        <v>12</v>
      </c>
      <c r="M279" s="39" t="s">
        <v>2181</v>
      </c>
      <c r="N279" s="21" t="s">
        <v>1539</v>
      </c>
      <c r="O279" s="21" t="s">
        <v>1540</v>
      </c>
    </row>
    <row r="280" spans="2:15" x14ac:dyDescent="0.2">
      <c r="B280" s="39">
        <f t="shared" si="31"/>
        <v>3801004</v>
      </c>
      <c r="C280" s="39">
        <v>1</v>
      </c>
      <c r="D280" s="39"/>
      <c r="E280" s="39"/>
      <c r="F280" s="39"/>
      <c r="G280" s="39">
        <v>1</v>
      </c>
      <c r="H280" s="21">
        <v>3801004</v>
      </c>
      <c r="I280" s="21" t="s">
        <v>186</v>
      </c>
      <c r="J280" s="39">
        <v>21</v>
      </c>
      <c r="K280" s="46">
        <v>1400606</v>
      </c>
      <c r="L280" s="39">
        <v>21</v>
      </c>
      <c r="M280" s="39" t="s">
        <v>2612</v>
      </c>
      <c r="N280" s="21" t="s">
        <v>2613</v>
      </c>
      <c r="O280" s="21" t="s">
        <v>2614</v>
      </c>
    </row>
    <row r="281" spans="2:15" x14ac:dyDescent="0.2">
      <c r="B281" s="39">
        <f>H281</f>
        <v>3900000</v>
      </c>
      <c r="C281" s="39">
        <v>1</v>
      </c>
      <c r="D281" s="39" t="s">
        <v>3399</v>
      </c>
      <c r="E281" s="39">
        <v>0</v>
      </c>
      <c r="F281" s="39" t="s">
        <v>3451</v>
      </c>
      <c r="G281" s="39">
        <v>1</v>
      </c>
      <c r="H281" s="21">
        <v>3900000</v>
      </c>
      <c r="I281" s="21" t="s">
        <v>186</v>
      </c>
      <c r="J281" s="39">
        <v>21</v>
      </c>
      <c r="K281" s="46">
        <v>2100217</v>
      </c>
      <c r="L281" s="39">
        <v>21</v>
      </c>
      <c r="M281" s="39" t="s">
        <v>3455</v>
      </c>
      <c r="N281" s="21" t="s">
        <v>3456</v>
      </c>
      <c r="O281" s="21" t="s">
        <v>3454</v>
      </c>
    </row>
    <row r="282" spans="2:15" x14ac:dyDescent="0.2">
      <c r="B282" s="39">
        <f>H282</f>
        <v>3900001</v>
      </c>
      <c r="C282" s="39">
        <v>1</v>
      </c>
      <c r="D282" s="39" t="s">
        <v>3399</v>
      </c>
      <c r="E282" s="39">
        <v>0</v>
      </c>
      <c r="F282" s="39" t="s">
        <v>3451</v>
      </c>
      <c r="G282" s="39">
        <v>1</v>
      </c>
      <c r="H282" s="21">
        <v>3900001</v>
      </c>
      <c r="I282" s="21" t="s">
        <v>186</v>
      </c>
      <c r="J282" s="39">
        <v>21</v>
      </c>
      <c r="K282" s="46">
        <v>2100210</v>
      </c>
      <c r="L282" s="39">
        <v>21</v>
      </c>
      <c r="M282" s="39" t="s">
        <v>3452</v>
      </c>
      <c r="N282" s="21" t="s">
        <v>3457</v>
      </c>
      <c r="O282" s="21" t="s">
        <v>3454</v>
      </c>
    </row>
    <row r="283" spans="2:15" x14ac:dyDescent="0.2">
      <c r="B283" s="39">
        <f>H283</f>
        <v>3900002</v>
      </c>
      <c r="C283" s="39">
        <v>1</v>
      </c>
      <c r="D283" s="39" t="s">
        <v>3399</v>
      </c>
      <c r="E283" s="39">
        <v>0</v>
      </c>
      <c r="F283" s="39" t="s">
        <v>3451</v>
      </c>
      <c r="G283" s="39">
        <v>1</v>
      </c>
      <c r="H283" s="21">
        <v>3900002</v>
      </c>
      <c r="I283" s="21" t="s">
        <v>186</v>
      </c>
      <c r="J283" s="39">
        <v>21</v>
      </c>
      <c r="K283" s="46">
        <v>2100237</v>
      </c>
      <c r="L283" s="39">
        <v>21</v>
      </c>
      <c r="M283" s="39" t="s">
        <v>3458</v>
      </c>
      <c r="N283" s="21" t="s">
        <v>3459</v>
      </c>
      <c r="O283" s="21" t="s">
        <v>3454</v>
      </c>
    </row>
    <row r="284" spans="2:15" x14ac:dyDescent="0.2">
      <c r="B284" s="39">
        <f t="shared" si="31"/>
        <v>4000000</v>
      </c>
      <c r="C284" s="39">
        <v>1</v>
      </c>
      <c r="D284" s="39"/>
      <c r="E284" s="39"/>
      <c r="F284" s="39"/>
      <c r="G284" s="39">
        <v>1</v>
      </c>
      <c r="H284" s="21">
        <v>4000000</v>
      </c>
      <c r="I284" s="21" t="s">
        <v>186</v>
      </c>
      <c r="J284" s="39">
        <v>13</v>
      </c>
      <c r="K284" s="46">
        <v>1400051</v>
      </c>
      <c r="L284" s="39">
        <f t="shared" ref="L284:L317" si="32">VLOOKUP(I284,error,2,FALSE)</f>
        <v>21</v>
      </c>
      <c r="M284" s="39" t="s">
        <v>785</v>
      </c>
      <c r="N284" s="21" t="s">
        <v>45</v>
      </c>
      <c r="O284" s="21" t="s">
        <v>209</v>
      </c>
    </row>
    <row r="285" spans="2:15" x14ac:dyDescent="0.2">
      <c r="B285" s="39">
        <f t="shared" si="31"/>
        <v>4000001</v>
      </c>
      <c r="C285" s="39">
        <v>1</v>
      </c>
      <c r="D285" s="39"/>
      <c r="E285" s="39"/>
      <c r="F285" s="39"/>
      <c r="G285" s="39">
        <v>1</v>
      </c>
      <c r="H285" s="21">
        <v>4000001</v>
      </c>
      <c r="I285" s="21" t="s">
        <v>184</v>
      </c>
      <c r="J285" s="39">
        <v>13</v>
      </c>
      <c r="K285" s="46">
        <v>1400052</v>
      </c>
      <c r="L285" s="39">
        <f t="shared" si="32"/>
        <v>5</v>
      </c>
      <c r="M285" s="39" t="s">
        <v>786</v>
      </c>
      <c r="N285" s="21" t="s">
        <v>46</v>
      </c>
      <c r="O285" s="21" t="s">
        <v>210</v>
      </c>
    </row>
    <row r="286" spans="2:15" x14ac:dyDescent="0.2">
      <c r="B286" s="39">
        <f t="shared" si="31"/>
        <v>4000002</v>
      </c>
      <c r="C286" s="39">
        <v>1</v>
      </c>
      <c r="D286" s="39"/>
      <c r="E286" s="39"/>
      <c r="F286" s="39"/>
      <c r="G286" s="39">
        <v>1</v>
      </c>
      <c r="H286" s="21">
        <v>4000002</v>
      </c>
      <c r="I286" s="21" t="s">
        <v>184</v>
      </c>
      <c r="J286" s="39">
        <v>13</v>
      </c>
      <c r="K286" s="46">
        <v>1400053</v>
      </c>
      <c r="L286" s="39">
        <f t="shared" si="32"/>
        <v>5</v>
      </c>
      <c r="M286" s="39" t="s">
        <v>782</v>
      </c>
      <c r="N286" s="21" t="s">
        <v>47</v>
      </c>
      <c r="O286" s="21" t="s">
        <v>211</v>
      </c>
    </row>
    <row r="287" spans="2:15" x14ac:dyDescent="0.2">
      <c r="B287" s="39">
        <f t="shared" si="31"/>
        <v>4000003</v>
      </c>
      <c r="C287" s="39">
        <v>1</v>
      </c>
      <c r="D287" s="39"/>
      <c r="E287" s="39"/>
      <c r="F287" s="39"/>
      <c r="G287" s="39">
        <v>1</v>
      </c>
      <c r="H287" s="21">
        <v>4000003</v>
      </c>
      <c r="I287" s="21" t="s">
        <v>184</v>
      </c>
      <c r="J287" s="39">
        <v>13</v>
      </c>
      <c r="K287" s="46">
        <v>1400054</v>
      </c>
      <c r="L287" s="39">
        <f t="shared" si="32"/>
        <v>5</v>
      </c>
      <c r="M287" s="39" t="s">
        <v>782</v>
      </c>
      <c r="N287" s="21" t="s">
        <v>48</v>
      </c>
      <c r="O287" s="21" t="s">
        <v>212</v>
      </c>
    </row>
    <row r="288" spans="2:15" x14ac:dyDescent="0.2">
      <c r="B288" s="39">
        <f t="shared" si="31"/>
        <v>4000004</v>
      </c>
      <c r="C288" s="39">
        <v>1</v>
      </c>
      <c r="D288" s="39"/>
      <c r="E288" s="39"/>
      <c r="F288" s="39"/>
      <c r="G288" s="39">
        <v>1</v>
      </c>
      <c r="H288" s="21">
        <v>4000004</v>
      </c>
      <c r="I288" s="21" t="s">
        <v>184</v>
      </c>
      <c r="J288" s="39">
        <v>13</v>
      </c>
      <c r="K288" s="46">
        <v>1400055</v>
      </c>
      <c r="L288" s="39">
        <f t="shared" si="32"/>
        <v>5</v>
      </c>
      <c r="M288" s="39" t="s">
        <v>787</v>
      </c>
      <c r="N288" s="21" t="s">
        <v>49</v>
      </c>
      <c r="O288" s="21" t="s">
        <v>213</v>
      </c>
    </row>
    <row r="289" spans="2:15" x14ac:dyDescent="0.2">
      <c r="B289" s="39">
        <f t="shared" si="31"/>
        <v>4000005</v>
      </c>
      <c r="C289" s="39">
        <v>1</v>
      </c>
      <c r="D289" s="39"/>
      <c r="E289" s="39"/>
      <c r="F289" s="39"/>
      <c r="G289" s="39">
        <v>1</v>
      </c>
      <c r="H289" s="21">
        <v>4000005</v>
      </c>
      <c r="I289" s="21" t="s">
        <v>184</v>
      </c>
      <c r="J289" s="39">
        <v>13</v>
      </c>
      <c r="K289" s="46">
        <v>1400056</v>
      </c>
      <c r="L289" s="39">
        <f t="shared" si="32"/>
        <v>5</v>
      </c>
      <c r="M289" s="39" t="s">
        <v>1948</v>
      </c>
      <c r="N289" s="21" t="s">
        <v>50</v>
      </c>
      <c r="O289" s="21" t="s">
        <v>214</v>
      </c>
    </row>
    <row r="290" spans="2:15" x14ac:dyDescent="0.2">
      <c r="B290" s="39">
        <f t="shared" si="31"/>
        <v>4000006</v>
      </c>
      <c r="C290" s="39">
        <v>1</v>
      </c>
      <c r="D290" s="39"/>
      <c r="E290" s="39"/>
      <c r="F290" s="39"/>
      <c r="G290" s="39">
        <v>1</v>
      </c>
      <c r="H290" s="21">
        <v>4000006</v>
      </c>
      <c r="I290" s="21" t="s">
        <v>184</v>
      </c>
      <c r="J290" s="39">
        <v>13</v>
      </c>
      <c r="K290" s="46">
        <v>1400057</v>
      </c>
      <c r="L290" s="39">
        <f t="shared" si="32"/>
        <v>5</v>
      </c>
      <c r="M290" s="39" t="s">
        <v>2182</v>
      </c>
      <c r="N290" s="21" t="s">
        <v>51</v>
      </c>
      <c r="O290" s="21" t="s">
        <v>215</v>
      </c>
    </row>
    <row r="291" spans="2:15" x14ac:dyDescent="0.2">
      <c r="B291" s="39">
        <f t="shared" si="31"/>
        <v>4000007</v>
      </c>
      <c r="C291" s="39">
        <v>1</v>
      </c>
      <c r="D291" s="39"/>
      <c r="E291" s="39"/>
      <c r="F291" s="39"/>
      <c r="G291" s="39">
        <v>1</v>
      </c>
      <c r="H291" s="21">
        <v>4000007</v>
      </c>
      <c r="I291" s="21" t="s">
        <v>188</v>
      </c>
      <c r="J291" s="39">
        <v>13</v>
      </c>
      <c r="K291" s="46">
        <v>1400058</v>
      </c>
      <c r="L291" s="39">
        <v>13</v>
      </c>
      <c r="M291" s="39" t="s">
        <v>2183</v>
      </c>
      <c r="N291" s="21" t="s">
        <v>52</v>
      </c>
      <c r="O291" s="21" t="s">
        <v>200</v>
      </c>
    </row>
    <row r="292" spans="2:15" x14ac:dyDescent="0.2">
      <c r="B292" s="39">
        <f t="shared" si="31"/>
        <v>4000008</v>
      </c>
      <c r="C292" s="39">
        <v>1</v>
      </c>
      <c r="D292" s="39"/>
      <c r="E292" s="39"/>
      <c r="F292" s="39"/>
      <c r="G292" s="39">
        <v>1</v>
      </c>
      <c r="H292" s="21">
        <v>4000008</v>
      </c>
      <c r="I292" s="21" t="s">
        <v>184</v>
      </c>
      <c r="J292" s="39">
        <v>13</v>
      </c>
      <c r="K292" s="46">
        <v>1400059</v>
      </c>
      <c r="L292" s="39">
        <f t="shared" si="32"/>
        <v>5</v>
      </c>
      <c r="M292" s="39" t="s">
        <v>2445</v>
      </c>
      <c r="N292" s="21" t="s">
        <v>53</v>
      </c>
      <c r="O292" s="21" t="s">
        <v>216</v>
      </c>
    </row>
    <row r="293" spans="2:15" x14ac:dyDescent="0.2">
      <c r="B293" s="39">
        <f t="shared" si="31"/>
        <v>4000009</v>
      </c>
      <c r="C293" s="39">
        <v>1</v>
      </c>
      <c r="D293" s="39"/>
      <c r="E293" s="39"/>
      <c r="F293" s="39"/>
      <c r="G293" s="39">
        <v>1</v>
      </c>
      <c r="H293" s="21">
        <v>4000009</v>
      </c>
      <c r="I293" s="21" t="s">
        <v>186</v>
      </c>
      <c r="J293" s="39">
        <v>13</v>
      </c>
      <c r="K293" s="46">
        <v>1400060</v>
      </c>
      <c r="L293" s="39">
        <f t="shared" si="32"/>
        <v>21</v>
      </c>
      <c r="M293" s="39" t="s">
        <v>789</v>
      </c>
      <c r="N293" s="21" t="s">
        <v>359</v>
      </c>
      <c r="O293" s="21" t="s">
        <v>421</v>
      </c>
    </row>
    <row r="294" spans="2:15" x14ac:dyDescent="0.2">
      <c r="B294" s="39">
        <f t="shared" si="31"/>
        <v>4000010</v>
      </c>
      <c r="C294" s="39">
        <v>1</v>
      </c>
      <c r="D294" s="39"/>
      <c r="E294" s="39"/>
      <c r="F294" s="39"/>
      <c r="G294" s="39">
        <v>1</v>
      </c>
      <c r="H294" s="21">
        <v>4000010</v>
      </c>
      <c r="I294" s="21" t="s">
        <v>186</v>
      </c>
      <c r="J294" s="39">
        <v>13</v>
      </c>
      <c r="K294" s="46">
        <v>1400061</v>
      </c>
      <c r="L294" s="39">
        <f t="shared" si="32"/>
        <v>21</v>
      </c>
      <c r="M294" s="39" t="s">
        <v>790</v>
      </c>
      <c r="N294" s="21" t="s">
        <v>360</v>
      </c>
      <c r="O294" s="21" t="s">
        <v>422</v>
      </c>
    </row>
    <row r="295" spans="2:15" x14ac:dyDescent="0.2">
      <c r="B295" s="39">
        <f t="shared" si="31"/>
        <v>4000011</v>
      </c>
      <c r="C295" s="39">
        <v>1</v>
      </c>
      <c r="D295" s="39"/>
      <c r="E295" s="39"/>
      <c r="F295" s="39"/>
      <c r="G295" s="39">
        <v>1</v>
      </c>
      <c r="H295" s="21">
        <v>4000011</v>
      </c>
      <c r="I295" s="21" t="s">
        <v>184</v>
      </c>
      <c r="J295" s="39">
        <v>13</v>
      </c>
      <c r="K295" s="46">
        <v>1400062</v>
      </c>
      <c r="L295" s="39">
        <f t="shared" si="32"/>
        <v>5</v>
      </c>
      <c r="M295" s="39" t="s">
        <v>791</v>
      </c>
      <c r="N295" s="21" t="s">
        <v>361</v>
      </c>
      <c r="O295" s="21" t="s">
        <v>423</v>
      </c>
    </row>
    <row r="296" spans="2:15" x14ac:dyDescent="0.2">
      <c r="B296" s="39">
        <f t="shared" si="31"/>
        <v>4000012</v>
      </c>
      <c r="C296" s="39">
        <v>1</v>
      </c>
      <c r="D296" s="39"/>
      <c r="E296" s="39"/>
      <c r="F296" s="39"/>
      <c r="G296" s="39">
        <v>1</v>
      </c>
      <c r="H296" s="21">
        <v>4000012</v>
      </c>
      <c r="I296" s="21" t="s">
        <v>184</v>
      </c>
      <c r="J296" s="39">
        <v>13</v>
      </c>
      <c r="K296" s="46">
        <v>1400063</v>
      </c>
      <c r="L296" s="39">
        <f t="shared" si="32"/>
        <v>5</v>
      </c>
      <c r="M296" s="39" t="s">
        <v>653</v>
      </c>
      <c r="N296" s="21" t="s">
        <v>439</v>
      </c>
      <c r="O296" s="21" t="s">
        <v>653</v>
      </c>
    </row>
    <row r="297" spans="2:15" x14ac:dyDescent="0.2">
      <c r="B297" s="42">
        <f t="shared" si="31"/>
        <v>4000013</v>
      </c>
      <c r="C297" s="39">
        <v>1</v>
      </c>
      <c r="D297" s="39"/>
      <c r="E297" s="39"/>
      <c r="F297" s="39"/>
      <c r="G297" s="39">
        <v>1</v>
      </c>
      <c r="H297" s="36">
        <v>4000013</v>
      </c>
      <c r="I297" s="36" t="s">
        <v>184</v>
      </c>
      <c r="J297" s="42">
        <v>13</v>
      </c>
      <c r="K297" s="159">
        <v>1400064</v>
      </c>
      <c r="L297" s="42">
        <f t="shared" si="32"/>
        <v>5</v>
      </c>
      <c r="M297" s="42" t="s">
        <v>2184</v>
      </c>
      <c r="N297" s="36" t="s">
        <v>440</v>
      </c>
      <c r="O297" s="36" t="s">
        <v>654</v>
      </c>
    </row>
    <row r="298" spans="2:15" x14ac:dyDescent="0.2">
      <c r="B298" s="42">
        <f t="shared" si="31"/>
        <v>4000014</v>
      </c>
      <c r="C298" s="39">
        <v>1</v>
      </c>
      <c r="D298" s="39"/>
      <c r="E298" s="39"/>
      <c r="F298" s="39"/>
      <c r="G298" s="39">
        <v>1</v>
      </c>
      <c r="H298" s="36">
        <v>4000014</v>
      </c>
      <c r="I298" s="36" t="s">
        <v>184</v>
      </c>
      <c r="J298" s="42">
        <v>13</v>
      </c>
      <c r="K298" s="159">
        <v>1400065</v>
      </c>
      <c r="L298" s="42">
        <f t="shared" si="32"/>
        <v>5</v>
      </c>
      <c r="M298" s="42" t="s">
        <v>655</v>
      </c>
      <c r="N298" s="36" t="s">
        <v>441</v>
      </c>
      <c r="O298" s="36" t="s">
        <v>655</v>
      </c>
    </row>
    <row r="299" spans="2:15" x14ac:dyDescent="0.2">
      <c r="B299" s="42">
        <f t="shared" si="31"/>
        <v>4000015</v>
      </c>
      <c r="C299" s="39">
        <v>1</v>
      </c>
      <c r="D299" s="39"/>
      <c r="E299" s="39"/>
      <c r="F299" s="39"/>
      <c r="G299" s="39">
        <v>1</v>
      </c>
      <c r="H299" s="36">
        <v>4000015</v>
      </c>
      <c r="I299" s="36" t="s">
        <v>184</v>
      </c>
      <c r="J299" s="42">
        <v>13</v>
      </c>
      <c r="K299" s="159">
        <v>1400066</v>
      </c>
      <c r="L299" s="42">
        <f t="shared" si="32"/>
        <v>5</v>
      </c>
      <c r="M299" s="42" t="s">
        <v>656</v>
      </c>
      <c r="N299" s="36" t="s">
        <v>442</v>
      </c>
      <c r="O299" s="36" t="s">
        <v>656</v>
      </c>
    </row>
    <row r="300" spans="2:15" x14ac:dyDescent="0.2">
      <c r="B300" s="39">
        <f t="shared" si="31"/>
        <v>4000016</v>
      </c>
      <c r="C300" s="39">
        <v>1</v>
      </c>
      <c r="D300" s="39"/>
      <c r="E300" s="39"/>
      <c r="F300" s="39"/>
      <c r="G300" s="39">
        <v>1</v>
      </c>
      <c r="H300" s="21">
        <v>4000016</v>
      </c>
      <c r="I300" s="21" t="s">
        <v>184</v>
      </c>
      <c r="J300" s="39">
        <v>13</v>
      </c>
      <c r="K300" s="46">
        <v>1400067</v>
      </c>
      <c r="L300" s="39">
        <f t="shared" si="32"/>
        <v>5</v>
      </c>
      <c r="M300" s="39" t="s">
        <v>657</v>
      </c>
      <c r="N300" s="21" t="s">
        <v>443</v>
      </c>
      <c r="O300" s="21" t="s">
        <v>657</v>
      </c>
    </row>
    <row r="301" spans="2:15" x14ac:dyDescent="0.2">
      <c r="B301" s="39">
        <f t="shared" si="31"/>
        <v>4000017</v>
      </c>
      <c r="C301" s="39">
        <v>1</v>
      </c>
      <c r="D301" s="39"/>
      <c r="E301" s="39"/>
      <c r="F301" s="39"/>
      <c r="G301" s="39">
        <v>1</v>
      </c>
      <c r="H301" s="21">
        <v>4000017</v>
      </c>
      <c r="I301" s="21" t="s">
        <v>184</v>
      </c>
      <c r="J301" s="39">
        <v>13</v>
      </c>
      <c r="K301" s="46">
        <v>1400068</v>
      </c>
      <c r="L301" s="39">
        <f t="shared" si="32"/>
        <v>5</v>
      </c>
      <c r="M301" s="39" t="s">
        <v>792</v>
      </c>
      <c r="N301" s="21" t="s">
        <v>444</v>
      </c>
      <c r="O301" s="21" t="s">
        <v>658</v>
      </c>
    </row>
    <row r="302" spans="2:15" x14ac:dyDescent="0.2">
      <c r="B302" s="39">
        <f t="shared" si="31"/>
        <v>4000018</v>
      </c>
      <c r="C302" s="39">
        <v>1</v>
      </c>
      <c r="D302" s="39"/>
      <c r="E302" s="39"/>
      <c r="F302" s="39"/>
      <c r="G302" s="39">
        <v>1</v>
      </c>
      <c r="H302" s="21">
        <v>4000018</v>
      </c>
      <c r="I302" s="21" t="s">
        <v>184</v>
      </c>
      <c r="J302" s="39">
        <v>13</v>
      </c>
      <c r="K302" s="46">
        <v>1400069</v>
      </c>
      <c r="L302" s="39">
        <f t="shared" si="32"/>
        <v>5</v>
      </c>
      <c r="M302" s="39" t="s">
        <v>2185</v>
      </c>
      <c r="N302" s="21" t="s">
        <v>494</v>
      </c>
      <c r="O302" s="21" t="s">
        <v>691</v>
      </c>
    </row>
    <row r="303" spans="2:15" x14ac:dyDescent="0.2">
      <c r="B303" s="39">
        <f t="shared" si="31"/>
        <v>4000019</v>
      </c>
      <c r="C303" s="39">
        <v>1</v>
      </c>
      <c r="D303" s="39"/>
      <c r="E303" s="39"/>
      <c r="F303" s="39"/>
      <c r="G303" s="39">
        <v>1</v>
      </c>
      <c r="H303" s="21">
        <v>4000019</v>
      </c>
      <c r="I303" s="21" t="s">
        <v>184</v>
      </c>
      <c r="J303" s="39">
        <v>13</v>
      </c>
      <c r="K303" s="46">
        <v>1400070</v>
      </c>
      <c r="L303" s="39">
        <f t="shared" si="32"/>
        <v>5</v>
      </c>
      <c r="M303" s="39" t="s">
        <v>793</v>
      </c>
      <c r="N303" s="21" t="s">
        <v>495</v>
      </c>
      <c r="O303" s="21" t="s">
        <v>692</v>
      </c>
    </row>
    <row r="304" spans="2:15" x14ac:dyDescent="0.2">
      <c r="B304" s="39">
        <f t="shared" si="31"/>
        <v>4000020</v>
      </c>
      <c r="C304" s="39">
        <v>1</v>
      </c>
      <c r="D304" s="39"/>
      <c r="E304" s="39"/>
      <c r="F304" s="39"/>
      <c r="G304" s="39">
        <v>1</v>
      </c>
      <c r="H304" s="21">
        <v>4000020</v>
      </c>
      <c r="I304" s="21" t="s">
        <v>184</v>
      </c>
      <c r="J304" s="39">
        <v>13</v>
      </c>
      <c r="K304" s="46">
        <v>1400071</v>
      </c>
      <c r="L304" s="39">
        <f t="shared" si="32"/>
        <v>5</v>
      </c>
      <c r="M304" s="39" t="s">
        <v>794</v>
      </c>
      <c r="N304" s="21" t="s">
        <v>496</v>
      </c>
      <c r="O304" s="21" t="s">
        <v>693</v>
      </c>
    </row>
    <row r="305" spans="2:15" x14ac:dyDescent="0.2">
      <c r="B305" s="39">
        <f t="shared" si="31"/>
        <v>4000021</v>
      </c>
      <c r="C305" s="39">
        <v>1</v>
      </c>
      <c r="D305" s="39"/>
      <c r="E305" s="39"/>
      <c r="F305" s="39"/>
      <c r="G305" s="39">
        <v>1</v>
      </c>
      <c r="H305" s="21">
        <v>4000021</v>
      </c>
      <c r="I305" s="21" t="s">
        <v>184</v>
      </c>
      <c r="J305" s="39">
        <v>13</v>
      </c>
      <c r="K305" s="46">
        <v>1400072</v>
      </c>
      <c r="L305" s="39">
        <f t="shared" si="32"/>
        <v>5</v>
      </c>
      <c r="M305" s="39" t="s">
        <v>795</v>
      </c>
      <c r="N305" s="21" t="s">
        <v>497</v>
      </c>
      <c r="O305" s="21" t="s">
        <v>694</v>
      </c>
    </row>
    <row r="306" spans="2:15" x14ac:dyDescent="0.2">
      <c r="B306" s="39">
        <f t="shared" si="31"/>
        <v>4000022</v>
      </c>
      <c r="C306" s="39">
        <v>1</v>
      </c>
      <c r="D306" s="39"/>
      <c r="E306" s="39"/>
      <c r="F306" s="39"/>
      <c r="G306" s="39">
        <v>1</v>
      </c>
      <c r="H306" s="21">
        <v>4000022</v>
      </c>
      <c r="I306" s="21" t="s">
        <v>184</v>
      </c>
      <c r="J306" s="39">
        <v>13</v>
      </c>
      <c r="K306" s="46">
        <v>1400073</v>
      </c>
      <c r="L306" s="39">
        <f t="shared" si="32"/>
        <v>5</v>
      </c>
      <c r="M306" s="39" t="s">
        <v>796</v>
      </c>
      <c r="N306" s="21" t="s">
        <v>498</v>
      </c>
      <c r="O306" s="21" t="s">
        <v>695</v>
      </c>
    </row>
    <row r="307" spans="2:15" x14ac:dyDescent="0.2">
      <c r="B307" s="39">
        <f t="shared" si="31"/>
        <v>4000023</v>
      </c>
      <c r="C307" s="39">
        <v>1</v>
      </c>
      <c r="D307" s="39"/>
      <c r="E307" s="39"/>
      <c r="F307" s="39"/>
      <c r="G307" s="39">
        <v>1</v>
      </c>
      <c r="H307" s="21">
        <v>4000023</v>
      </c>
      <c r="I307" s="21" t="s">
        <v>184</v>
      </c>
      <c r="J307" s="39">
        <v>13</v>
      </c>
      <c r="K307" s="46">
        <v>1106007</v>
      </c>
      <c r="L307" s="39">
        <f t="shared" si="32"/>
        <v>5</v>
      </c>
      <c r="M307" s="39" t="s">
        <v>2445</v>
      </c>
      <c r="N307" s="21" t="s">
        <v>499</v>
      </c>
      <c r="O307" s="21" t="s">
        <v>696</v>
      </c>
    </row>
    <row r="308" spans="2:15" x14ac:dyDescent="0.2">
      <c r="B308" s="39">
        <f t="shared" si="31"/>
        <v>4000024</v>
      </c>
      <c r="C308" s="39">
        <v>1</v>
      </c>
      <c r="D308" s="39"/>
      <c r="E308" s="39"/>
      <c r="F308" s="39"/>
      <c r="G308" s="39">
        <v>1</v>
      </c>
      <c r="H308" s="21">
        <v>4000024</v>
      </c>
      <c r="I308" s="21" t="s">
        <v>184</v>
      </c>
      <c r="J308" s="39">
        <v>13</v>
      </c>
      <c r="K308" s="46">
        <v>1400075</v>
      </c>
      <c r="L308" s="39">
        <f t="shared" si="32"/>
        <v>5</v>
      </c>
      <c r="M308" s="39" t="s">
        <v>797</v>
      </c>
      <c r="N308" s="21" t="s">
        <v>500</v>
      </c>
      <c r="O308" s="21" t="s">
        <v>697</v>
      </c>
    </row>
    <row r="309" spans="2:15" x14ac:dyDescent="0.2">
      <c r="B309" s="39">
        <f t="shared" si="31"/>
        <v>4000030</v>
      </c>
      <c r="C309" s="39">
        <v>1</v>
      </c>
      <c r="D309" s="39"/>
      <c r="E309" s="39"/>
      <c r="F309" s="39"/>
      <c r="G309" s="39">
        <v>1</v>
      </c>
      <c r="H309" s="39">
        <v>4000030</v>
      </c>
      <c r="I309" s="21" t="s">
        <v>187</v>
      </c>
      <c r="J309" s="39">
        <v>21</v>
      </c>
      <c r="K309" s="46">
        <v>1074501</v>
      </c>
      <c r="L309" s="39">
        <f t="shared" si="32"/>
        <v>21</v>
      </c>
      <c r="M309" s="39" t="s">
        <v>2186</v>
      </c>
      <c r="N309" s="39" t="s">
        <v>1510</v>
      </c>
      <c r="O309" s="21" t="s">
        <v>1511</v>
      </c>
    </row>
    <row r="310" spans="2:15" x14ac:dyDescent="0.2">
      <c r="B310" s="39">
        <f t="shared" si="31"/>
        <v>4000031</v>
      </c>
      <c r="C310" s="39">
        <v>1</v>
      </c>
      <c r="D310" s="39"/>
      <c r="E310" s="39"/>
      <c r="F310" s="39"/>
      <c r="G310" s="39">
        <v>1</v>
      </c>
      <c r="H310" s="39">
        <v>4000031</v>
      </c>
      <c r="I310" s="21" t="s">
        <v>187</v>
      </c>
      <c r="J310" s="39">
        <v>21</v>
      </c>
      <c r="K310" s="46">
        <v>1074505</v>
      </c>
      <c r="L310" s="39">
        <f t="shared" si="32"/>
        <v>21</v>
      </c>
      <c r="M310" s="39" t="s">
        <v>2187</v>
      </c>
      <c r="N310" s="39" t="s">
        <v>1532</v>
      </c>
      <c r="O310" s="21" t="s">
        <v>1533</v>
      </c>
    </row>
    <row r="311" spans="2:15" x14ac:dyDescent="0.2">
      <c r="B311" s="39">
        <f t="shared" ref="B311" si="33">H311</f>
        <v>4000033</v>
      </c>
      <c r="C311" s="39">
        <v>1</v>
      </c>
      <c r="D311" s="39"/>
      <c r="E311" s="39"/>
      <c r="F311" s="39"/>
      <c r="G311" s="39">
        <v>1</v>
      </c>
      <c r="H311" s="39">
        <v>4000033</v>
      </c>
      <c r="I311" s="21" t="s">
        <v>184</v>
      </c>
      <c r="J311" s="39">
        <v>13</v>
      </c>
      <c r="K311" s="46">
        <v>1400601</v>
      </c>
      <c r="L311" s="39">
        <f t="shared" ref="L311" si="34">VLOOKUP(I311,error,2,FALSE)</f>
        <v>5</v>
      </c>
      <c r="M311" s="39" t="s">
        <v>3359</v>
      </c>
      <c r="N311" s="39"/>
      <c r="O311" s="21" t="s">
        <v>2552</v>
      </c>
    </row>
    <row r="312" spans="2:15" x14ac:dyDescent="0.2">
      <c r="B312" s="39">
        <f t="shared" ref="B312" si="35">H312</f>
        <v>4000037</v>
      </c>
      <c r="C312" s="39">
        <v>0</v>
      </c>
      <c r="D312" s="39"/>
      <c r="E312" s="39"/>
      <c r="F312" s="39"/>
      <c r="G312" s="39">
        <v>1</v>
      </c>
      <c r="H312" s="39">
        <v>4000037</v>
      </c>
      <c r="I312" s="21" t="s">
        <v>187</v>
      </c>
      <c r="J312" s="39">
        <v>21</v>
      </c>
      <c r="K312" s="46">
        <v>1400618</v>
      </c>
      <c r="L312" s="39">
        <f t="shared" si="32"/>
        <v>21</v>
      </c>
      <c r="M312" s="39" t="s">
        <v>3057</v>
      </c>
      <c r="N312" s="39" t="s">
        <v>3055</v>
      </c>
      <c r="O312" s="21" t="s">
        <v>3056</v>
      </c>
    </row>
    <row r="313" spans="2:15" x14ac:dyDescent="0.2">
      <c r="B313" s="39">
        <f t="shared" si="31"/>
        <v>5000000</v>
      </c>
      <c r="C313" s="39">
        <v>1</v>
      </c>
      <c r="D313" s="39"/>
      <c r="E313" s="39"/>
      <c r="F313" s="39"/>
      <c r="G313" s="39">
        <v>1</v>
      </c>
      <c r="H313" s="21">
        <v>5000000</v>
      </c>
      <c r="I313" s="21" t="s">
        <v>184</v>
      </c>
      <c r="J313" s="39">
        <v>13</v>
      </c>
      <c r="K313" s="46">
        <v>1400076</v>
      </c>
      <c r="L313" s="39">
        <f t="shared" si="32"/>
        <v>5</v>
      </c>
      <c r="M313" s="39" t="s">
        <v>798</v>
      </c>
      <c r="N313" s="21" t="s">
        <v>501</v>
      </c>
      <c r="O313" s="21" t="s">
        <v>698</v>
      </c>
    </row>
    <row r="314" spans="2:15" ht="16.5" customHeight="1" x14ac:dyDescent="0.3">
      <c r="B314" s="39">
        <f t="shared" si="31"/>
        <v>5000001</v>
      </c>
      <c r="C314" s="39">
        <v>1</v>
      </c>
      <c r="D314" s="39"/>
      <c r="E314" s="39"/>
      <c r="F314" s="39"/>
      <c r="G314" s="39">
        <v>1</v>
      </c>
      <c r="H314" s="39">
        <v>5000001</v>
      </c>
      <c r="I314" s="39" t="s">
        <v>1002</v>
      </c>
      <c r="J314" s="39">
        <v>21</v>
      </c>
      <c r="K314" s="46">
        <v>1400366</v>
      </c>
      <c r="L314" s="39">
        <f t="shared" si="32"/>
        <v>21</v>
      </c>
      <c r="M314" s="39" t="s">
        <v>2188</v>
      </c>
      <c r="N314" s="39" t="s">
        <v>982</v>
      </c>
      <c r="O314" s="39" t="s">
        <v>981</v>
      </c>
    </row>
    <row r="315" spans="2:15" ht="16.5" customHeight="1" x14ac:dyDescent="0.3">
      <c r="B315" s="39">
        <f t="shared" si="31"/>
        <v>5000002</v>
      </c>
      <c r="C315" s="39">
        <v>1</v>
      </c>
      <c r="D315" s="39"/>
      <c r="E315" s="39"/>
      <c r="F315" s="39"/>
      <c r="G315" s="39">
        <v>1</v>
      </c>
      <c r="H315" s="39">
        <v>5000002</v>
      </c>
      <c r="I315" s="39" t="s">
        <v>1002</v>
      </c>
      <c r="J315" s="39">
        <v>21</v>
      </c>
      <c r="K315" s="46">
        <v>1400367</v>
      </c>
      <c r="L315" s="39">
        <f t="shared" si="32"/>
        <v>21</v>
      </c>
      <c r="M315" s="39" t="s">
        <v>2189</v>
      </c>
      <c r="N315" s="39" t="s">
        <v>983</v>
      </c>
      <c r="O315" s="39" t="s">
        <v>993</v>
      </c>
    </row>
    <row r="316" spans="2:15" ht="16.5" customHeight="1" x14ac:dyDescent="0.3">
      <c r="B316" s="39">
        <f t="shared" si="31"/>
        <v>5000003</v>
      </c>
      <c r="C316" s="39">
        <v>1</v>
      </c>
      <c r="D316" s="39"/>
      <c r="E316" s="39"/>
      <c r="F316" s="39"/>
      <c r="G316" s="39">
        <v>1</v>
      </c>
      <c r="H316" s="39">
        <v>5000003</v>
      </c>
      <c r="I316" s="39" t="s">
        <v>1002</v>
      </c>
      <c r="J316" s="39">
        <v>21</v>
      </c>
      <c r="K316" s="46">
        <v>1034165</v>
      </c>
      <c r="L316" s="39">
        <f t="shared" si="32"/>
        <v>21</v>
      </c>
      <c r="M316" s="39" t="s">
        <v>2741</v>
      </c>
      <c r="N316" s="39" t="s">
        <v>984</v>
      </c>
      <c r="O316" s="39" t="s">
        <v>994</v>
      </c>
    </row>
    <row r="317" spans="2:15" ht="16.5" customHeight="1" x14ac:dyDescent="0.3">
      <c r="B317" s="39">
        <f t="shared" si="31"/>
        <v>5000004</v>
      </c>
      <c r="C317" s="39">
        <v>1</v>
      </c>
      <c r="D317" s="39"/>
      <c r="E317" s="39"/>
      <c r="F317" s="39"/>
      <c r="G317" s="39">
        <v>1</v>
      </c>
      <c r="H317" s="39">
        <v>5000004</v>
      </c>
      <c r="I317" s="39" t="s">
        <v>1002</v>
      </c>
      <c r="J317" s="39">
        <v>21</v>
      </c>
      <c r="K317" s="46">
        <v>1400369</v>
      </c>
      <c r="L317" s="39">
        <f t="shared" si="32"/>
        <v>21</v>
      </c>
      <c r="M317" s="39" t="s">
        <v>2190</v>
      </c>
      <c r="N317" s="39" t="s">
        <v>985</v>
      </c>
      <c r="O317" s="39" t="s">
        <v>995</v>
      </c>
    </row>
    <row r="318" spans="2:15" ht="16.5" customHeight="1" x14ac:dyDescent="0.3">
      <c r="B318" s="39">
        <f t="shared" si="31"/>
        <v>5000005</v>
      </c>
      <c r="C318" s="39">
        <v>1</v>
      </c>
      <c r="D318" s="39"/>
      <c r="E318" s="39"/>
      <c r="F318" s="39"/>
      <c r="G318" s="39">
        <v>1</v>
      </c>
      <c r="H318" s="39">
        <v>5000005</v>
      </c>
      <c r="I318" s="39" t="s">
        <v>1002</v>
      </c>
      <c r="J318" s="39">
        <v>21</v>
      </c>
      <c r="K318" s="46">
        <v>1400370</v>
      </c>
      <c r="L318" s="39">
        <f t="shared" ref="L318:L340" si="36">VLOOKUP(I318,error,2,FALSE)</f>
        <v>21</v>
      </c>
      <c r="M318" s="39" t="s">
        <v>2191</v>
      </c>
      <c r="N318" s="39" t="s">
        <v>986</v>
      </c>
      <c r="O318" s="39" t="s">
        <v>996</v>
      </c>
    </row>
    <row r="319" spans="2:15" ht="16.5" customHeight="1" x14ac:dyDescent="0.3">
      <c r="B319" s="39">
        <f t="shared" si="31"/>
        <v>5000006</v>
      </c>
      <c r="C319" s="39">
        <v>1</v>
      </c>
      <c r="D319" s="39"/>
      <c r="E319" s="39"/>
      <c r="F319" s="39"/>
      <c r="G319" s="39">
        <v>1</v>
      </c>
      <c r="H319" s="39">
        <v>5000006</v>
      </c>
      <c r="I319" s="39" t="s">
        <v>187</v>
      </c>
      <c r="J319" s="39">
        <v>21</v>
      </c>
      <c r="K319" s="46">
        <v>1033313</v>
      </c>
      <c r="L319" s="39">
        <f t="shared" si="36"/>
        <v>21</v>
      </c>
      <c r="M319" s="39" t="s">
        <v>1715</v>
      </c>
      <c r="N319" s="39" t="s">
        <v>1720</v>
      </c>
      <c r="O319" s="39" t="s">
        <v>1725</v>
      </c>
    </row>
    <row r="320" spans="2:15" ht="16.5" customHeight="1" x14ac:dyDescent="0.3">
      <c r="B320" s="39">
        <f t="shared" si="31"/>
        <v>5000007</v>
      </c>
      <c r="C320" s="39">
        <v>1</v>
      </c>
      <c r="D320" s="39"/>
      <c r="E320" s="39"/>
      <c r="F320" s="39"/>
      <c r="G320" s="39">
        <v>1</v>
      </c>
      <c r="H320" s="39">
        <v>5000007</v>
      </c>
      <c r="I320" s="39" t="s">
        <v>187</v>
      </c>
      <c r="J320" s="39">
        <v>21</v>
      </c>
      <c r="K320" s="46">
        <v>1033314</v>
      </c>
      <c r="L320" s="39">
        <f t="shared" si="36"/>
        <v>21</v>
      </c>
      <c r="M320" s="39" t="s">
        <v>1716</v>
      </c>
      <c r="N320" s="39" t="s">
        <v>1721</v>
      </c>
      <c r="O320" s="39" t="s">
        <v>1726</v>
      </c>
    </row>
    <row r="321" spans="2:21" ht="16.5" customHeight="1" x14ac:dyDescent="0.3">
      <c r="B321" s="39">
        <f t="shared" si="31"/>
        <v>5000008</v>
      </c>
      <c r="C321" s="39">
        <v>1</v>
      </c>
      <c r="D321" s="39"/>
      <c r="E321" s="39"/>
      <c r="F321" s="39"/>
      <c r="G321" s="39">
        <v>1</v>
      </c>
      <c r="H321" s="39">
        <v>5000008</v>
      </c>
      <c r="I321" s="39" t="s">
        <v>187</v>
      </c>
      <c r="J321" s="39">
        <v>21</v>
      </c>
      <c r="K321" s="46">
        <v>1033315</v>
      </c>
      <c r="L321" s="39">
        <f t="shared" si="36"/>
        <v>21</v>
      </c>
      <c r="M321" s="39" t="s">
        <v>1717</v>
      </c>
      <c r="N321" s="39" t="s">
        <v>1722</v>
      </c>
      <c r="O321" s="39" t="s">
        <v>1727</v>
      </c>
    </row>
    <row r="322" spans="2:21" ht="16.5" customHeight="1" x14ac:dyDescent="0.3">
      <c r="B322" s="39">
        <f t="shared" si="31"/>
        <v>5000009</v>
      </c>
      <c r="C322" s="39">
        <v>1</v>
      </c>
      <c r="D322" s="39"/>
      <c r="E322" s="39"/>
      <c r="F322" s="39"/>
      <c r="G322" s="39">
        <v>1</v>
      </c>
      <c r="H322" s="39">
        <v>5000009</v>
      </c>
      <c r="I322" s="39" t="s">
        <v>187</v>
      </c>
      <c r="J322" s="39">
        <v>21</v>
      </c>
      <c r="K322" s="46">
        <v>1033316</v>
      </c>
      <c r="L322" s="39">
        <f t="shared" si="36"/>
        <v>21</v>
      </c>
      <c r="M322" s="39" t="s">
        <v>1718</v>
      </c>
      <c r="N322" s="39" t="s">
        <v>1723</v>
      </c>
      <c r="O322" s="39" t="s">
        <v>1728</v>
      </c>
    </row>
    <row r="323" spans="2:21" ht="16.5" customHeight="1" x14ac:dyDescent="0.3">
      <c r="B323" s="39">
        <f t="shared" si="31"/>
        <v>5000010</v>
      </c>
      <c r="C323" s="39">
        <v>1</v>
      </c>
      <c r="D323" s="39"/>
      <c r="E323" s="39"/>
      <c r="F323" s="39"/>
      <c r="G323" s="39">
        <v>1</v>
      </c>
      <c r="H323" s="39">
        <v>5000010</v>
      </c>
      <c r="I323" s="39" t="s">
        <v>187</v>
      </c>
      <c r="J323" s="39">
        <v>21</v>
      </c>
      <c r="K323" s="46">
        <v>1033317</v>
      </c>
      <c r="L323" s="39">
        <f t="shared" si="36"/>
        <v>21</v>
      </c>
      <c r="M323" s="39" t="s">
        <v>1719</v>
      </c>
      <c r="N323" s="39" t="s">
        <v>1724</v>
      </c>
      <c r="O323" s="39" t="s">
        <v>1729</v>
      </c>
    </row>
    <row r="324" spans="2:21" ht="16.5" customHeight="1" x14ac:dyDescent="0.3">
      <c r="B324" s="39">
        <f t="shared" si="31"/>
        <v>5000015</v>
      </c>
      <c r="C324" s="39">
        <v>1</v>
      </c>
      <c r="D324" s="39">
        <v>0</v>
      </c>
      <c r="E324" s="39">
        <v>0</v>
      </c>
      <c r="F324" s="39">
        <v>0</v>
      </c>
      <c r="G324" s="39">
        <v>1</v>
      </c>
      <c r="H324" s="39">
        <v>5000015</v>
      </c>
      <c r="I324" s="39" t="s">
        <v>187</v>
      </c>
      <c r="J324" s="39">
        <v>21</v>
      </c>
      <c r="K324" s="46">
        <v>1033710</v>
      </c>
      <c r="L324" s="39">
        <v>21</v>
      </c>
      <c r="M324" s="39" t="s">
        <v>3567</v>
      </c>
      <c r="N324" s="39" t="s">
        <v>3568</v>
      </c>
      <c r="O324" s="39" t="s">
        <v>3569</v>
      </c>
      <c r="P324"/>
      <c r="Q324"/>
      <c r="R324"/>
      <c r="S324"/>
      <c r="T324"/>
      <c r="U324"/>
    </row>
    <row r="325" spans="2:21" ht="16.5" customHeight="1" x14ac:dyDescent="0.3">
      <c r="B325" s="39">
        <f t="shared" si="31"/>
        <v>5000016</v>
      </c>
      <c r="C325" s="39">
        <v>1</v>
      </c>
      <c r="D325" s="39">
        <v>0</v>
      </c>
      <c r="E325" s="39">
        <v>0</v>
      </c>
      <c r="F325" s="39">
        <v>0</v>
      </c>
      <c r="G325" s="39">
        <v>1</v>
      </c>
      <c r="H325" s="39">
        <v>5000016</v>
      </c>
      <c r="I325" s="39" t="s">
        <v>187</v>
      </c>
      <c r="J325" s="39">
        <v>21</v>
      </c>
      <c r="K325" s="46">
        <v>1033709</v>
      </c>
      <c r="L325" s="39">
        <v>21</v>
      </c>
      <c r="M325" s="39" t="s">
        <v>3570</v>
      </c>
      <c r="N325" s="39" t="s">
        <v>3571</v>
      </c>
      <c r="O325" s="39" t="s">
        <v>3572</v>
      </c>
      <c r="P325"/>
      <c r="Q325"/>
      <c r="R325"/>
      <c r="S325"/>
      <c r="T325"/>
      <c r="U325"/>
    </row>
    <row r="326" spans="2:21" ht="16.5" customHeight="1" x14ac:dyDescent="0.3">
      <c r="B326" s="39">
        <f t="shared" si="31"/>
        <v>5000017</v>
      </c>
      <c r="C326" s="39">
        <v>1</v>
      </c>
      <c r="D326" s="39">
        <v>0</v>
      </c>
      <c r="E326" s="39">
        <v>0</v>
      </c>
      <c r="F326" s="39">
        <v>0</v>
      </c>
      <c r="G326" s="39">
        <v>1</v>
      </c>
      <c r="H326" s="39">
        <v>5000017</v>
      </c>
      <c r="I326" s="39" t="s">
        <v>187</v>
      </c>
      <c r="J326" s="39">
        <v>21</v>
      </c>
      <c r="K326" s="46">
        <v>2100210</v>
      </c>
      <c r="L326" s="39">
        <v>21</v>
      </c>
      <c r="M326" s="39" t="s">
        <v>3452</v>
      </c>
      <c r="N326" s="39" t="s">
        <v>3573</v>
      </c>
      <c r="O326" s="39" t="s">
        <v>3574</v>
      </c>
      <c r="P326"/>
      <c r="Q326"/>
      <c r="R326"/>
      <c r="S326"/>
      <c r="T326"/>
      <c r="U326"/>
    </row>
    <row r="327" spans="2:21" x14ac:dyDescent="0.2">
      <c r="B327" s="39">
        <f t="shared" si="31"/>
        <v>7000000</v>
      </c>
      <c r="C327" s="39">
        <v>1</v>
      </c>
      <c r="D327" s="39"/>
      <c r="E327" s="39"/>
      <c r="F327" s="39"/>
      <c r="G327" s="39">
        <v>1</v>
      </c>
      <c r="H327" s="21">
        <v>7000000</v>
      </c>
      <c r="I327" s="21" t="s">
        <v>184</v>
      </c>
      <c r="J327" s="39">
        <v>13</v>
      </c>
      <c r="K327" s="46">
        <v>1400077</v>
      </c>
      <c r="L327" s="39">
        <f t="shared" si="36"/>
        <v>5</v>
      </c>
      <c r="M327" s="39" t="s">
        <v>799</v>
      </c>
      <c r="N327" s="21" t="s">
        <v>502</v>
      </c>
      <c r="O327" s="21" t="s">
        <v>217</v>
      </c>
    </row>
    <row r="328" spans="2:21" x14ac:dyDescent="0.2">
      <c r="B328" s="39">
        <f t="shared" si="31"/>
        <v>7000001</v>
      </c>
      <c r="C328" s="39">
        <v>1</v>
      </c>
      <c r="D328" s="39"/>
      <c r="E328" s="39"/>
      <c r="F328" s="39"/>
      <c r="G328" s="39">
        <v>1</v>
      </c>
      <c r="H328" s="21">
        <v>7000001</v>
      </c>
      <c r="I328" s="21" t="s">
        <v>186</v>
      </c>
      <c r="J328" s="39">
        <v>21</v>
      </c>
      <c r="K328" s="46">
        <v>1027300</v>
      </c>
      <c r="L328" s="39">
        <f t="shared" si="36"/>
        <v>21</v>
      </c>
      <c r="M328" s="55" t="s">
        <v>800</v>
      </c>
      <c r="N328" s="21" t="s">
        <v>55</v>
      </c>
      <c r="O328" s="21" t="s">
        <v>218</v>
      </c>
    </row>
    <row r="329" spans="2:21" x14ac:dyDescent="0.2">
      <c r="B329" s="39">
        <f t="shared" si="31"/>
        <v>7000002</v>
      </c>
      <c r="C329" s="39">
        <v>1</v>
      </c>
      <c r="D329" s="39"/>
      <c r="E329" s="39"/>
      <c r="F329" s="39"/>
      <c r="G329" s="39">
        <v>1</v>
      </c>
      <c r="H329" s="21">
        <v>7000002</v>
      </c>
      <c r="I329" s="21" t="s">
        <v>186</v>
      </c>
      <c r="J329" s="39">
        <v>21</v>
      </c>
      <c r="K329" s="46">
        <v>1027301</v>
      </c>
      <c r="L329" s="39">
        <f t="shared" si="36"/>
        <v>21</v>
      </c>
      <c r="M329" s="55" t="s">
        <v>801</v>
      </c>
      <c r="N329" s="21" t="s">
        <v>56</v>
      </c>
      <c r="O329" s="21" t="s">
        <v>219</v>
      </c>
    </row>
    <row r="330" spans="2:21" x14ac:dyDescent="0.2">
      <c r="B330" s="39">
        <f t="shared" si="31"/>
        <v>7000004</v>
      </c>
      <c r="C330" s="39">
        <v>1</v>
      </c>
      <c r="D330" s="39"/>
      <c r="E330" s="39"/>
      <c r="F330" s="39"/>
      <c r="G330" s="39">
        <v>1</v>
      </c>
      <c r="H330" s="21">
        <v>7000004</v>
      </c>
      <c r="I330" s="21" t="s">
        <v>186</v>
      </c>
      <c r="J330" s="39">
        <v>21</v>
      </c>
      <c r="K330" s="46">
        <v>1027302</v>
      </c>
      <c r="L330" s="39">
        <f t="shared" si="36"/>
        <v>21</v>
      </c>
      <c r="M330" s="55" t="s">
        <v>2192</v>
      </c>
      <c r="N330" s="160" t="s">
        <v>1762</v>
      </c>
      <c r="O330" s="21"/>
    </row>
    <row r="331" spans="2:21" x14ac:dyDescent="0.2">
      <c r="B331" s="39">
        <f t="shared" si="31"/>
        <v>7000005</v>
      </c>
      <c r="C331" s="39">
        <v>1</v>
      </c>
      <c r="D331" s="39"/>
      <c r="E331" s="39"/>
      <c r="F331" s="39"/>
      <c r="G331" s="39">
        <v>1</v>
      </c>
      <c r="H331" s="21">
        <v>7000005</v>
      </c>
      <c r="I331" s="21" t="s">
        <v>186</v>
      </c>
      <c r="J331" s="39">
        <v>21</v>
      </c>
      <c r="K331" s="46">
        <v>1027303</v>
      </c>
      <c r="L331" s="39">
        <f t="shared" si="36"/>
        <v>21</v>
      </c>
      <c r="M331" s="55" t="s">
        <v>2193</v>
      </c>
      <c r="N331" s="160" t="s">
        <v>1763</v>
      </c>
      <c r="O331" s="21"/>
    </row>
    <row r="332" spans="2:21" x14ac:dyDescent="0.2">
      <c r="B332" s="39">
        <f t="shared" si="31"/>
        <v>7000006</v>
      </c>
      <c r="C332" s="39">
        <v>1</v>
      </c>
      <c r="D332" s="39"/>
      <c r="E332" s="39"/>
      <c r="F332" s="39"/>
      <c r="G332" s="39">
        <v>1</v>
      </c>
      <c r="H332" s="21">
        <v>7000006</v>
      </c>
      <c r="I332" s="21" t="s">
        <v>186</v>
      </c>
      <c r="J332" s="39">
        <v>21</v>
      </c>
      <c r="K332" s="46">
        <v>2300046</v>
      </c>
      <c r="L332" s="39">
        <f t="shared" si="36"/>
        <v>21</v>
      </c>
      <c r="M332" s="55" t="s">
        <v>2679</v>
      </c>
      <c r="N332" s="160" t="s">
        <v>2680</v>
      </c>
      <c r="O332" s="21" t="s">
        <v>2681</v>
      </c>
    </row>
    <row r="333" spans="2:21" x14ac:dyDescent="0.2">
      <c r="B333" s="39">
        <f t="shared" si="31"/>
        <v>8000000</v>
      </c>
      <c r="C333" s="39">
        <v>1</v>
      </c>
      <c r="D333" s="39"/>
      <c r="E333" s="39"/>
      <c r="F333" s="39"/>
      <c r="G333" s="39">
        <v>1</v>
      </c>
      <c r="H333" s="21">
        <v>8000000</v>
      </c>
      <c r="I333" s="21" t="s">
        <v>186</v>
      </c>
      <c r="J333" s="39">
        <v>13</v>
      </c>
      <c r="K333" s="46">
        <v>1400080</v>
      </c>
      <c r="L333" s="39">
        <f t="shared" si="36"/>
        <v>21</v>
      </c>
      <c r="M333" s="39" t="s">
        <v>802</v>
      </c>
      <c r="N333" s="21" t="s">
        <v>57</v>
      </c>
      <c r="O333" s="21" t="s">
        <v>220</v>
      </c>
    </row>
    <row r="334" spans="2:21" x14ac:dyDescent="0.2">
      <c r="B334" s="39">
        <f t="shared" si="31"/>
        <v>8000001</v>
      </c>
      <c r="C334" s="39">
        <v>1</v>
      </c>
      <c r="D334" s="39"/>
      <c r="E334" s="39"/>
      <c r="F334" s="39"/>
      <c r="G334" s="39">
        <v>1</v>
      </c>
      <c r="H334" s="21">
        <v>8000001</v>
      </c>
      <c r="I334" s="21" t="s">
        <v>186</v>
      </c>
      <c r="J334" s="39">
        <v>13</v>
      </c>
      <c r="K334" s="46">
        <v>1400081</v>
      </c>
      <c r="L334" s="39">
        <f t="shared" si="36"/>
        <v>21</v>
      </c>
      <c r="M334" s="39" t="s">
        <v>803</v>
      </c>
      <c r="N334" s="21" t="s">
        <v>58</v>
      </c>
      <c r="O334" s="21" t="s">
        <v>221</v>
      </c>
    </row>
    <row r="335" spans="2:21" x14ac:dyDescent="0.2">
      <c r="B335" s="39">
        <f t="shared" si="31"/>
        <v>8000002</v>
      </c>
      <c r="C335" s="39">
        <v>1</v>
      </c>
      <c r="D335" s="39"/>
      <c r="E335" s="39"/>
      <c r="F335" s="39"/>
      <c r="G335" s="39">
        <v>1</v>
      </c>
      <c r="H335" s="21">
        <v>8000002</v>
      </c>
      <c r="I335" s="21" t="s">
        <v>186</v>
      </c>
      <c r="J335" s="39">
        <v>13</v>
      </c>
      <c r="K335" s="46">
        <v>1400082</v>
      </c>
      <c r="L335" s="39">
        <f t="shared" si="36"/>
        <v>21</v>
      </c>
      <c r="M335" s="39" t="s">
        <v>804</v>
      </c>
      <c r="N335" s="21" t="s">
        <v>59</v>
      </c>
      <c r="O335" s="21" t="s">
        <v>222</v>
      </c>
    </row>
    <row r="336" spans="2:21" x14ac:dyDescent="0.2">
      <c r="B336" s="39">
        <f t="shared" si="31"/>
        <v>8000004</v>
      </c>
      <c r="C336" s="39">
        <v>1</v>
      </c>
      <c r="D336" s="39"/>
      <c r="E336" s="39"/>
      <c r="F336" s="39"/>
      <c r="G336" s="39">
        <v>1</v>
      </c>
      <c r="H336" s="21">
        <v>8000004</v>
      </c>
      <c r="I336" s="21" t="s">
        <v>188</v>
      </c>
      <c r="J336" s="39">
        <v>31</v>
      </c>
      <c r="K336" s="46">
        <v>1400083</v>
      </c>
      <c r="L336" s="39">
        <f t="shared" si="36"/>
        <v>31</v>
      </c>
      <c r="M336" s="39" t="s">
        <v>750</v>
      </c>
      <c r="N336" s="21" t="s">
        <v>61</v>
      </c>
      <c r="O336" s="21" t="s">
        <v>224</v>
      </c>
    </row>
    <row r="337" spans="2:15" x14ac:dyDescent="0.2">
      <c r="B337" s="39">
        <f t="shared" si="31"/>
        <v>8000005</v>
      </c>
      <c r="C337" s="39">
        <v>1</v>
      </c>
      <c r="D337" s="39"/>
      <c r="E337" s="39"/>
      <c r="F337" s="39"/>
      <c r="G337" s="39">
        <v>1</v>
      </c>
      <c r="H337" s="21">
        <v>8000005</v>
      </c>
      <c r="I337" s="21" t="s">
        <v>188</v>
      </c>
      <c r="J337" s="39">
        <v>31</v>
      </c>
      <c r="K337" s="46">
        <v>1400084</v>
      </c>
      <c r="L337" s="39">
        <f t="shared" si="36"/>
        <v>31</v>
      </c>
      <c r="M337" s="39" t="s">
        <v>750</v>
      </c>
      <c r="N337" s="21" t="s">
        <v>62</v>
      </c>
      <c r="O337" s="21" t="s">
        <v>225</v>
      </c>
    </row>
    <row r="338" spans="2:15" x14ac:dyDescent="0.2">
      <c r="B338" s="39">
        <f t="shared" si="31"/>
        <v>8000006</v>
      </c>
      <c r="C338" s="39">
        <v>1</v>
      </c>
      <c r="D338" s="39"/>
      <c r="E338" s="39"/>
      <c r="F338" s="39"/>
      <c r="G338" s="39">
        <v>1</v>
      </c>
      <c r="H338" s="21">
        <v>8000006</v>
      </c>
      <c r="I338" s="21" t="s">
        <v>186</v>
      </c>
      <c r="J338" s="39">
        <v>13</v>
      </c>
      <c r="K338" s="46">
        <v>1400085</v>
      </c>
      <c r="L338" s="39">
        <f t="shared" si="36"/>
        <v>21</v>
      </c>
      <c r="M338" s="39" t="s">
        <v>805</v>
      </c>
      <c r="N338" s="21" t="s">
        <v>63</v>
      </c>
      <c r="O338" s="21" t="s">
        <v>226</v>
      </c>
    </row>
    <row r="339" spans="2:15" x14ac:dyDescent="0.2">
      <c r="B339" s="39">
        <f t="shared" si="31"/>
        <v>8000007</v>
      </c>
      <c r="C339" s="39">
        <v>1</v>
      </c>
      <c r="D339" s="39"/>
      <c r="E339" s="39"/>
      <c r="F339" s="39"/>
      <c r="G339" s="39">
        <v>1</v>
      </c>
      <c r="H339" s="21">
        <v>8000007</v>
      </c>
      <c r="I339" s="21" t="s">
        <v>188</v>
      </c>
      <c r="J339" s="39">
        <v>31</v>
      </c>
      <c r="K339" s="46">
        <v>1400086</v>
      </c>
      <c r="L339" s="39">
        <f t="shared" si="36"/>
        <v>31</v>
      </c>
      <c r="M339" s="39" t="s">
        <v>806</v>
      </c>
      <c r="N339" s="21" t="s">
        <v>64</v>
      </c>
      <c r="O339" s="21" t="s">
        <v>227</v>
      </c>
    </row>
    <row r="340" spans="2:15" x14ac:dyDescent="0.2">
      <c r="B340" s="39">
        <f t="shared" si="31"/>
        <v>8000008</v>
      </c>
      <c r="C340" s="39">
        <v>1</v>
      </c>
      <c r="D340" s="39"/>
      <c r="E340" s="39"/>
      <c r="F340" s="39"/>
      <c r="G340" s="39">
        <v>1</v>
      </c>
      <c r="H340" s="21">
        <v>8000008</v>
      </c>
      <c r="I340" s="21" t="s">
        <v>188</v>
      </c>
      <c r="J340" s="39">
        <v>31</v>
      </c>
      <c r="K340" s="46">
        <v>1400087</v>
      </c>
      <c r="L340" s="39">
        <f t="shared" si="36"/>
        <v>31</v>
      </c>
      <c r="M340" s="39" t="s">
        <v>807</v>
      </c>
      <c r="N340" s="21" t="s">
        <v>65</v>
      </c>
      <c r="O340" s="21" t="s">
        <v>228</v>
      </c>
    </row>
    <row r="341" spans="2:15" x14ac:dyDescent="0.2">
      <c r="B341" s="39">
        <f t="shared" si="31"/>
        <v>8000009</v>
      </c>
      <c r="C341" s="39">
        <v>1</v>
      </c>
      <c r="D341" s="39"/>
      <c r="E341" s="39"/>
      <c r="F341" s="39"/>
      <c r="G341" s="39">
        <v>1</v>
      </c>
      <c r="H341" s="21">
        <v>8000009</v>
      </c>
      <c r="I341" s="21" t="s">
        <v>186</v>
      </c>
      <c r="J341" s="39">
        <v>21</v>
      </c>
      <c r="K341" s="46">
        <v>1400567</v>
      </c>
      <c r="L341" s="39">
        <v>21</v>
      </c>
      <c r="M341" s="39" t="s">
        <v>1801</v>
      </c>
      <c r="N341" s="21" t="s">
        <v>1804</v>
      </c>
      <c r="O341" s="21"/>
    </row>
    <row r="342" spans="2:15" x14ac:dyDescent="0.2">
      <c r="B342" s="39">
        <f t="shared" si="31"/>
        <v>8000010</v>
      </c>
      <c r="C342" s="39">
        <v>1</v>
      </c>
      <c r="D342" s="39"/>
      <c r="E342" s="39"/>
      <c r="F342" s="39"/>
      <c r="G342" s="39">
        <v>1</v>
      </c>
      <c r="H342" s="21">
        <v>8000010</v>
      </c>
      <c r="I342" s="21" t="s">
        <v>186</v>
      </c>
      <c r="J342" s="39">
        <v>21</v>
      </c>
      <c r="K342" s="46">
        <v>1400568</v>
      </c>
      <c r="L342" s="39">
        <v>21</v>
      </c>
      <c r="M342" s="39" t="s">
        <v>1802</v>
      </c>
      <c r="N342" s="21" t="s">
        <v>1805</v>
      </c>
      <c r="O342" s="21"/>
    </row>
    <row r="343" spans="2:15" x14ac:dyDescent="0.2">
      <c r="B343" s="39">
        <f t="shared" si="31"/>
        <v>8000011</v>
      </c>
      <c r="C343" s="39">
        <v>1</v>
      </c>
      <c r="D343" s="39"/>
      <c r="E343" s="39"/>
      <c r="F343" s="39"/>
      <c r="G343" s="39">
        <v>1</v>
      </c>
      <c r="H343" s="21">
        <v>8000011</v>
      </c>
      <c r="I343" s="21" t="s">
        <v>186</v>
      </c>
      <c r="J343" s="39">
        <v>21</v>
      </c>
      <c r="K343" s="46">
        <v>1400569</v>
      </c>
      <c r="L343" s="39">
        <v>21</v>
      </c>
      <c r="M343" s="39" t="s">
        <v>1803</v>
      </c>
      <c r="N343" s="21" t="s">
        <v>1806</v>
      </c>
      <c r="O343" s="21"/>
    </row>
    <row r="344" spans="2:15" x14ac:dyDescent="0.2">
      <c r="B344" s="39">
        <f t="shared" si="31"/>
        <v>8000012</v>
      </c>
      <c r="C344" s="39">
        <v>1</v>
      </c>
      <c r="D344" s="250" t="s">
        <v>3034</v>
      </c>
      <c r="E344" s="210">
        <v>0</v>
      </c>
      <c r="F344" s="250" t="s">
        <v>3036</v>
      </c>
      <c r="G344" s="39">
        <v>1</v>
      </c>
      <c r="H344" s="249">
        <v>8000012</v>
      </c>
      <c r="I344" s="249" t="s">
        <v>186</v>
      </c>
      <c r="J344" s="39">
        <v>21</v>
      </c>
      <c r="K344" s="46">
        <v>1400610</v>
      </c>
      <c r="L344" s="39">
        <v>21</v>
      </c>
      <c r="M344" s="248" t="s">
        <v>3035</v>
      </c>
      <c r="N344" s="21" t="s">
        <v>3033</v>
      </c>
      <c r="O344" s="21" t="s">
        <v>3037</v>
      </c>
    </row>
    <row r="345" spans="2:15" x14ac:dyDescent="0.2">
      <c r="B345" s="39">
        <f t="shared" si="31"/>
        <v>8050000</v>
      </c>
      <c r="C345" s="39">
        <v>1</v>
      </c>
      <c r="D345" s="39"/>
      <c r="E345" s="39"/>
      <c r="F345" s="39"/>
      <c r="G345" s="39">
        <v>1</v>
      </c>
      <c r="H345" s="21">
        <v>8050000</v>
      </c>
      <c r="I345" s="21" t="s">
        <v>184</v>
      </c>
      <c r="J345" s="39">
        <v>13</v>
      </c>
      <c r="K345" s="46">
        <v>1400088</v>
      </c>
      <c r="L345" s="39">
        <f t="shared" ref="L345:L376" si="37">VLOOKUP(I345,error,2,FALSE)</f>
        <v>5</v>
      </c>
      <c r="M345" s="39" t="s">
        <v>1840</v>
      </c>
      <c r="N345" s="21" t="s">
        <v>503</v>
      </c>
      <c r="O345" s="21" t="s">
        <v>699</v>
      </c>
    </row>
    <row r="346" spans="2:15" x14ac:dyDescent="0.2">
      <c r="B346" s="39">
        <f t="shared" si="31"/>
        <v>8050001</v>
      </c>
      <c r="C346" s="39">
        <v>1</v>
      </c>
      <c r="D346" s="39"/>
      <c r="E346" s="39"/>
      <c r="F346" s="39"/>
      <c r="G346" s="39">
        <v>1</v>
      </c>
      <c r="H346" s="21">
        <v>8050001</v>
      </c>
      <c r="I346" s="21" t="s">
        <v>184</v>
      </c>
      <c r="J346" s="39">
        <v>13</v>
      </c>
      <c r="K346" s="46">
        <v>1400089</v>
      </c>
      <c r="L346" s="39">
        <f t="shared" si="37"/>
        <v>5</v>
      </c>
      <c r="M346" s="39" t="s">
        <v>1949</v>
      </c>
      <c r="N346" s="21" t="s">
        <v>504</v>
      </c>
      <c r="O346" s="21" t="s">
        <v>700</v>
      </c>
    </row>
    <row r="347" spans="2:15" x14ac:dyDescent="0.2">
      <c r="B347" s="39">
        <f t="shared" si="31"/>
        <v>8050002</v>
      </c>
      <c r="C347" s="39">
        <v>1</v>
      </c>
      <c r="D347" s="39"/>
      <c r="E347" s="39"/>
      <c r="F347" s="39"/>
      <c r="G347" s="39">
        <v>1</v>
      </c>
      <c r="H347" s="21">
        <v>8050002</v>
      </c>
      <c r="I347" s="21" t="s">
        <v>184</v>
      </c>
      <c r="J347" s="39">
        <v>13</v>
      </c>
      <c r="K347" s="46">
        <v>1400090</v>
      </c>
      <c r="L347" s="39">
        <f t="shared" si="37"/>
        <v>5</v>
      </c>
      <c r="M347" s="39" t="s">
        <v>750</v>
      </c>
      <c r="N347" s="21" t="s">
        <v>505</v>
      </c>
      <c r="O347" s="21" t="s">
        <v>701</v>
      </c>
    </row>
    <row r="348" spans="2:15" x14ac:dyDescent="0.2">
      <c r="B348" s="39">
        <f t="shared" si="31"/>
        <v>8050003</v>
      </c>
      <c r="C348" s="39">
        <v>1</v>
      </c>
      <c r="D348" s="39"/>
      <c r="E348" s="39"/>
      <c r="F348" s="39"/>
      <c r="G348" s="39">
        <v>1</v>
      </c>
      <c r="H348" s="21">
        <v>8050003</v>
      </c>
      <c r="I348" s="21" t="s">
        <v>184</v>
      </c>
      <c r="J348" s="39">
        <v>13</v>
      </c>
      <c r="K348" s="46">
        <v>1400091</v>
      </c>
      <c r="L348" s="39">
        <f t="shared" si="37"/>
        <v>5</v>
      </c>
      <c r="M348" s="39" t="s">
        <v>750</v>
      </c>
      <c r="N348" s="21" t="s">
        <v>506</v>
      </c>
      <c r="O348" s="21" t="s">
        <v>702</v>
      </c>
    </row>
    <row r="349" spans="2:15" x14ac:dyDescent="0.2">
      <c r="B349" s="39">
        <f t="shared" si="31"/>
        <v>8050004</v>
      </c>
      <c r="C349" s="39">
        <v>1</v>
      </c>
      <c r="D349" s="39"/>
      <c r="E349" s="39"/>
      <c r="F349" s="39"/>
      <c r="G349" s="39">
        <v>1</v>
      </c>
      <c r="H349" s="21">
        <v>8050004</v>
      </c>
      <c r="I349" s="21" t="s">
        <v>184</v>
      </c>
      <c r="J349" s="39">
        <v>13</v>
      </c>
      <c r="K349" s="46">
        <v>1400092</v>
      </c>
      <c r="L349" s="39">
        <f t="shared" si="37"/>
        <v>5</v>
      </c>
      <c r="M349" s="39" t="s">
        <v>1841</v>
      </c>
      <c r="N349" s="21" t="s">
        <v>507</v>
      </c>
      <c r="O349" s="21" t="s">
        <v>703</v>
      </c>
    </row>
    <row r="350" spans="2:15" x14ac:dyDescent="0.2">
      <c r="B350" s="39">
        <f t="shared" si="31"/>
        <v>8050005</v>
      </c>
      <c r="C350" s="39">
        <v>1</v>
      </c>
      <c r="D350" s="39"/>
      <c r="E350" s="39"/>
      <c r="F350" s="39"/>
      <c r="G350" s="39">
        <v>1</v>
      </c>
      <c r="H350" s="21">
        <v>8050005</v>
      </c>
      <c r="I350" s="21" t="s">
        <v>184</v>
      </c>
      <c r="J350" s="39">
        <v>13</v>
      </c>
      <c r="K350" s="46">
        <v>1400351</v>
      </c>
      <c r="L350" s="39">
        <f t="shared" si="37"/>
        <v>5</v>
      </c>
      <c r="M350" s="39" t="s">
        <v>950</v>
      </c>
      <c r="N350" s="21" t="s">
        <v>951</v>
      </c>
      <c r="O350" s="21" t="s">
        <v>955</v>
      </c>
    </row>
    <row r="351" spans="2:15" x14ac:dyDescent="0.2">
      <c r="B351" s="39">
        <f t="shared" si="31"/>
        <v>8050006</v>
      </c>
      <c r="C351" s="39">
        <v>1</v>
      </c>
      <c r="D351" s="39"/>
      <c r="E351" s="39"/>
      <c r="F351" s="39"/>
      <c r="G351" s="39">
        <v>1</v>
      </c>
      <c r="H351" s="21">
        <v>8050006</v>
      </c>
      <c r="I351" s="21" t="s">
        <v>184</v>
      </c>
      <c r="J351" s="39">
        <v>13</v>
      </c>
      <c r="K351" s="46">
        <v>1400352</v>
      </c>
      <c r="L351" s="39">
        <f t="shared" si="37"/>
        <v>5</v>
      </c>
      <c r="M351" s="39" t="s">
        <v>947</v>
      </c>
      <c r="N351" s="21" t="s">
        <v>952</v>
      </c>
      <c r="O351" s="21" t="s">
        <v>956</v>
      </c>
    </row>
    <row r="352" spans="2:15" x14ac:dyDescent="0.2">
      <c r="B352" s="39">
        <f t="shared" si="31"/>
        <v>8050007</v>
      </c>
      <c r="C352" s="39">
        <v>1</v>
      </c>
      <c r="D352" s="39"/>
      <c r="E352" s="39"/>
      <c r="F352" s="39"/>
      <c r="G352" s="39">
        <v>1</v>
      </c>
      <c r="H352" s="21">
        <v>8050007</v>
      </c>
      <c r="I352" s="21" t="s">
        <v>184</v>
      </c>
      <c r="J352" s="39">
        <v>13</v>
      </c>
      <c r="K352" s="46">
        <v>1400353</v>
      </c>
      <c r="L352" s="39">
        <f t="shared" si="37"/>
        <v>5</v>
      </c>
      <c r="M352" s="39" t="s">
        <v>948</v>
      </c>
      <c r="N352" s="21" t="s">
        <v>953</v>
      </c>
      <c r="O352" s="21" t="s">
        <v>957</v>
      </c>
    </row>
    <row r="353" spans="2:15" x14ac:dyDescent="0.2">
      <c r="B353" s="39">
        <f t="shared" si="31"/>
        <v>8050008</v>
      </c>
      <c r="C353" s="39">
        <v>1</v>
      </c>
      <c r="D353" s="39"/>
      <c r="E353" s="39"/>
      <c r="F353" s="39"/>
      <c r="G353" s="39">
        <v>1</v>
      </c>
      <c r="H353" s="21">
        <v>8050008</v>
      </c>
      <c r="I353" s="21" t="s">
        <v>184</v>
      </c>
      <c r="J353" s="39">
        <v>13</v>
      </c>
      <c r="K353" s="46">
        <v>1400354</v>
      </c>
      <c r="L353" s="39">
        <f t="shared" si="37"/>
        <v>5</v>
      </c>
      <c r="M353" s="39" t="s">
        <v>949</v>
      </c>
      <c r="N353" s="21" t="s">
        <v>954</v>
      </c>
      <c r="O353" s="21" t="s">
        <v>958</v>
      </c>
    </row>
    <row r="354" spans="2:15" x14ac:dyDescent="0.2">
      <c r="B354" s="39">
        <f t="shared" ref="B354:B401" si="38">H354</f>
        <v>12000000</v>
      </c>
      <c r="C354" s="39">
        <v>1</v>
      </c>
      <c r="D354" s="39"/>
      <c r="E354" s="39"/>
      <c r="F354" s="39"/>
      <c r="G354" s="39">
        <v>1</v>
      </c>
      <c r="H354" s="21">
        <v>12000000</v>
      </c>
      <c r="I354" s="21" t="s">
        <v>186</v>
      </c>
      <c r="J354" s="39">
        <v>13</v>
      </c>
      <c r="K354" s="46">
        <v>1400093</v>
      </c>
      <c r="L354" s="39">
        <f t="shared" si="37"/>
        <v>21</v>
      </c>
      <c r="M354" s="39" t="s">
        <v>808</v>
      </c>
      <c r="N354" s="21" t="s">
        <v>66</v>
      </c>
      <c r="O354" s="21" t="s">
        <v>229</v>
      </c>
    </row>
    <row r="355" spans="2:15" x14ac:dyDescent="0.2">
      <c r="B355" s="39">
        <f t="shared" si="38"/>
        <v>12000001</v>
      </c>
      <c r="C355" s="39">
        <v>1</v>
      </c>
      <c r="D355" s="39"/>
      <c r="E355" s="39"/>
      <c r="F355" s="39"/>
      <c r="G355" s="39">
        <v>1</v>
      </c>
      <c r="H355" s="21">
        <v>12000001</v>
      </c>
      <c r="I355" s="21" t="s">
        <v>186</v>
      </c>
      <c r="J355" s="39">
        <v>13</v>
      </c>
      <c r="K355" s="46">
        <v>1400094</v>
      </c>
      <c r="L355" s="39">
        <f t="shared" si="37"/>
        <v>21</v>
      </c>
      <c r="M355" s="39" t="s">
        <v>2185</v>
      </c>
      <c r="N355" s="21" t="s">
        <v>67</v>
      </c>
      <c r="O355" s="21" t="s">
        <v>230</v>
      </c>
    </row>
    <row r="356" spans="2:15" x14ac:dyDescent="0.2">
      <c r="B356" s="39">
        <f t="shared" si="38"/>
        <v>12000002</v>
      </c>
      <c r="C356" s="39">
        <v>1</v>
      </c>
      <c r="D356" s="39"/>
      <c r="E356" s="39"/>
      <c r="F356" s="39"/>
      <c r="G356" s="39">
        <v>1</v>
      </c>
      <c r="H356" s="21">
        <v>12000002</v>
      </c>
      <c r="I356" s="21" t="s">
        <v>186</v>
      </c>
      <c r="J356" s="39">
        <v>13</v>
      </c>
      <c r="K356" s="46">
        <v>1400095</v>
      </c>
      <c r="L356" s="39">
        <f t="shared" si="37"/>
        <v>21</v>
      </c>
      <c r="M356" s="39" t="s">
        <v>1949</v>
      </c>
      <c r="N356" s="21" t="s">
        <v>68</v>
      </c>
      <c r="O356" s="21" t="s">
        <v>231</v>
      </c>
    </row>
    <row r="357" spans="2:15" x14ac:dyDescent="0.2">
      <c r="B357" s="39">
        <f t="shared" si="38"/>
        <v>12000003</v>
      </c>
      <c r="C357" s="39">
        <v>1</v>
      </c>
      <c r="D357" s="39"/>
      <c r="E357" s="39"/>
      <c r="F357" s="39"/>
      <c r="G357" s="39">
        <v>1</v>
      </c>
      <c r="H357" s="21">
        <v>12000003</v>
      </c>
      <c r="I357" s="21" t="s">
        <v>186</v>
      </c>
      <c r="J357" s="39">
        <v>13</v>
      </c>
      <c r="K357" s="46">
        <v>1400096</v>
      </c>
      <c r="L357" s="39">
        <f t="shared" si="37"/>
        <v>21</v>
      </c>
      <c r="M357" s="39" t="s">
        <v>782</v>
      </c>
      <c r="N357" s="21" t="s">
        <v>69</v>
      </c>
      <c r="O357" s="21" t="s">
        <v>232</v>
      </c>
    </row>
    <row r="358" spans="2:15" x14ac:dyDescent="0.2">
      <c r="B358" s="39">
        <f t="shared" si="38"/>
        <v>12000004</v>
      </c>
      <c r="C358" s="39">
        <v>1</v>
      </c>
      <c r="D358" s="39"/>
      <c r="E358" s="39"/>
      <c r="F358" s="39"/>
      <c r="G358" s="39">
        <v>1</v>
      </c>
      <c r="H358" s="21">
        <v>12000004</v>
      </c>
      <c r="I358" s="21" t="s">
        <v>186</v>
      </c>
      <c r="J358" s="39">
        <v>13</v>
      </c>
      <c r="K358" s="46">
        <v>1400097</v>
      </c>
      <c r="L358" s="39">
        <f t="shared" si="37"/>
        <v>21</v>
      </c>
      <c r="M358" s="39" t="s">
        <v>809</v>
      </c>
      <c r="N358" s="21" t="s">
        <v>70</v>
      </c>
      <c r="O358" s="21" t="s">
        <v>233</v>
      </c>
    </row>
    <row r="359" spans="2:15" x14ac:dyDescent="0.2">
      <c r="B359" s="39">
        <f t="shared" si="38"/>
        <v>12000005</v>
      </c>
      <c r="C359" s="39">
        <v>1</v>
      </c>
      <c r="D359" s="39"/>
      <c r="E359" s="39"/>
      <c r="F359" s="39"/>
      <c r="G359" s="39">
        <v>1</v>
      </c>
      <c r="H359" s="21">
        <v>12000005</v>
      </c>
      <c r="I359" s="21" t="s">
        <v>186</v>
      </c>
      <c r="J359" s="39">
        <v>13</v>
      </c>
      <c r="K359" s="46">
        <v>1400098</v>
      </c>
      <c r="L359" s="39">
        <f t="shared" si="37"/>
        <v>21</v>
      </c>
      <c r="M359" s="39" t="s">
        <v>810</v>
      </c>
      <c r="N359" s="21" t="s">
        <v>71</v>
      </c>
      <c r="O359" s="21" t="s">
        <v>234</v>
      </c>
    </row>
    <row r="360" spans="2:15" x14ac:dyDescent="0.2">
      <c r="B360" s="182">
        <f t="shared" si="38"/>
        <v>12000006</v>
      </c>
      <c r="C360" s="39">
        <v>1</v>
      </c>
      <c r="D360" s="39"/>
      <c r="E360" s="39"/>
      <c r="F360" s="39"/>
      <c r="G360" s="39">
        <v>1</v>
      </c>
      <c r="H360" s="24">
        <v>12000006</v>
      </c>
      <c r="I360" s="21" t="s">
        <v>186</v>
      </c>
      <c r="J360" s="39">
        <v>13</v>
      </c>
      <c r="K360" s="183">
        <v>1400099</v>
      </c>
      <c r="L360" s="39">
        <f t="shared" si="37"/>
        <v>21</v>
      </c>
      <c r="M360" s="182" t="s">
        <v>811</v>
      </c>
      <c r="N360" s="24" t="s">
        <v>72</v>
      </c>
      <c r="O360" s="24" t="s">
        <v>235</v>
      </c>
    </row>
    <row r="361" spans="2:15" x14ac:dyDescent="0.2">
      <c r="B361" s="39">
        <f t="shared" si="38"/>
        <v>12000007</v>
      </c>
      <c r="C361" s="39">
        <v>1</v>
      </c>
      <c r="D361" s="39"/>
      <c r="E361" s="39"/>
      <c r="F361" s="39"/>
      <c r="G361" s="39">
        <v>1</v>
      </c>
      <c r="H361" s="21">
        <v>12000007</v>
      </c>
      <c r="I361" s="21" t="s">
        <v>186</v>
      </c>
      <c r="J361" s="39">
        <v>13</v>
      </c>
      <c r="K361" s="46">
        <v>1400100</v>
      </c>
      <c r="L361" s="39">
        <f t="shared" si="37"/>
        <v>21</v>
      </c>
      <c r="M361" s="39" t="s">
        <v>812</v>
      </c>
      <c r="N361" s="21" t="s">
        <v>73</v>
      </c>
      <c r="O361" s="21" t="s">
        <v>380</v>
      </c>
    </row>
    <row r="362" spans="2:15" x14ac:dyDescent="0.2">
      <c r="B362" s="39">
        <f t="shared" si="38"/>
        <v>12000008</v>
      </c>
      <c r="C362" s="39">
        <v>1</v>
      </c>
      <c r="D362" s="39"/>
      <c r="E362" s="39"/>
      <c r="F362" s="39"/>
      <c r="G362" s="39">
        <v>1</v>
      </c>
      <c r="H362" s="21">
        <v>12000008</v>
      </c>
      <c r="I362" s="21" t="s">
        <v>186</v>
      </c>
      <c r="J362" s="39">
        <v>13</v>
      </c>
      <c r="K362" s="46">
        <v>1400101</v>
      </c>
      <c r="L362" s="39">
        <f t="shared" si="37"/>
        <v>21</v>
      </c>
      <c r="M362" s="39" t="s">
        <v>782</v>
      </c>
      <c r="N362" s="21" t="s">
        <v>74</v>
      </c>
      <c r="O362" s="21" t="s">
        <v>236</v>
      </c>
    </row>
    <row r="363" spans="2:15" x14ac:dyDescent="0.2">
      <c r="B363" s="39">
        <f t="shared" si="38"/>
        <v>12000009</v>
      </c>
      <c r="C363" s="39">
        <v>1</v>
      </c>
      <c r="D363" s="39"/>
      <c r="E363" s="39"/>
      <c r="F363" s="39"/>
      <c r="G363" s="39">
        <v>1</v>
      </c>
      <c r="H363" s="21">
        <v>12000009</v>
      </c>
      <c r="I363" s="21" t="s">
        <v>186</v>
      </c>
      <c r="J363" s="39">
        <v>13</v>
      </c>
      <c r="K363" s="46">
        <v>1400102</v>
      </c>
      <c r="L363" s="39">
        <f t="shared" si="37"/>
        <v>21</v>
      </c>
      <c r="M363" s="39" t="s">
        <v>813</v>
      </c>
      <c r="N363" s="21" t="s">
        <v>75</v>
      </c>
      <c r="O363" s="21" t="s">
        <v>237</v>
      </c>
    </row>
    <row r="364" spans="2:15" x14ac:dyDescent="0.2">
      <c r="B364" s="39">
        <f t="shared" si="38"/>
        <v>12000010</v>
      </c>
      <c r="C364" s="39">
        <v>1</v>
      </c>
      <c r="D364" s="39"/>
      <c r="E364" s="39"/>
      <c r="F364" s="39"/>
      <c r="G364" s="39">
        <v>1</v>
      </c>
      <c r="H364" s="21">
        <v>12000010</v>
      </c>
      <c r="I364" s="21" t="s">
        <v>186</v>
      </c>
      <c r="J364" s="39">
        <v>13</v>
      </c>
      <c r="K364" s="46">
        <v>1400103</v>
      </c>
      <c r="L364" s="39">
        <f t="shared" si="37"/>
        <v>21</v>
      </c>
      <c r="M364" s="39" t="s">
        <v>750</v>
      </c>
      <c r="N364" s="21" t="s">
        <v>76</v>
      </c>
      <c r="O364" s="21" t="s">
        <v>238</v>
      </c>
    </row>
    <row r="365" spans="2:15" x14ac:dyDescent="0.2">
      <c r="B365" s="39">
        <f t="shared" si="38"/>
        <v>12000011</v>
      </c>
      <c r="C365" s="39">
        <v>1</v>
      </c>
      <c r="D365" s="39"/>
      <c r="E365" s="39"/>
      <c r="F365" s="39"/>
      <c r="G365" s="39">
        <v>1</v>
      </c>
      <c r="H365" s="21">
        <v>12000011</v>
      </c>
      <c r="I365" s="21" t="s">
        <v>186</v>
      </c>
      <c r="J365" s="39">
        <v>13</v>
      </c>
      <c r="K365" s="46">
        <v>1400104</v>
      </c>
      <c r="L365" s="39">
        <f t="shared" si="37"/>
        <v>21</v>
      </c>
      <c r="M365" s="39" t="s">
        <v>750</v>
      </c>
      <c r="N365" s="21" t="s">
        <v>77</v>
      </c>
      <c r="O365" s="21" t="s">
        <v>239</v>
      </c>
    </row>
    <row r="366" spans="2:15" x14ac:dyDescent="0.2">
      <c r="B366" s="39">
        <f t="shared" si="38"/>
        <v>12000012</v>
      </c>
      <c r="C366" s="39">
        <v>1</v>
      </c>
      <c r="D366" s="39"/>
      <c r="E366" s="39"/>
      <c r="F366" s="39"/>
      <c r="G366" s="39">
        <v>1</v>
      </c>
      <c r="H366" s="21">
        <v>12000012</v>
      </c>
      <c r="I366" s="21" t="s">
        <v>186</v>
      </c>
      <c r="J366" s="39">
        <v>13</v>
      </c>
      <c r="K366" s="46">
        <v>1400105</v>
      </c>
      <c r="L366" s="39">
        <f t="shared" si="37"/>
        <v>21</v>
      </c>
      <c r="M366" s="39" t="s">
        <v>750</v>
      </c>
      <c r="N366" s="21" t="s">
        <v>78</v>
      </c>
      <c r="O366" s="21" t="s">
        <v>240</v>
      </c>
    </row>
    <row r="367" spans="2:15" x14ac:dyDescent="0.2">
      <c r="B367" s="39">
        <f t="shared" si="38"/>
        <v>12000013</v>
      </c>
      <c r="C367" s="39">
        <v>1</v>
      </c>
      <c r="D367" s="39"/>
      <c r="E367" s="39"/>
      <c r="F367" s="39"/>
      <c r="G367" s="39">
        <v>1</v>
      </c>
      <c r="H367" s="21">
        <v>12000013</v>
      </c>
      <c r="I367" s="21" t="s">
        <v>186</v>
      </c>
      <c r="J367" s="39">
        <v>13</v>
      </c>
      <c r="K367" s="46">
        <v>1400106</v>
      </c>
      <c r="L367" s="39">
        <f t="shared" si="37"/>
        <v>21</v>
      </c>
      <c r="M367" s="39" t="s">
        <v>750</v>
      </c>
      <c r="N367" s="21" t="s">
        <v>79</v>
      </c>
      <c r="O367" s="21" t="s">
        <v>241</v>
      </c>
    </row>
    <row r="368" spans="2:15" x14ac:dyDescent="0.2">
      <c r="B368" s="39">
        <f t="shared" si="38"/>
        <v>12000014</v>
      </c>
      <c r="C368" s="39">
        <v>1</v>
      </c>
      <c r="D368" s="39"/>
      <c r="E368" s="39"/>
      <c r="F368" s="39"/>
      <c r="G368" s="39">
        <v>1</v>
      </c>
      <c r="H368" s="21">
        <v>12000014</v>
      </c>
      <c r="I368" s="21" t="s">
        <v>186</v>
      </c>
      <c r="J368" s="39">
        <v>13</v>
      </c>
      <c r="K368" s="46">
        <v>1400107</v>
      </c>
      <c r="L368" s="39">
        <f t="shared" si="37"/>
        <v>21</v>
      </c>
      <c r="M368" s="39" t="s">
        <v>750</v>
      </c>
      <c r="N368" s="21" t="s">
        <v>80</v>
      </c>
      <c r="O368" s="21" t="s">
        <v>242</v>
      </c>
    </row>
    <row r="369" spans="2:15" x14ac:dyDescent="0.2">
      <c r="B369" s="39">
        <f t="shared" si="38"/>
        <v>12000015</v>
      </c>
      <c r="C369" s="39">
        <v>1</v>
      </c>
      <c r="D369" s="39"/>
      <c r="E369" s="39"/>
      <c r="F369" s="39"/>
      <c r="G369" s="39">
        <v>1</v>
      </c>
      <c r="H369" s="21">
        <v>12000015</v>
      </c>
      <c r="I369" s="21" t="s">
        <v>186</v>
      </c>
      <c r="J369" s="39">
        <v>13</v>
      </c>
      <c r="K369" s="46">
        <v>1400108</v>
      </c>
      <c r="L369" s="39">
        <f t="shared" si="37"/>
        <v>21</v>
      </c>
      <c r="M369" s="39" t="s">
        <v>814</v>
      </c>
      <c r="N369" s="21" t="s">
        <v>81</v>
      </c>
      <c r="O369" s="21" t="s">
        <v>243</v>
      </c>
    </row>
    <row r="370" spans="2:15" x14ac:dyDescent="0.2">
      <c r="B370" s="39">
        <f t="shared" si="38"/>
        <v>12000016</v>
      </c>
      <c r="C370" s="39">
        <v>1</v>
      </c>
      <c r="D370" s="39"/>
      <c r="E370" s="39"/>
      <c r="F370" s="39"/>
      <c r="G370" s="39">
        <v>1</v>
      </c>
      <c r="H370" s="21">
        <v>12000016</v>
      </c>
      <c r="I370" s="21" t="s">
        <v>186</v>
      </c>
      <c r="J370" s="39">
        <v>13</v>
      </c>
      <c r="K370" s="46">
        <v>1400109</v>
      </c>
      <c r="L370" s="39">
        <f t="shared" si="37"/>
        <v>21</v>
      </c>
      <c r="M370" s="39" t="s">
        <v>815</v>
      </c>
      <c r="N370" s="21" t="s">
        <v>82</v>
      </c>
      <c r="O370" s="21" t="s">
        <v>244</v>
      </c>
    </row>
    <row r="371" spans="2:15" x14ac:dyDescent="0.2">
      <c r="B371" s="39">
        <f t="shared" si="38"/>
        <v>12000017</v>
      </c>
      <c r="C371" s="39">
        <v>1</v>
      </c>
      <c r="D371" s="39"/>
      <c r="E371" s="39"/>
      <c r="F371" s="39"/>
      <c r="G371" s="39">
        <v>1</v>
      </c>
      <c r="H371" s="21">
        <v>12000017</v>
      </c>
      <c r="I371" s="21" t="s">
        <v>186</v>
      </c>
      <c r="J371" s="39">
        <v>13</v>
      </c>
      <c r="K371" s="46">
        <v>1400110</v>
      </c>
      <c r="L371" s="39">
        <f t="shared" si="37"/>
        <v>21</v>
      </c>
      <c r="M371" s="39" t="s">
        <v>816</v>
      </c>
      <c r="N371" s="21" t="s">
        <v>83</v>
      </c>
      <c r="O371" s="21" t="s">
        <v>245</v>
      </c>
    </row>
    <row r="372" spans="2:15" x14ac:dyDescent="0.2">
      <c r="B372" s="39">
        <f t="shared" si="38"/>
        <v>12000018</v>
      </c>
      <c r="C372" s="39">
        <v>1</v>
      </c>
      <c r="D372" s="39"/>
      <c r="E372" s="39"/>
      <c r="F372" s="39"/>
      <c r="G372" s="39">
        <v>1</v>
      </c>
      <c r="H372" s="21">
        <v>12000018</v>
      </c>
      <c r="I372" s="21" t="s">
        <v>186</v>
      </c>
      <c r="J372" s="39">
        <v>13</v>
      </c>
      <c r="K372" s="46">
        <v>1400111</v>
      </c>
      <c r="L372" s="39">
        <f t="shared" si="37"/>
        <v>21</v>
      </c>
      <c r="M372" s="39" t="s">
        <v>817</v>
      </c>
      <c r="N372" s="21" t="s">
        <v>84</v>
      </c>
      <c r="O372" s="21" t="s">
        <v>246</v>
      </c>
    </row>
    <row r="373" spans="2:15" x14ac:dyDescent="0.2">
      <c r="B373" s="39">
        <f t="shared" si="38"/>
        <v>12000019</v>
      </c>
      <c r="C373" s="39">
        <v>1</v>
      </c>
      <c r="D373" s="39"/>
      <c r="E373" s="39"/>
      <c r="F373" s="39"/>
      <c r="G373" s="39">
        <v>1</v>
      </c>
      <c r="H373" s="21">
        <v>12000019</v>
      </c>
      <c r="I373" s="21" t="s">
        <v>186</v>
      </c>
      <c r="J373" s="39">
        <v>13</v>
      </c>
      <c r="K373" s="46">
        <v>1400112</v>
      </c>
      <c r="L373" s="39">
        <f t="shared" si="37"/>
        <v>21</v>
      </c>
      <c r="M373" s="39" t="s">
        <v>818</v>
      </c>
      <c r="N373" s="21" t="s">
        <v>85</v>
      </c>
      <c r="O373" s="21" t="s">
        <v>247</v>
      </c>
    </row>
    <row r="374" spans="2:15" x14ac:dyDescent="0.2">
      <c r="B374" s="39">
        <f t="shared" si="38"/>
        <v>12000020</v>
      </c>
      <c r="C374" s="39">
        <v>1</v>
      </c>
      <c r="D374" s="39"/>
      <c r="E374" s="39"/>
      <c r="F374" s="39"/>
      <c r="G374" s="39">
        <v>1</v>
      </c>
      <c r="H374" s="21">
        <v>12000020</v>
      </c>
      <c r="I374" s="21" t="s">
        <v>186</v>
      </c>
      <c r="J374" s="39">
        <v>13</v>
      </c>
      <c r="K374" s="46">
        <v>1400113</v>
      </c>
      <c r="L374" s="39">
        <f t="shared" si="37"/>
        <v>21</v>
      </c>
      <c r="M374" s="39" t="s">
        <v>819</v>
      </c>
      <c r="N374" s="21" t="s">
        <v>86</v>
      </c>
      <c r="O374" s="21" t="s">
        <v>248</v>
      </c>
    </row>
    <row r="375" spans="2:15" x14ac:dyDescent="0.2">
      <c r="B375" s="39">
        <f t="shared" si="38"/>
        <v>12000021</v>
      </c>
      <c r="C375" s="39">
        <v>1</v>
      </c>
      <c r="D375" s="39"/>
      <c r="E375" s="39"/>
      <c r="F375" s="39"/>
      <c r="G375" s="39">
        <v>1</v>
      </c>
      <c r="H375" s="21">
        <v>12000021</v>
      </c>
      <c r="I375" s="21" t="s">
        <v>186</v>
      </c>
      <c r="J375" s="39">
        <v>13</v>
      </c>
      <c r="K375" s="46">
        <v>1400114</v>
      </c>
      <c r="L375" s="39">
        <f t="shared" si="37"/>
        <v>21</v>
      </c>
      <c r="M375" s="39" t="s">
        <v>820</v>
      </c>
      <c r="N375" s="21" t="s">
        <v>87</v>
      </c>
      <c r="O375" s="21" t="s">
        <v>249</v>
      </c>
    </row>
    <row r="376" spans="2:15" x14ac:dyDescent="0.2">
      <c r="B376" s="39">
        <f t="shared" si="38"/>
        <v>12000022</v>
      </c>
      <c r="C376" s="39">
        <v>1</v>
      </c>
      <c r="D376" s="39"/>
      <c r="E376" s="39"/>
      <c r="F376" s="39"/>
      <c r="G376" s="39">
        <v>1</v>
      </c>
      <c r="H376" s="21">
        <v>12000022</v>
      </c>
      <c r="I376" s="21" t="s">
        <v>186</v>
      </c>
      <c r="J376" s="39">
        <v>13</v>
      </c>
      <c r="K376" s="46">
        <v>1400115</v>
      </c>
      <c r="L376" s="39">
        <f t="shared" si="37"/>
        <v>21</v>
      </c>
      <c r="M376" s="39" t="s">
        <v>821</v>
      </c>
      <c r="N376" s="21" t="s">
        <v>88</v>
      </c>
      <c r="O376" s="21" t="s">
        <v>250</v>
      </c>
    </row>
    <row r="377" spans="2:15" x14ac:dyDescent="0.2">
      <c r="B377" s="39">
        <f t="shared" si="38"/>
        <v>12000023</v>
      </c>
      <c r="C377" s="39">
        <v>1</v>
      </c>
      <c r="D377" s="39"/>
      <c r="E377" s="39"/>
      <c r="F377" s="39"/>
      <c r="G377" s="39">
        <v>1</v>
      </c>
      <c r="H377" s="21">
        <v>12000023</v>
      </c>
      <c r="I377" s="21" t="s">
        <v>186</v>
      </c>
      <c r="J377" s="39">
        <v>13</v>
      </c>
      <c r="K377" s="46">
        <v>1400116</v>
      </c>
      <c r="L377" s="39">
        <f t="shared" ref="L377:L394" si="39">VLOOKUP(I377,error,2,FALSE)</f>
        <v>21</v>
      </c>
      <c r="M377" s="39" t="s">
        <v>822</v>
      </c>
      <c r="N377" s="21" t="s">
        <v>362</v>
      </c>
      <c r="O377" s="21" t="s">
        <v>424</v>
      </c>
    </row>
    <row r="378" spans="2:15" x14ac:dyDescent="0.2">
      <c r="B378" s="39">
        <f t="shared" si="38"/>
        <v>12000024</v>
      </c>
      <c r="C378" s="39">
        <v>1</v>
      </c>
      <c r="D378" s="39"/>
      <c r="E378" s="39"/>
      <c r="F378" s="39"/>
      <c r="G378" s="39">
        <v>1</v>
      </c>
      <c r="H378" s="21">
        <v>12000024</v>
      </c>
      <c r="I378" s="21" t="s">
        <v>184</v>
      </c>
      <c r="J378" s="39">
        <v>13</v>
      </c>
      <c r="K378" s="46">
        <v>1400117</v>
      </c>
      <c r="L378" s="39">
        <f t="shared" si="39"/>
        <v>5</v>
      </c>
      <c r="M378" s="39" t="s">
        <v>823</v>
      </c>
      <c r="N378" s="21" t="s">
        <v>508</v>
      </c>
      <c r="O378" s="21" t="s">
        <v>704</v>
      </c>
    </row>
    <row r="379" spans="2:15" x14ac:dyDescent="0.2">
      <c r="B379" s="39">
        <f t="shared" si="38"/>
        <v>12000025</v>
      </c>
      <c r="C379" s="39">
        <v>1</v>
      </c>
      <c r="D379" s="39"/>
      <c r="E379" s="39"/>
      <c r="F379" s="39"/>
      <c r="G379" s="39">
        <v>1</v>
      </c>
      <c r="H379" s="21">
        <v>12000025</v>
      </c>
      <c r="I379" s="21" t="s">
        <v>184</v>
      </c>
      <c r="J379" s="39">
        <v>13</v>
      </c>
      <c r="K379" s="46">
        <v>1400118</v>
      </c>
      <c r="L379" s="39">
        <f t="shared" si="39"/>
        <v>5</v>
      </c>
      <c r="M379" s="39" t="s">
        <v>824</v>
      </c>
      <c r="N379" s="21" t="s">
        <v>509</v>
      </c>
      <c r="O379" s="21" t="s">
        <v>705</v>
      </c>
    </row>
    <row r="380" spans="2:15" x14ac:dyDescent="0.2">
      <c r="B380" s="39">
        <f t="shared" si="38"/>
        <v>12000026</v>
      </c>
      <c r="C380" s="39">
        <v>1</v>
      </c>
      <c r="D380" s="39"/>
      <c r="E380" s="39"/>
      <c r="F380" s="39"/>
      <c r="G380" s="39">
        <v>1</v>
      </c>
      <c r="H380" s="21">
        <v>12000026</v>
      </c>
      <c r="I380" s="21" t="s">
        <v>184</v>
      </c>
      <c r="J380" s="39">
        <v>13</v>
      </c>
      <c r="K380" s="46">
        <v>1400119</v>
      </c>
      <c r="L380" s="39">
        <f t="shared" si="39"/>
        <v>5</v>
      </c>
      <c r="M380" s="39" t="s">
        <v>825</v>
      </c>
      <c r="N380" s="21" t="s">
        <v>510</v>
      </c>
      <c r="O380" s="21" t="s">
        <v>706</v>
      </c>
    </row>
    <row r="381" spans="2:15" x14ac:dyDescent="0.2">
      <c r="B381" s="39">
        <f t="shared" si="38"/>
        <v>12000027</v>
      </c>
      <c r="C381" s="39">
        <v>1</v>
      </c>
      <c r="D381" s="39"/>
      <c r="E381" s="39"/>
      <c r="F381" s="39"/>
      <c r="G381" s="39">
        <v>1</v>
      </c>
      <c r="H381" s="21">
        <v>12000027</v>
      </c>
      <c r="I381" s="21" t="s">
        <v>184</v>
      </c>
      <c r="J381" s="39">
        <v>13</v>
      </c>
      <c r="K381" s="46">
        <v>1400120</v>
      </c>
      <c r="L381" s="39">
        <f t="shared" si="39"/>
        <v>5</v>
      </c>
      <c r="M381" s="39" t="s">
        <v>794</v>
      </c>
      <c r="N381" s="21" t="s">
        <v>511</v>
      </c>
      <c r="O381" s="21" t="s">
        <v>707</v>
      </c>
    </row>
    <row r="382" spans="2:15" x14ac:dyDescent="0.2">
      <c r="B382" s="39">
        <f t="shared" si="38"/>
        <v>12000028</v>
      </c>
      <c r="C382" s="39">
        <v>1</v>
      </c>
      <c r="D382" s="39"/>
      <c r="E382" s="39"/>
      <c r="F382" s="39"/>
      <c r="G382" s="39">
        <v>1</v>
      </c>
      <c r="H382" s="21">
        <v>12000028</v>
      </c>
      <c r="I382" s="21" t="s">
        <v>184</v>
      </c>
      <c r="J382" s="39">
        <v>13</v>
      </c>
      <c r="K382" s="46">
        <v>1400121</v>
      </c>
      <c r="L382" s="39">
        <f t="shared" si="39"/>
        <v>5</v>
      </c>
      <c r="M382" s="39" t="s">
        <v>826</v>
      </c>
      <c r="N382" s="21" t="s">
        <v>512</v>
      </c>
      <c r="O382" s="21" t="s">
        <v>708</v>
      </c>
    </row>
    <row r="383" spans="2:15" x14ac:dyDescent="0.2">
      <c r="B383" s="39">
        <f t="shared" si="38"/>
        <v>12000029</v>
      </c>
      <c r="C383" s="39">
        <v>1</v>
      </c>
      <c r="D383" s="39"/>
      <c r="E383" s="39"/>
      <c r="F383" s="39"/>
      <c r="G383" s="39">
        <v>1</v>
      </c>
      <c r="H383" s="21">
        <v>12000029</v>
      </c>
      <c r="I383" s="21" t="s">
        <v>184</v>
      </c>
      <c r="J383" s="39">
        <v>13</v>
      </c>
      <c r="K383" s="46">
        <v>1400122</v>
      </c>
      <c r="L383" s="39">
        <f t="shared" si="39"/>
        <v>5</v>
      </c>
      <c r="M383" s="39" t="s">
        <v>827</v>
      </c>
      <c r="N383" s="21" t="s">
        <v>513</v>
      </c>
      <c r="O383" s="21" t="s">
        <v>709</v>
      </c>
    </row>
    <row r="384" spans="2:15" x14ac:dyDescent="0.2">
      <c r="B384" s="39">
        <f t="shared" si="38"/>
        <v>12000030</v>
      </c>
      <c r="C384" s="39">
        <v>1</v>
      </c>
      <c r="D384" s="39"/>
      <c r="E384" s="39"/>
      <c r="F384" s="39"/>
      <c r="G384" s="39">
        <v>1</v>
      </c>
      <c r="H384" s="21">
        <v>12000030</v>
      </c>
      <c r="I384" s="21" t="s">
        <v>184</v>
      </c>
      <c r="J384" s="39">
        <v>13</v>
      </c>
      <c r="K384" s="46">
        <v>1400123</v>
      </c>
      <c r="L384" s="39">
        <f t="shared" si="39"/>
        <v>5</v>
      </c>
      <c r="M384" s="39" t="s">
        <v>793</v>
      </c>
      <c r="N384" s="21" t="s">
        <v>514</v>
      </c>
      <c r="O384" s="21" t="s">
        <v>710</v>
      </c>
    </row>
    <row r="385" spans="2:15" x14ac:dyDescent="0.2">
      <c r="B385" s="39">
        <f t="shared" si="38"/>
        <v>12000031</v>
      </c>
      <c r="C385" s="39">
        <v>1</v>
      </c>
      <c r="D385" s="39"/>
      <c r="E385" s="39"/>
      <c r="F385" s="39"/>
      <c r="G385" s="39">
        <v>1</v>
      </c>
      <c r="H385" s="21">
        <v>12000031</v>
      </c>
      <c r="I385" s="21" t="s">
        <v>184</v>
      </c>
      <c r="J385" s="39">
        <v>13</v>
      </c>
      <c r="K385" s="46">
        <v>1400124</v>
      </c>
      <c r="L385" s="39">
        <f t="shared" si="39"/>
        <v>5</v>
      </c>
      <c r="M385" s="39" t="s">
        <v>828</v>
      </c>
      <c r="N385" s="21" t="s">
        <v>515</v>
      </c>
      <c r="O385" s="21" t="s">
        <v>711</v>
      </c>
    </row>
    <row r="386" spans="2:15" x14ac:dyDescent="0.2">
      <c r="B386" s="39">
        <f t="shared" si="38"/>
        <v>12000032</v>
      </c>
      <c r="C386" s="39">
        <v>1</v>
      </c>
      <c r="D386" s="39"/>
      <c r="E386" s="39"/>
      <c r="F386" s="39"/>
      <c r="G386" s="39">
        <v>1</v>
      </c>
      <c r="H386" s="21">
        <v>12000032</v>
      </c>
      <c r="I386" s="21" t="s">
        <v>184</v>
      </c>
      <c r="J386" s="39">
        <v>13</v>
      </c>
      <c r="K386" s="46">
        <v>1400125</v>
      </c>
      <c r="L386" s="39">
        <f t="shared" si="39"/>
        <v>5</v>
      </c>
      <c r="M386" s="39" t="s">
        <v>2185</v>
      </c>
      <c r="N386" s="21" t="s">
        <v>678</v>
      </c>
      <c r="O386" s="21"/>
    </row>
    <row r="387" spans="2:15" x14ac:dyDescent="0.2">
      <c r="B387" s="39">
        <f t="shared" si="38"/>
        <v>12000038</v>
      </c>
      <c r="C387" s="39">
        <v>1</v>
      </c>
      <c r="D387" s="39"/>
      <c r="E387" s="39"/>
      <c r="F387" s="39"/>
      <c r="G387" s="39">
        <v>1</v>
      </c>
      <c r="H387" s="21">
        <v>12000038</v>
      </c>
      <c r="I387" s="21" t="s">
        <v>184</v>
      </c>
      <c r="J387" s="39">
        <v>13</v>
      </c>
      <c r="K387" s="46">
        <v>1040005</v>
      </c>
      <c r="L387" s="39">
        <f t="shared" si="39"/>
        <v>5</v>
      </c>
      <c r="M387" s="39" t="s">
        <v>2185</v>
      </c>
      <c r="N387" s="21" t="s">
        <v>1033</v>
      </c>
      <c r="O387" s="21" t="s">
        <v>1034</v>
      </c>
    </row>
    <row r="388" spans="2:15" x14ac:dyDescent="0.2">
      <c r="B388" s="39">
        <f t="shared" si="38"/>
        <v>12000039</v>
      </c>
      <c r="C388" s="39">
        <v>1</v>
      </c>
      <c r="D388" s="39"/>
      <c r="E388" s="39"/>
      <c r="F388" s="39"/>
      <c r="G388" s="39">
        <v>1</v>
      </c>
      <c r="H388" s="21">
        <v>12000039</v>
      </c>
      <c r="I388" s="21" t="s">
        <v>184</v>
      </c>
      <c r="J388" s="39">
        <v>13</v>
      </c>
      <c r="K388" s="46">
        <v>1004596</v>
      </c>
      <c r="L388" s="39">
        <f t="shared" si="39"/>
        <v>5</v>
      </c>
      <c r="M388" s="39" t="s">
        <v>2194</v>
      </c>
      <c r="N388" s="21" t="s">
        <v>1028</v>
      </c>
      <c r="O388" s="21"/>
    </row>
    <row r="389" spans="2:15" x14ac:dyDescent="0.2">
      <c r="B389" s="39">
        <f t="shared" si="38"/>
        <v>12000040</v>
      </c>
      <c r="C389" s="39">
        <v>1</v>
      </c>
      <c r="D389" s="39"/>
      <c r="E389" s="39"/>
      <c r="F389" s="39"/>
      <c r="G389" s="39">
        <v>1</v>
      </c>
      <c r="H389" s="21">
        <v>12000040</v>
      </c>
      <c r="I389" s="21" t="s">
        <v>184</v>
      </c>
      <c r="J389" s="39">
        <v>13</v>
      </c>
      <c r="K389" s="46">
        <v>1004597</v>
      </c>
      <c r="L389" s="39">
        <f t="shared" si="39"/>
        <v>5</v>
      </c>
      <c r="M389" s="39" t="s">
        <v>2195</v>
      </c>
      <c r="N389" s="134" t="s">
        <v>1029</v>
      </c>
      <c r="O389" s="21"/>
    </row>
    <row r="390" spans="2:15" x14ac:dyDescent="0.2">
      <c r="B390" s="39">
        <f t="shared" si="38"/>
        <v>12000041</v>
      </c>
      <c r="C390" s="39">
        <v>1</v>
      </c>
      <c r="D390" s="39"/>
      <c r="E390" s="39"/>
      <c r="F390" s="39"/>
      <c r="G390" s="39">
        <v>1</v>
      </c>
      <c r="H390" s="21">
        <v>12000041</v>
      </c>
      <c r="I390" s="21" t="s">
        <v>184</v>
      </c>
      <c r="J390" s="39">
        <v>13</v>
      </c>
      <c r="K390" s="46">
        <v>1004578</v>
      </c>
      <c r="L390" s="39">
        <f t="shared" si="39"/>
        <v>5</v>
      </c>
      <c r="M390" s="39" t="s">
        <v>2196</v>
      </c>
      <c r="N390" s="21" t="s">
        <v>1031</v>
      </c>
      <c r="O390" s="21"/>
    </row>
    <row r="391" spans="2:15" x14ac:dyDescent="0.2">
      <c r="B391" s="39">
        <f t="shared" si="38"/>
        <v>12000042</v>
      </c>
      <c r="C391" s="39">
        <v>1</v>
      </c>
      <c r="D391" s="39"/>
      <c r="E391" s="39"/>
      <c r="F391" s="39"/>
      <c r="G391" s="39">
        <v>1</v>
      </c>
      <c r="H391" s="21">
        <v>12000042</v>
      </c>
      <c r="I391" s="21" t="s">
        <v>184</v>
      </c>
      <c r="J391" s="39">
        <v>13</v>
      </c>
      <c r="K391" s="46">
        <v>1004582</v>
      </c>
      <c r="L391" s="39">
        <f t="shared" si="39"/>
        <v>5</v>
      </c>
      <c r="M391" s="39" t="s">
        <v>2197</v>
      </c>
      <c r="N391" s="21" t="s">
        <v>1032</v>
      </c>
      <c r="O391" s="21"/>
    </row>
    <row r="392" spans="2:15" x14ac:dyDescent="0.2">
      <c r="B392" s="39">
        <f t="shared" si="38"/>
        <v>12000043</v>
      </c>
      <c r="C392" s="39">
        <v>1</v>
      </c>
      <c r="D392" s="39"/>
      <c r="E392" s="39"/>
      <c r="F392" s="39"/>
      <c r="G392" s="39">
        <v>1</v>
      </c>
      <c r="H392" s="21">
        <v>12000043</v>
      </c>
      <c r="I392" s="21" t="s">
        <v>184</v>
      </c>
      <c r="J392" s="39">
        <v>13</v>
      </c>
      <c r="K392" s="46">
        <v>1004581</v>
      </c>
      <c r="L392" s="39">
        <f t="shared" si="39"/>
        <v>5</v>
      </c>
      <c r="M392" s="39" t="s">
        <v>2198</v>
      </c>
      <c r="N392" s="21" t="s">
        <v>1030</v>
      </c>
      <c r="O392" s="21"/>
    </row>
    <row r="393" spans="2:15" x14ac:dyDescent="0.2">
      <c r="B393" s="39">
        <f t="shared" si="38"/>
        <v>12000044</v>
      </c>
      <c r="C393" s="39">
        <v>1</v>
      </c>
      <c r="D393" s="39"/>
      <c r="E393" s="39"/>
      <c r="F393" s="39"/>
      <c r="G393" s="39">
        <v>1</v>
      </c>
      <c r="H393" s="21">
        <f>H392+1</f>
        <v>12000044</v>
      </c>
      <c r="I393" s="21" t="s">
        <v>184</v>
      </c>
      <c r="J393" s="39">
        <v>13</v>
      </c>
      <c r="K393" s="46">
        <v>1026034</v>
      </c>
      <c r="L393" s="39">
        <f t="shared" si="39"/>
        <v>5</v>
      </c>
      <c r="M393" s="39" t="s">
        <v>1039</v>
      </c>
      <c r="N393" s="21" t="s">
        <v>1035</v>
      </c>
      <c r="O393" s="21" t="s">
        <v>1037</v>
      </c>
    </row>
    <row r="394" spans="2:15" ht="12.75" thickBot="1" x14ac:dyDescent="0.25">
      <c r="B394" s="44">
        <f t="shared" si="38"/>
        <v>12000045</v>
      </c>
      <c r="C394" s="39">
        <v>1</v>
      </c>
      <c r="D394" s="39"/>
      <c r="E394" s="39"/>
      <c r="F394" s="39"/>
      <c r="G394" s="39">
        <v>1</v>
      </c>
      <c r="H394" s="63">
        <f>H393+1</f>
        <v>12000045</v>
      </c>
      <c r="I394" s="63" t="s">
        <v>184</v>
      </c>
      <c r="J394" s="44">
        <v>13</v>
      </c>
      <c r="K394" s="54">
        <v>1026035</v>
      </c>
      <c r="L394" s="44">
        <f t="shared" si="39"/>
        <v>5</v>
      </c>
      <c r="M394" s="44" t="s">
        <v>1040</v>
      </c>
      <c r="N394" s="63" t="s">
        <v>1036</v>
      </c>
      <c r="O394" s="63" t="s">
        <v>1038</v>
      </c>
    </row>
    <row r="395" spans="2:15" ht="12.75" thickBot="1" x14ac:dyDescent="0.25">
      <c r="B395" s="90">
        <f t="shared" si="38"/>
        <v>12000046</v>
      </c>
      <c r="C395" s="39">
        <v>1</v>
      </c>
      <c r="D395" s="39"/>
      <c r="E395" s="39"/>
      <c r="F395" s="39"/>
      <c r="G395" s="39">
        <v>1</v>
      </c>
      <c r="H395" s="170">
        <v>12000046</v>
      </c>
      <c r="I395" s="170" t="s">
        <v>2436</v>
      </c>
      <c r="J395" s="91">
        <v>13</v>
      </c>
      <c r="K395" s="92">
        <v>1026218</v>
      </c>
      <c r="L395" s="91">
        <v>21</v>
      </c>
      <c r="M395" s="91" t="s">
        <v>2437</v>
      </c>
      <c r="N395" s="170" t="s">
        <v>2438</v>
      </c>
      <c r="O395" s="65" t="s">
        <v>2439</v>
      </c>
    </row>
    <row r="396" spans="2:15" x14ac:dyDescent="0.2">
      <c r="B396" s="48">
        <f t="shared" si="38"/>
        <v>12000049</v>
      </c>
      <c r="C396" s="39">
        <v>1</v>
      </c>
      <c r="D396" s="39"/>
      <c r="E396" s="39"/>
      <c r="F396" s="39"/>
      <c r="G396" s="39">
        <v>1</v>
      </c>
      <c r="H396" s="64">
        <v>12000049</v>
      </c>
      <c r="I396" s="64" t="s">
        <v>186</v>
      </c>
      <c r="J396" s="48">
        <v>13</v>
      </c>
      <c r="K396" s="106">
        <v>1800015</v>
      </c>
      <c r="L396" s="48">
        <f>VLOOKUP(I396,error,2,FALSE)</f>
        <v>21</v>
      </c>
      <c r="M396" s="48" t="s">
        <v>2199</v>
      </c>
      <c r="N396" s="64" t="s">
        <v>1468</v>
      </c>
      <c r="O396" s="64" t="s">
        <v>1469</v>
      </c>
    </row>
    <row r="397" spans="2:15" x14ac:dyDescent="0.2">
      <c r="B397" s="39">
        <f t="shared" si="38"/>
        <v>12000052</v>
      </c>
      <c r="C397" s="39">
        <v>1</v>
      </c>
      <c r="D397" s="39"/>
      <c r="E397" s="39"/>
      <c r="F397" s="39"/>
      <c r="G397" s="39">
        <v>1</v>
      </c>
      <c r="H397" s="21">
        <v>12000052</v>
      </c>
      <c r="I397" s="21" t="s">
        <v>184</v>
      </c>
      <c r="J397" s="39">
        <v>13</v>
      </c>
      <c r="K397" s="46">
        <v>1065085</v>
      </c>
      <c r="L397" s="39">
        <f>VLOOKUP(I397,error,2,FALSE)</f>
        <v>5</v>
      </c>
      <c r="M397" s="39" t="s">
        <v>2200</v>
      </c>
      <c r="N397" s="21" t="s">
        <v>1494</v>
      </c>
      <c r="O397" s="21" t="s">
        <v>1495</v>
      </c>
    </row>
    <row r="398" spans="2:15" x14ac:dyDescent="0.2">
      <c r="B398" s="39">
        <f t="shared" si="38"/>
        <v>12000053</v>
      </c>
      <c r="C398" s="39">
        <v>1</v>
      </c>
      <c r="D398" s="39"/>
      <c r="E398" s="39"/>
      <c r="F398" s="39"/>
      <c r="G398" s="39">
        <v>1</v>
      </c>
      <c r="H398" s="21">
        <v>12000053</v>
      </c>
      <c r="I398" s="21" t="s">
        <v>186</v>
      </c>
      <c r="J398" s="39">
        <v>13</v>
      </c>
      <c r="K398" s="46">
        <v>1026050</v>
      </c>
      <c r="L398" s="39">
        <v>21</v>
      </c>
      <c r="M398" s="39" t="s">
        <v>2201</v>
      </c>
      <c r="N398" s="21" t="s">
        <v>1588</v>
      </c>
      <c r="O398" s="21" t="s">
        <v>1589</v>
      </c>
    </row>
    <row r="399" spans="2:15" ht="12.75" thickBot="1" x14ac:dyDescent="0.25">
      <c r="B399" s="44">
        <f t="shared" si="38"/>
        <v>12000054</v>
      </c>
      <c r="C399" s="39">
        <v>1</v>
      </c>
      <c r="D399" s="39"/>
      <c r="E399" s="39"/>
      <c r="F399" s="39"/>
      <c r="G399" s="39">
        <v>1</v>
      </c>
      <c r="H399" s="63">
        <v>12000054</v>
      </c>
      <c r="I399" s="63" t="s">
        <v>186</v>
      </c>
      <c r="J399" s="44">
        <v>13</v>
      </c>
      <c r="K399" s="54">
        <v>1068502</v>
      </c>
      <c r="L399" s="44">
        <v>21</v>
      </c>
      <c r="M399" s="44" t="s">
        <v>1903</v>
      </c>
      <c r="N399" s="63" t="s">
        <v>1901</v>
      </c>
      <c r="O399" s="63" t="s">
        <v>1902</v>
      </c>
    </row>
    <row r="400" spans="2:15" ht="12.75" thickBot="1" x14ac:dyDescent="0.25">
      <c r="B400" s="90">
        <f t="shared" si="38"/>
        <v>12000055</v>
      </c>
      <c r="C400" s="39">
        <v>1</v>
      </c>
      <c r="D400" s="39"/>
      <c r="E400" s="39"/>
      <c r="F400" s="39"/>
      <c r="G400" s="39">
        <v>1</v>
      </c>
      <c r="H400" s="170">
        <v>12000055</v>
      </c>
      <c r="I400" s="170" t="s">
        <v>186</v>
      </c>
      <c r="J400" s="91">
        <v>21</v>
      </c>
      <c r="K400" s="92">
        <v>1005984</v>
      </c>
      <c r="L400" s="91">
        <v>21</v>
      </c>
      <c r="M400" s="91" t="s">
        <v>1942</v>
      </c>
      <c r="N400" s="170" t="s">
        <v>1943</v>
      </c>
      <c r="O400" s="65" t="s">
        <v>1944</v>
      </c>
    </row>
    <row r="401" spans="2:15" x14ac:dyDescent="0.2">
      <c r="B401" s="184">
        <f t="shared" si="38"/>
        <v>12000056</v>
      </c>
      <c r="C401" s="39">
        <v>1</v>
      </c>
      <c r="D401" s="39"/>
      <c r="E401" s="39"/>
      <c r="F401" s="39"/>
      <c r="G401" s="39">
        <v>1</v>
      </c>
      <c r="H401" s="172">
        <v>12000056</v>
      </c>
      <c r="I401" s="163" t="s">
        <v>186</v>
      </c>
      <c r="J401" s="164">
        <v>21</v>
      </c>
      <c r="K401" s="173">
        <v>1005986</v>
      </c>
      <c r="L401" s="164">
        <v>21</v>
      </c>
      <c r="M401" s="93" t="s">
        <v>1947</v>
      </c>
      <c r="N401" s="172" t="s">
        <v>1946</v>
      </c>
      <c r="O401" s="66" t="s">
        <v>1945</v>
      </c>
    </row>
    <row r="402" spans="2:15" ht="12.75" thickBot="1" x14ac:dyDescent="0.25">
      <c r="B402" s="44">
        <v>12000057</v>
      </c>
      <c r="C402" s="39">
        <v>1</v>
      </c>
      <c r="D402" s="39"/>
      <c r="E402" s="39"/>
      <c r="F402" s="39"/>
      <c r="G402" s="39">
        <v>1</v>
      </c>
      <c r="H402" s="63">
        <v>12000057</v>
      </c>
      <c r="I402" s="63" t="s">
        <v>186</v>
      </c>
      <c r="J402" s="44">
        <v>21</v>
      </c>
      <c r="K402" s="54">
        <v>2004916</v>
      </c>
      <c r="L402" s="44">
        <v>21</v>
      </c>
      <c r="M402" s="44" t="s">
        <v>1954</v>
      </c>
      <c r="N402" s="63" t="s">
        <v>1955</v>
      </c>
      <c r="O402" s="63" t="s">
        <v>1956</v>
      </c>
    </row>
    <row r="403" spans="2:15" ht="12.75" thickBot="1" x14ac:dyDescent="0.25">
      <c r="B403" s="90">
        <f t="shared" ref="B403:B481" si="40">H403</f>
        <v>12000058</v>
      </c>
      <c r="C403" s="39">
        <v>1</v>
      </c>
      <c r="D403" s="39"/>
      <c r="E403" s="39"/>
      <c r="F403" s="39"/>
      <c r="G403" s="39">
        <v>1</v>
      </c>
      <c r="H403" s="170">
        <v>12000058</v>
      </c>
      <c r="I403" s="170" t="s">
        <v>186</v>
      </c>
      <c r="J403" s="91">
        <v>13</v>
      </c>
      <c r="K403" s="92">
        <v>1026217</v>
      </c>
      <c r="L403" s="91">
        <v>21</v>
      </c>
      <c r="M403" s="91" t="s">
        <v>2433</v>
      </c>
      <c r="N403" s="170" t="s">
        <v>2434</v>
      </c>
      <c r="O403" s="65" t="s">
        <v>2435</v>
      </c>
    </row>
    <row r="404" spans="2:15" x14ac:dyDescent="0.2">
      <c r="B404" s="184">
        <v>12000059</v>
      </c>
      <c r="C404" s="39">
        <v>1</v>
      </c>
      <c r="D404" s="39"/>
      <c r="E404" s="39"/>
      <c r="F404" s="39"/>
      <c r="G404" s="39">
        <v>1</v>
      </c>
      <c r="H404" s="172">
        <v>12000059</v>
      </c>
      <c r="I404" s="172" t="s">
        <v>186</v>
      </c>
      <c r="J404" s="93">
        <v>21</v>
      </c>
      <c r="K404" s="173">
        <v>1076502</v>
      </c>
      <c r="L404" s="93">
        <v>21</v>
      </c>
      <c r="M404" s="93" t="s">
        <v>2511</v>
      </c>
      <c r="N404" s="172" t="s">
        <v>2512</v>
      </c>
      <c r="O404" s="66" t="s">
        <v>2513</v>
      </c>
    </row>
    <row r="405" spans="2:15" x14ac:dyDescent="0.2">
      <c r="B405" s="184">
        <v>12000060</v>
      </c>
      <c r="C405" s="39">
        <v>1</v>
      </c>
      <c r="D405" s="39"/>
      <c r="E405" s="39"/>
      <c r="F405" s="39"/>
      <c r="G405" s="39">
        <v>1</v>
      </c>
      <c r="H405" s="172">
        <v>12000060</v>
      </c>
      <c r="I405" s="172" t="s">
        <v>186</v>
      </c>
      <c r="J405" s="93">
        <v>21</v>
      </c>
      <c r="K405" s="173">
        <v>1076509</v>
      </c>
      <c r="L405" s="93">
        <v>21</v>
      </c>
      <c r="M405" s="93" t="s">
        <v>2514</v>
      </c>
      <c r="N405" s="172" t="s">
        <v>2515</v>
      </c>
      <c r="O405" s="66" t="s">
        <v>2516</v>
      </c>
    </row>
    <row r="406" spans="2:15" x14ac:dyDescent="0.2">
      <c r="B406" s="184">
        <v>12000061</v>
      </c>
      <c r="C406" s="39">
        <v>1</v>
      </c>
      <c r="D406" s="39"/>
      <c r="E406" s="39"/>
      <c r="F406" s="39"/>
      <c r="G406" s="39">
        <v>1</v>
      </c>
      <c r="H406" s="172">
        <v>12000061</v>
      </c>
      <c r="I406" s="172" t="s">
        <v>186</v>
      </c>
      <c r="J406" s="93">
        <v>21</v>
      </c>
      <c r="K406" s="173">
        <v>1076510</v>
      </c>
      <c r="L406" s="93">
        <v>21</v>
      </c>
      <c r="M406" s="93" t="s">
        <v>2517</v>
      </c>
      <c r="N406" s="185" t="s">
        <v>2518</v>
      </c>
      <c r="O406" s="66" t="s">
        <v>2519</v>
      </c>
    </row>
    <row r="407" spans="2:15" x14ac:dyDescent="0.2">
      <c r="B407" s="184">
        <v>12000062</v>
      </c>
      <c r="C407" s="39">
        <v>1</v>
      </c>
      <c r="D407" s="39"/>
      <c r="E407" s="39"/>
      <c r="F407" s="39"/>
      <c r="G407" s="39">
        <v>1</v>
      </c>
      <c r="H407" s="172">
        <v>12000062</v>
      </c>
      <c r="I407" s="172" t="s">
        <v>186</v>
      </c>
      <c r="J407" s="93">
        <v>21</v>
      </c>
      <c r="K407" s="173">
        <v>1076511</v>
      </c>
      <c r="L407" s="93">
        <v>21</v>
      </c>
      <c r="M407" s="93" t="s">
        <v>2520</v>
      </c>
      <c r="N407" s="172" t="s">
        <v>2521</v>
      </c>
      <c r="O407" s="66" t="s">
        <v>2522</v>
      </c>
    </row>
    <row r="408" spans="2:15" x14ac:dyDescent="0.2">
      <c r="B408" s="184">
        <v>12000063</v>
      </c>
      <c r="C408" s="39">
        <v>1</v>
      </c>
      <c r="D408" s="39"/>
      <c r="E408" s="39"/>
      <c r="F408" s="39"/>
      <c r="G408" s="39">
        <v>1</v>
      </c>
      <c r="H408" s="172">
        <v>12000063</v>
      </c>
      <c r="I408" s="172" t="s">
        <v>186</v>
      </c>
      <c r="J408" s="93">
        <v>21</v>
      </c>
      <c r="K408" s="173">
        <v>1076512</v>
      </c>
      <c r="L408" s="93">
        <v>21</v>
      </c>
      <c r="M408" s="93" t="s">
        <v>2523</v>
      </c>
      <c r="N408" s="172" t="s">
        <v>2524</v>
      </c>
      <c r="O408" s="66" t="s">
        <v>2525</v>
      </c>
    </row>
    <row r="409" spans="2:15" x14ac:dyDescent="0.2">
      <c r="B409" s="184">
        <v>12000064</v>
      </c>
      <c r="C409" s="39">
        <v>1</v>
      </c>
      <c r="D409" s="39"/>
      <c r="E409" s="39"/>
      <c r="F409" s="39"/>
      <c r="G409" s="39">
        <v>1</v>
      </c>
      <c r="H409" s="172">
        <v>12000064</v>
      </c>
      <c r="I409" s="172" t="s">
        <v>186</v>
      </c>
      <c r="J409" s="93">
        <v>21</v>
      </c>
      <c r="K409" s="173">
        <v>1076515</v>
      </c>
      <c r="L409" s="93">
        <v>21</v>
      </c>
      <c r="M409" s="93" t="s">
        <v>2526</v>
      </c>
      <c r="N409" s="172" t="s">
        <v>2527</v>
      </c>
      <c r="O409" s="66" t="s">
        <v>2528</v>
      </c>
    </row>
    <row r="410" spans="2:15" x14ac:dyDescent="0.2">
      <c r="B410" s="184">
        <v>12000065</v>
      </c>
      <c r="C410" s="39">
        <v>1</v>
      </c>
      <c r="D410" s="39"/>
      <c r="E410" s="39"/>
      <c r="F410" s="39"/>
      <c r="G410" s="39">
        <v>1</v>
      </c>
      <c r="H410" s="172">
        <v>12000065</v>
      </c>
      <c r="I410" s="172" t="s">
        <v>186</v>
      </c>
      <c r="J410" s="93">
        <v>21</v>
      </c>
      <c r="K410" s="173">
        <v>1076516</v>
      </c>
      <c r="L410" s="93">
        <v>21</v>
      </c>
      <c r="M410" s="93" t="s">
        <v>2529</v>
      </c>
      <c r="N410" s="172" t="s">
        <v>2530</v>
      </c>
      <c r="O410" s="66" t="s">
        <v>2531</v>
      </c>
    </row>
    <row r="411" spans="2:15" ht="12.75" thickBot="1" x14ac:dyDescent="0.25">
      <c r="B411" s="184">
        <v>12000066</v>
      </c>
      <c r="C411" s="39">
        <v>1</v>
      </c>
      <c r="D411" s="39"/>
      <c r="E411" s="39"/>
      <c r="F411" s="39"/>
      <c r="G411" s="39">
        <v>1</v>
      </c>
      <c r="H411" s="172">
        <v>12000066</v>
      </c>
      <c r="I411" s="172" t="s">
        <v>186</v>
      </c>
      <c r="J411" s="93">
        <v>21</v>
      </c>
      <c r="K411" s="173">
        <v>1076505</v>
      </c>
      <c r="L411" s="93">
        <v>21</v>
      </c>
      <c r="M411" s="93" t="s">
        <v>2532</v>
      </c>
      <c r="N411" s="172" t="s">
        <v>2533</v>
      </c>
      <c r="O411" s="66" t="s">
        <v>2534</v>
      </c>
    </row>
    <row r="412" spans="2:15" x14ac:dyDescent="0.2">
      <c r="B412" s="162">
        <f t="shared" ref="B412:B418" si="41">H412</f>
        <v>12000067</v>
      </c>
      <c r="C412" s="39">
        <v>1</v>
      </c>
      <c r="D412" s="39"/>
      <c r="E412" s="39"/>
      <c r="F412" s="39"/>
      <c r="G412" s="39">
        <v>1</v>
      </c>
      <c r="H412" s="163">
        <v>12000067</v>
      </c>
      <c r="I412" s="163" t="s">
        <v>186</v>
      </c>
      <c r="J412" s="164">
        <v>21</v>
      </c>
      <c r="K412" s="165">
        <v>2004938</v>
      </c>
      <c r="L412" s="164">
        <v>21</v>
      </c>
      <c r="M412" s="164" t="s">
        <v>2553</v>
      </c>
      <c r="N412" s="163" t="s">
        <v>2554</v>
      </c>
      <c r="O412" s="94" t="s">
        <v>2555</v>
      </c>
    </row>
    <row r="413" spans="2:15" ht="12.75" thickBot="1" x14ac:dyDescent="0.25">
      <c r="B413" s="171">
        <f t="shared" si="41"/>
        <v>12000068</v>
      </c>
      <c r="C413" s="44">
        <v>1</v>
      </c>
      <c r="D413" s="44"/>
      <c r="E413" s="44"/>
      <c r="F413" s="44"/>
      <c r="G413" s="44">
        <v>1</v>
      </c>
      <c r="H413" s="172">
        <v>12000068</v>
      </c>
      <c r="I413" s="172" t="s">
        <v>186</v>
      </c>
      <c r="J413" s="93">
        <v>21</v>
      </c>
      <c r="K413" s="173">
        <v>2004922</v>
      </c>
      <c r="L413" s="93">
        <v>21</v>
      </c>
      <c r="M413" s="93" t="s">
        <v>2556</v>
      </c>
      <c r="N413" s="172" t="s">
        <v>2557</v>
      </c>
      <c r="O413" s="295" t="s">
        <v>2555</v>
      </c>
    </row>
    <row r="414" spans="2:15" x14ac:dyDescent="0.2">
      <c r="B414" s="232">
        <f t="shared" si="41"/>
        <v>12000069</v>
      </c>
      <c r="C414" s="102">
        <v>1</v>
      </c>
      <c r="D414" s="102" t="s">
        <v>3399</v>
      </c>
      <c r="E414" s="102">
        <v>0</v>
      </c>
      <c r="F414" s="102" t="s">
        <v>3400</v>
      </c>
      <c r="G414" s="102">
        <v>1</v>
      </c>
      <c r="H414" s="337">
        <v>12000069</v>
      </c>
      <c r="I414" s="337" t="s">
        <v>186</v>
      </c>
      <c r="J414" s="102">
        <v>21</v>
      </c>
      <c r="K414" s="233">
        <v>2100234</v>
      </c>
      <c r="L414" s="102">
        <v>21</v>
      </c>
      <c r="M414" s="102" t="s">
        <v>3442</v>
      </c>
      <c r="N414" s="337" t="s">
        <v>3443</v>
      </c>
      <c r="O414" s="374" t="s">
        <v>3403</v>
      </c>
    </row>
    <row r="415" spans="2:15" ht="12.75" thickBot="1" x14ac:dyDescent="0.25">
      <c r="B415" s="237">
        <f t="shared" si="41"/>
        <v>12000070</v>
      </c>
      <c r="C415" s="103">
        <v>1</v>
      </c>
      <c r="D415" s="103" t="s">
        <v>3399</v>
      </c>
      <c r="E415" s="103">
        <v>0</v>
      </c>
      <c r="F415" s="103" t="s">
        <v>3400</v>
      </c>
      <c r="G415" s="103">
        <v>1</v>
      </c>
      <c r="H415" s="345">
        <v>12000070</v>
      </c>
      <c r="I415" s="345" t="s">
        <v>186</v>
      </c>
      <c r="J415" s="103">
        <v>21</v>
      </c>
      <c r="K415" s="238">
        <v>2100235</v>
      </c>
      <c r="L415" s="103">
        <v>21</v>
      </c>
      <c r="M415" s="103" t="s">
        <v>3444</v>
      </c>
      <c r="N415" s="345" t="s">
        <v>3445</v>
      </c>
      <c r="O415" s="371" t="s">
        <v>3403</v>
      </c>
    </row>
    <row r="416" spans="2:15" x14ac:dyDescent="0.2">
      <c r="B416" s="372">
        <f t="shared" si="41"/>
        <v>12000071</v>
      </c>
      <c r="C416" s="48">
        <v>1</v>
      </c>
      <c r="D416" s="48"/>
      <c r="E416" s="48"/>
      <c r="F416" s="48"/>
      <c r="G416" s="48">
        <v>1</v>
      </c>
      <c r="H416" s="64">
        <v>12000071</v>
      </c>
      <c r="I416" s="64" t="s">
        <v>186</v>
      </c>
      <c r="J416" s="48">
        <v>21</v>
      </c>
      <c r="K416" s="106">
        <v>1026069</v>
      </c>
      <c r="L416" s="48">
        <v>21</v>
      </c>
      <c r="M416" s="48" t="s">
        <v>2682</v>
      </c>
      <c r="N416" s="64" t="s">
        <v>2683</v>
      </c>
      <c r="O416" s="373" t="s">
        <v>2684</v>
      </c>
    </row>
    <row r="417" spans="2:15" x14ac:dyDescent="0.2">
      <c r="B417" s="169">
        <f t="shared" si="41"/>
        <v>12000072</v>
      </c>
      <c r="C417" s="39">
        <v>1</v>
      </c>
      <c r="D417" s="39"/>
      <c r="E417" s="39"/>
      <c r="F417" s="39"/>
      <c r="G417" s="39">
        <v>1</v>
      </c>
      <c r="H417" s="21">
        <v>12000072</v>
      </c>
      <c r="I417" s="21" t="s">
        <v>186</v>
      </c>
      <c r="J417" s="39">
        <v>21</v>
      </c>
      <c r="K417" s="46">
        <v>1026068</v>
      </c>
      <c r="L417" s="39">
        <v>21</v>
      </c>
      <c r="M417" s="39" t="s">
        <v>2685</v>
      </c>
      <c r="N417" s="21" t="s">
        <v>2686</v>
      </c>
      <c r="O417" s="296" t="s">
        <v>2687</v>
      </c>
    </row>
    <row r="418" spans="2:15" ht="12.75" thickBot="1" x14ac:dyDescent="0.25">
      <c r="B418" s="120">
        <f t="shared" si="41"/>
        <v>12000078</v>
      </c>
      <c r="C418" s="89">
        <v>1</v>
      </c>
      <c r="D418" s="89"/>
      <c r="E418" s="89"/>
      <c r="F418" s="89"/>
      <c r="G418" s="89">
        <v>1</v>
      </c>
      <c r="H418" s="167">
        <v>12000078</v>
      </c>
      <c r="I418" s="167" t="s">
        <v>187</v>
      </c>
      <c r="J418" s="89">
        <v>21</v>
      </c>
      <c r="K418" s="121">
        <v>1054109</v>
      </c>
      <c r="L418" s="89">
        <v>21</v>
      </c>
      <c r="M418" s="89" t="s">
        <v>3089</v>
      </c>
      <c r="N418" s="167" t="s">
        <v>3090</v>
      </c>
      <c r="O418" s="95" t="s">
        <v>3091</v>
      </c>
    </row>
    <row r="419" spans="2:15" ht="12.75" thickBot="1" x14ac:dyDescent="0.25">
      <c r="B419" s="120">
        <f t="shared" ref="B419" si="42">H419</f>
        <v>12000079</v>
      </c>
      <c r="C419" s="89">
        <v>1</v>
      </c>
      <c r="D419" s="89"/>
      <c r="E419" s="89"/>
      <c r="F419" s="89"/>
      <c r="G419" s="89">
        <v>1</v>
      </c>
      <c r="H419" s="167">
        <v>12000079</v>
      </c>
      <c r="I419" s="167" t="s">
        <v>187</v>
      </c>
      <c r="J419" s="89">
        <v>21</v>
      </c>
      <c r="K419" s="173">
        <v>1400623</v>
      </c>
      <c r="L419" s="89">
        <v>21</v>
      </c>
      <c r="M419" s="93" t="s">
        <v>3464</v>
      </c>
      <c r="N419" s="172" t="s">
        <v>3465</v>
      </c>
      <c r="O419" s="66" t="s">
        <v>3466</v>
      </c>
    </row>
    <row r="420" spans="2:15" ht="12.75" thickBot="1" x14ac:dyDescent="0.25">
      <c r="B420" s="120">
        <f t="shared" ref="B420:B435" si="43">H420</f>
        <v>12000080</v>
      </c>
      <c r="C420" s="89">
        <v>1</v>
      </c>
      <c r="D420" s="89"/>
      <c r="E420" s="89"/>
      <c r="F420" s="89"/>
      <c r="G420" s="89">
        <v>1</v>
      </c>
      <c r="H420" s="167">
        <v>12000080</v>
      </c>
      <c r="I420" s="167" t="s">
        <v>187</v>
      </c>
      <c r="J420" s="89">
        <v>21</v>
      </c>
      <c r="K420" s="173">
        <v>2000101</v>
      </c>
      <c r="L420" s="89">
        <v>21</v>
      </c>
      <c r="M420" s="93" t="s">
        <v>3474</v>
      </c>
      <c r="N420" s="172" t="s">
        <v>3475</v>
      </c>
      <c r="O420" s="66" t="s">
        <v>3476</v>
      </c>
    </row>
    <row r="421" spans="2:15" ht="12.75" thickBot="1" x14ac:dyDescent="0.25">
      <c r="B421" s="93">
        <f t="shared" si="43"/>
        <v>12000081</v>
      </c>
      <c r="C421" s="436">
        <v>1</v>
      </c>
      <c r="D421" s="436"/>
      <c r="E421" s="436"/>
      <c r="F421" s="436"/>
      <c r="G421" s="436">
        <v>1</v>
      </c>
      <c r="H421" s="172">
        <v>12000081</v>
      </c>
      <c r="I421" s="172" t="s">
        <v>186</v>
      </c>
      <c r="J421" s="93">
        <v>13</v>
      </c>
      <c r="K421" s="173">
        <v>1004359</v>
      </c>
      <c r="L421" s="93">
        <v>21</v>
      </c>
      <c r="M421" s="93" t="s">
        <v>3480</v>
      </c>
      <c r="N421" s="172" t="s">
        <v>3481</v>
      </c>
      <c r="O421" s="66" t="s">
        <v>3482</v>
      </c>
    </row>
    <row r="422" spans="2:15" ht="12.75" thickBot="1" x14ac:dyDescent="0.25">
      <c r="B422" s="90">
        <f>H422</f>
        <v>12000084</v>
      </c>
      <c r="C422" s="247">
        <v>1</v>
      </c>
      <c r="D422" s="247" t="s">
        <v>4307</v>
      </c>
      <c r="E422" s="247">
        <v>0</v>
      </c>
      <c r="F422" s="247" t="s">
        <v>4308</v>
      </c>
      <c r="G422" s="247">
        <v>1</v>
      </c>
      <c r="H422" s="170">
        <v>12000084</v>
      </c>
      <c r="I422" s="170" t="s">
        <v>186</v>
      </c>
      <c r="J422" s="91">
        <v>21</v>
      </c>
      <c r="K422" s="92">
        <v>1076030</v>
      </c>
      <c r="L422" s="91">
        <v>21</v>
      </c>
      <c r="M422" s="91" t="s">
        <v>4309</v>
      </c>
      <c r="N422" s="170" t="s">
        <v>4310</v>
      </c>
      <c r="O422" s="65" t="s">
        <v>4311</v>
      </c>
    </row>
    <row r="423" spans="2:15" x14ac:dyDescent="0.2">
      <c r="B423" s="48">
        <f t="shared" si="43"/>
        <v>12000100</v>
      </c>
      <c r="C423" s="442">
        <v>1</v>
      </c>
      <c r="D423" s="442"/>
      <c r="E423" s="442"/>
      <c r="F423" s="442"/>
      <c r="G423" s="442">
        <v>1</v>
      </c>
      <c r="H423" s="172">
        <v>12000100</v>
      </c>
      <c r="I423" s="172" t="s">
        <v>437</v>
      </c>
      <c r="J423" s="93">
        <v>0</v>
      </c>
      <c r="K423" s="173">
        <v>0</v>
      </c>
      <c r="L423" s="93">
        <v>21</v>
      </c>
      <c r="M423" s="93" t="s">
        <v>4208</v>
      </c>
      <c r="N423" s="172" t="s">
        <v>4209</v>
      </c>
      <c r="O423" s="66" t="s">
        <v>4210</v>
      </c>
    </row>
    <row r="424" spans="2:15" x14ac:dyDescent="0.2">
      <c r="B424" s="48">
        <f t="shared" si="43"/>
        <v>12000101</v>
      </c>
      <c r="C424" s="442">
        <v>1</v>
      </c>
      <c r="D424" s="442"/>
      <c r="E424" s="442"/>
      <c r="F424" s="442"/>
      <c r="G424" s="442">
        <v>1</v>
      </c>
      <c r="H424" s="172">
        <v>12000101</v>
      </c>
      <c r="I424" s="172" t="s">
        <v>437</v>
      </c>
      <c r="J424" s="93">
        <v>0</v>
      </c>
      <c r="K424" s="173">
        <v>0</v>
      </c>
      <c r="L424" s="93">
        <v>21</v>
      </c>
      <c r="M424" s="93" t="s">
        <v>4211</v>
      </c>
      <c r="N424" s="172" t="s">
        <v>4212</v>
      </c>
      <c r="O424" s="66" t="s">
        <v>4213</v>
      </c>
    </row>
    <row r="425" spans="2:15" x14ac:dyDescent="0.2">
      <c r="B425" s="48">
        <f t="shared" si="43"/>
        <v>12000102</v>
      </c>
      <c r="C425" s="442">
        <v>1</v>
      </c>
      <c r="D425" s="442"/>
      <c r="E425" s="442"/>
      <c r="F425" s="442"/>
      <c r="G425" s="442">
        <v>1</v>
      </c>
      <c r="H425" s="172">
        <v>12000102</v>
      </c>
      <c r="I425" s="172" t="s">
        <v>437</v>
      </c>
      <c r="J425" s="93">
        <v>0</v>
      </c>
      <c r="K425" s="173">
        <v>0</v>
      </c>
      <c r="L425" s="93">
        <v>21</v>
      </c>
      <c r="M425" s="93" t="s">
        <v>4214</v>
      </c>
      <c r="N425" s="172" t="s">
        <v>4215</v>
      </c>
      <c r="O425" s="66" t="s">
        <v>4216</v>
      </c>
    </row>
    <row r="426" spans="2:15" x14ac:dyDescent="0.2">
      <c r="B426" s="48">
        <f t="shared" si="43"/>
        <v>12000103</v>
      </c>
      <c r="C426" s="442">
        <v>1</v>
      </c>
      <c r="D426" s="442"/>
      <c r="E426" s="442"/>
      <c r="F426" s="442"/>
      <c r="G426" s="442">
        <v>1</v>
      </c>
      <c r="H426" s="172">
        <v>12000103</v>
      </c>
      <c r="I426" s="172" t="s">
        <v>437</v>
      </c>
      <c r="J426" s="93">
        <v>0</v>
      </c>
      <c r="K426" s="173">
        <v>0</v>
      </c>
      <c r="L426" s="93">
        <v>21</v>
      </c>
      <c r="M426" s="93" t="s">
        <v>4217</v>
      </c>
      <c r="N426" s="172" t="s">
        <v>4218</v>
      </c>
      <c r="O426" s="66" t="s">
        <v>4219</v>
      </c>
    </row>
    <row r="427" spans="2:15" x14ac:dyDescent="0.2">
      <c r="B427" s="48">
        <f t="shared" si="43"/>
        <v>12000104</v>
      </c>
      <c r="C427" s="442">
        <v>1</v>
      </c>
      <c r="D427" s="442"/>
      <c r="E427" s="442"/>
      <c r="F427" s="442"/>
      <c r="G427" s="442">
        <v>1</v>
      </c>
      <c r="H427" s="172">
        <v>12000104</v>
      </c>
      <c r="I427" s="172" t="s">
        <v>437</v>
      </c>
      <c r="J427" s="93">
        <v>0</v>
      </c>
      <c r="K427" s="173">
        <v>0</v>
      </c>
      <c r="L427" s="93">
        <v>21</v>
      </c>
      <c r="M427" s="93" t="s">
        <v>4220</v>
      </c>
      <c r="N427" s="172" t="s">
        <v>4221</v>
      </c>
      <c r="O427" s="66" t="s">
        <v>4222</v>
      </c>
    </row>
    <row r="428" spans="2:15" x14ac:dyDescent="0.2">
      <c r="B428" s="48">
        <f t="shared" si="43"/>
        <v>12000105</v>
      </c>
      <c r="C428" s="442">
        <v>1</v>
      </c>
      <c r="D428" s="442"/>
      <c r="E428" s="442"/>
      <c r="F428" s="442"/>
      <c r="G428" s="442">
        <v>1</v>
      </c>
      <c r="H428" s="172">
        <v>12000105</v>
      </c>
      <c r="I428" s="172" t="s">
        <v>437</v>
      </c>
      <c r="J428" s="93">
        <v>0</v>
      </c>
      <c r="K428" s="173">
        <v>0</v>
      </c>
      <c r="L428" s="93">
        <v>21</v>
      </c>
      <c r="M428" s="93" t="s">
        <v>4223</v>
      </c>
      <c r="N428" s="172" t="s">
        <v>4224</v>
      </c>
      <c r="O428" s="66" t="s">
        <v>4225</v>
      </c>
    </row>
    <row r="429" spans="2:15" x14ac:dyDescent="0.2">
      <c r="B429" s="48">
        <f t="shared" si="43"/>
        <v>12000106</v>
      </c>
      <c r="C429" s="442">
        <v>1</v>
      </c>
      <c r="D429" s="442"/>
      <c r="E429" s="442"/>
      <c r="F429" s="442"/>
      <c r="G429" s="442">
        <v>1</v>
      </c>
      <c r="H429" s="172">
        <v>12000106</v>
      </c>
      <c r="I429" s="172" t="s">
        <v>437</v>
      </c>
      <c r="J429" s="93">
        <v>0</v>
      </c>
      <c r="K429" s="173">
        <v>0</v>
      </c>
      <c r="L429" s="93">
        <v>21</v>
      </c>
      <c r="M429" s="93" t="s">
        <v>4234</v>
      </c>
      <c r="N429" s="172" t="s">
        <v>4235</v>
      </c>
      <c r="O429" s="66" t="s">
        <v>4236</v>
      </c>
    </row>
    <row r="430" spans="2:15" x14ac:dyDescent="0.2">
      <c r="B430" s="48">
        <f t="shared" si="43"/>
        <v>12000107</v>
      </c>
      <c r="C430" s="442">
        <v>1</v>
      </c>
      <c r="D430" s="442"/>
      <c r="E430" s="442"/>
      <c r="F430" s="442"/>
      <c r="G430" s="442">
        <v>1</v>
      </c>
      <c r="H430" s="172">
        <v>12000107</v>
      </c>
      <c r="I430" s="172" t="s">
        <v>437</v>
      </c>
      <c r="J430" s="93">
        <v>0</v>
      </c>
      <c r="K430" s="173">
        <v>0</v>
      </c>
      <c r="L430" s="93">
        <v>21</v>
      </c>
      <c r="M430" s="93" t="s">
        <v>4237</v>
      </c>
      <c r="N430" s="172" t="s">
        <v>4238</v>
      </c>
      <c r="O430" s="66" t="s">
        <v>4239</v>
      </c>
    </row>
    <row r="431" spans="2:15" x14ac:dyDescent="0.2">
      <c r="B431" s="48">
        <f t="shared" si="43"/>
        <v>12000108</v>
      </c>
      <c r="C431" s="442">
        <v>1</v>
      </c>
      <c r="D431" s="442"/>
      <c r="E431" s="442"/>
      <c r="F431" s="442"/>
      <c r="G431" s="442">
        <v>1</v>
      </c>
      <c r="H431" s="172">
        <v>12000108</v>
      </c>
      <c r="I431" s="172" t="s">
        <v>437</v>
      </c>
      <c r="J431" s="93">
        <v>0</v>
      </c>
      <c r="K431" s="173">
        <v>0</v>
      </c>
      <c r="L431" s="93">
        <v>21</v>
      </c>
      <c r="M431" s="93" t="s">
        <v>4240</v>
      </c>
      <c r="N431" s="172" t="s">
        <v>4241</v>
      </c>
      <c r="O431" s="66" t="s">
        <v>4242</v>
      </c>
    </row>
    <row r="432" spans="2:15" x14ac:dyDescent="0.2">
      <c r="B432" s="48">
        <f t="shared" si="43"/>
        <v>12000109</v>
      </c>
      <c r="C432" s="442">
        <v>1</v>
      </c>
      <c r="D432" s="442"/>
      <c r="E432" s="442"/>
      <c r="F432" s="442"/>
      <c r="G432" s="442">
        <v>1</v>
      </c>
      <c r="H432" s="172">
        <v>12000109</v>
      </c>
      <c r="I432" s="172" t="s">
        <v>437</v>
      </c>
      <c r="J432" s="93">
        <v>0</v>
      </c>
      <c r="K432" s="173">
        <v>0</v>
      </c>
      <c r="L432" s="93">
        <v>21</v>
      </c>
      <c r="M432" s="93" t="s">
        <v>4243</v>
      </c>
      <c r="N432" s="172" t="s">
        <v>4244</v>
      </c>
      <c r="O432" s="66" t="s">
        <v>4245</v>
      </c>
    </row>
    <row r="433" spans="2:15" x14ac:dyDescent="0.2">
      <c r="B433" s="48">
        <f t="shared" si="43"/>
        <v>12000110</v>
      </c>
      <c r="C433" s="442">
        <v>1</v>
      </c>
      <c r="D433" s="442"/>
      <c r="E433" s="442"/>
      <c r="F433" s="442"/>
      <c r="G433" s="442">
        <v>1</v>
      </c>
      <c r="H433" s="172">
        <v>12000110</v>
      </c>
      <c r="I433" s="172" t="s">
        <v>437</v>
      </c>
      <c r="J433" s="93">
        <v>0</v>
      </c>
      <c r="K433" s="173">
        <v>0</v>
      </c>
      <c r="L433" s="93">
        <v>21</v>
      </c>
      <c r="M433" s="93" t="s">
        <v>4246</v>
      </c>
      <c r="N433" s="172" t="s">
        <v>4247</v>
      </c>
      <c r="O433" s="66" t="s">
        <v>4248</v>
      </c>
    </row>
    <row r="434" spans="2:15" x14ac:dyDescent="0.2">
      <c r="B434" s="48">
        <f t="shared" si="43"/>
        <v>12000111</v>
      </c>
      <c r="C434" s="442">
        <v>1</v>
      </c>
      <c r="D434" s="442"/>
      <c r="E434" s="442"/>
      <c r="F434" s="442"/>
      <c r="G434" s="442">
        <v>1</v>
      </c>
      <c r="H434" s="172">
        <v>12000111</v>
      </c>
      <c r="I434" s="172" t="s">
        <v>437</v>
      </c>
      <c r="J434" s="93">
        <v>0</v>
      </c>
      <c r="K434" s="173">
        <v>0</v>
      </c>
      <c r="L434" s="93">
        <v>21</v>
      </c>
      <c r="M434" s="93" t="s">
        <v>4249</v>
      </c>
      <c r="N434" s="172" t="s">
        <v>4250</v>
      </c>
      <c r="O434" s="66" t="s">
        <v>4251</v>
      </c>
    </row>
    <row r="435" spans="2:15" ht="12.75" thickBot="1" x14ac:dyDescent="0.25">
      <c r="B435" s="93">
        <f t="shared" si="43"/>
        <v>12000112</v>
      </c>
      <c r="C435" s="447">
        <v>1</v>
      </c>
      <c r="D435" s="447"/>
      <c r="E435" s="447"/>
      <c r="F435" s="447"/>
      <c r="G435" s="447">
        <v>1</v>
      </c>
      <c r="H435" s="172">
        <v>12000112</v>
      </c>
      <c r="I435" s="172" t="s">
        <v>437</v>
      </c>
      <c r="J435" s="93">
        <v>0</v>
      </c>
      <c r="K435" s="173">
        <v>0</v>
      </c>
      <c r="L435" s="93">
        <v>21</v>
      </c>
      <c r="M435" s="93" t="s">
        <v>4252</v>
      </c>
      <c r="N435" s="172" t="s">
        <v>4253</v>
      </c>
      <c r="O435" s="66" t="s">
        <v>4254</v>
      </c>
    </row>
    <row r="436" spans="2:15" x14ac:dyDescent="0.2">
      <c r="B436" s="232">
        <f>H436</f>
        <v>12000121</v>
      </c>
      <c r="C436" s="286">
        <v>1</v>
      </c>
      <c r="D436" s="286" t="s">
        <v>4307</v>
      </c>
      <c r="E436" s="286">
        <v>0</v>
      </c>
      <c r="F436" s="286" t="s">
        <v>4308</v>
      </c>
      <c r="G436" s="286">
        <v>1</v>
      </c>
      <c r="H436" s="337">
        <v>12000121</v>
      </c>
      <c r="I436" s="337" t="s">
        <v>186</v>
      </c>
      <c r="J436" s="102">
        <v>21</v>
      </c>
      <c r="K436" s="233">
        <v>1003029</v>
      </c>
      <c r="L436" s="102">
        <v>21</v>
      </c>
      <c r="M436" s="102" t="s">
        <v>4312</v>
      </c>
      <c r="N436" s="337" t="s">
        <v>4313</v>
      </c>
      <c r="O436" s="374" t="s">
        <v>4314</v>
      </c>
    </row>
    <row r="437" spans="2:15" x14ac:dyDescent="0.2">
      <c r="B437" s="235">
        <f t="shared" ref="B437:B447" si="44">H437</f>
        <v>12000122</v>
      </c>
      <c r="C437" s="278">
        <v>1</v>
      </c>
      <c r="D437" s="278" t="s">
        <v>4307</v>
      </c>
      <c r="E437" s="278">
        <v>0</v>
      </c>
      <c r="F437" s="278" t="s">
        <v>4308</v>
      </c>
      <c r="G437" s="278">
        <v>1</v>
      </c>
      <c r="H437" s="341">
        <v>12000122</v>
      </c>
      <c r="I437" s="341" t="s">
        <v>186</v>
      </c>
      <c r="J437" s="61">
        <v>21</v>
      </c>
      <c r="K437" s="220">
        <v>1003030</v>
      </c>
      <c r="L437" s="61">
        <v>21</v>
      </c>
      <c r="M437" s="61" t="s">
        <v>4315</v>
      </c>
      <c r="N437" s="341" t="s">
        <v>4316</v>
      </c>
      <c r="O437" s="455" t="s">
        <v>4314</v>
      </c>
    </row>
    <row r="438" spans="2:15" x14ac:dyDescent="0.2">
      <c r="B438" s="235">
        <f t="shared" si="44"/>
        <v>12000123</v>
      </c>
      <c r="C438" s="278">
        <v>1</v>
      </c>
      <c r="D438" s="278" t="s">
        <v>4307</v>
      </c>
      <c r="E438" s="278">
        <v>0</v>
      </c>
      <c r="F438" s="278" t="s">
        <v>4308</v>
      </c>
      <c r="G438" s="278">
        <v>1</v>
      </c>
      <c r="H438" s="341">
        <v>12000123</v>
      </c>
      <c r="I438" s="341" t="s">
        <v>186</v>
      </c>
      <c r="J438" s="61">
        <v>21</v>
      </c>
      <c r="K438" s="220">
        <v>1003031</v>
      </c>
      <c r="L438" s="61">
        <v>21</v>
      </c>
      <c r="M438" s="61" t="s">
        <v>4317</v>
      </c>
      <c r="N438" s="341" t="s">
        <v>4318</v>
      </c>
      <c r="O438" s="455" t="s">
        <v>4314</v>
      </c>
    </row>
    <row r="439" spans="2:15" x14ac:dyDescent="0.2">
      <c r="B439" s="235">
        <f t="shared" si="44"/>
        <v>12000124</v>
      </c>
      <c r="C439" s="278">
        <v>1</v>
      </c>
      <c r="D439" s="278" t="s">
        <v>4307</v>
      </c>
      <c r="E439" s="278">
        <v>0</v>
      </c>
      <c r="F439" s="278" t="s">
        <v>4308</v>
      </c>
      <c r="G439" s="278">
        <v>1</v>
      </c>
      <c r="H439" s="341">
        <v>12000124</v>
      </c>
      <c r="I439" s="341" t="s">
        <v>186</v>
      </c>
      <c r="J439" s="61">
        <v>21</v>
      </c>
      <c r="K439" s="220">
        <v>1003032</v>
      </c>
      <c r="L439" s="61">
        <v>21</v>
      </c>
      <c r="M439" s="61" t="s">
        <v>4319</v>
      </c>
      <c r="N439" s="341" t="s">
        <v>4320</v>
      </c>
      <c r="O439" s="455" t="s">
        <v>4314</v>
      </c>
    </row>
    <row r="440" spans="2:15" x14ac:dyDescent="0.2">
      <c r="B440" s="235">
        <f t="shared" si="44"/>
        <v>12000125</v>
      </c>
      <c r="C440" s="278">
        <v>1</v>
      </c>
      <c r="D440" s="278" t="s">
        <v>4307</v>
      </c>
      <c r="E440" s="278">
        <v>0</v>
      </c>
      <c r="F440" s="278" t="s">
        <v>4308</v>
      </c>
      <c r="G440" s="278">
        <v>1</v>
      </c>
      <c r="H440" s="341">
        <v>12000125</v>
      </c>
      <c r="I440" s="341" t="s">
        <v>186</v>
      </c>
      <c r="J440" s="61">
        <v>21</v>
      </c>
      <c r="K440" s="220">
        <v>1003033</v>
      </c>
      <c r="L440" s="61">
        <v>21</v>
      </c>
      <c r="M440" s="61" t="s">
        <v>4321</v>
      </c>
      <c r="N440" s="341" t="s">
        <v>4322</v>
      </c>
      <c r="O440" s="455" t="s">
        <v>4314</v>
      </c>
    </row>
    <row r="441" spans="2:15" x14ac:dyDescent="0.2">
      <c r="B441" s="235">
        <f t="shared" si="44"/>
        <v>12000126</v>
      </c>
      <c r="C441" s="278">
        <v>1</v>
      </c>
      <c r="D441" s="278" t="s">
        <v>4307</v>
      </c>
      <c r="E441" s="278">
        <v>0</v>
      </c>
      <c r="F441" s="278" t="s">
        <v>4308</v>
      </c>
      <c r="G441" s="278">
        <v>1</v>
      </c>
      <c r="H441" s="341">
        <v>12000126</v>
      </c>
      <c r="I441" s="341" t="s">
        <v>186</v>
      </c>
      <c r="J441" s="61">
        <v>21</v>
      </c>
      <c r="K441" s="220">
        <v>1003034</v>
      </c>
      <c r="L441" s="61">
        <v>21</v>
      </c>
      <c r="M441" s="61" t="s">
        <v>4321</v>
      </c>
      <c r="N441" s="341" t="s">
        <v>4323</v>
      </c>
      <c r="O441" s="455" t="s">
        <v>4314</v>
      </c>
    </row>
    <row r="442" spans="2:15" ht="12.75" thickBot="1" x14ac:dyDescent="0.25">
      <c r="B442" s="237">
        <f t="shared" si="44"/>
        <v>12000127</v>
      </c>
      <c r="C442" s="287">
        <v>1</v>
      </c>
      <c r="D442" s="287" t="s">
        <v>4307</v>
      </c>
      <c r="E442" s="287">
        <v>0</v>
      </c>
      <c r="F442" s="287" t="s">
        <v>4308</v>
      </c>
      <c r="G442" s="287">
        <v>1</v>
      </c>
      <c r="H442" s="345">
        <v>12000127</v>
      </c>
      <c r="I442" s="345" t="s">
        <v>186</v>
      </c>
      <c r="J442" s="103">
        <v>21</v>
      </c>
      <c r="K442" s="238">
        <v>1003035</v>
      </c>
      <c r="L442" s="103">
        <v>21</v>
      </c>
      <c r="M442" s="103" t="s">
        <v>4324</v>
      </c>
      <c r="N442" s="345" t="s">
        <v>4325</v>
      </c>
      <c r="O442" s="371" t="s">
        <v>4314</v>
      </c>
    </row>
    <row r="443" spans="2:15" x14ac:dyDescent="0.3">
      <c r="B443" s="232">
        <f t="shared" si="44"/>
        <v>12000128</v>
      </c>
      <c r="C443" s="286">
        <v>1</v>
      </c>
      <c r="D443" s="456" t="s">
        <v>4326</v>
      </c>
      <c r="E443" s="286">
        <v>0</v>
      </c>
      <c r="F443" s="286" t="s">
        <v>4327</v>
      </c>
      <c r="G443" s="286">
        <v>1</v>
      </c>
      <c r="H443" s="286">
        <v>12000128</v>
      </c>
      <c r="I443" s="102" t="s">
        <v>186</v>
      </c>
      <c r="J443" s="102">
        <v>21</v>
      </c>
      <c r="K443" s="233">
        <v>2641101</v>
      </c>
      <c r="L443" s="102">
        <v>21</v>
      </c>
      <c r="M443" s="102" t="s">
        <v>4328</v>
      </c>
      <c r="N443" s="102" t="s">
        <v>4329</v>
      </c>
      <c r="O443" s="234" t="s">
        <v>4330</v>
      </c>
    </row>
    <row r="444" spans="2:15" x14ac:dyDescent="0.3">
      <c r="B444" s="235">
        <f t="shared" si="44"/>
        <v>12000129</v>
      </c>
      <c r="C444" s="278">
        <v>1</v>
      </c>
      <c r="D444" s="320" t="s">
        <v>4326</v>
      </c>
      <c r="E444" s="278">
        <v>0</v>
      </c>
      <c r="F444" s="278" t="s">
        <v>4327</v>
      </c>
      <c r="G444" s="278">
        <v>1</v>
      </c>
      <c r="H444" s="278">
        <v>12000129</v>
      </c>
      <c r="I444" s="61" t="s">
        <v>186</v>
      </c>
      <c r="J444" s="61">
        <v>21</v>
      </c>
      <c r="K444" s="220">
        <v>2641102</v>
      </c>
      <c r="L444" s="61">
        <v>21</v>
      </c>
      <c r="M444" s="61" t="s">
        <v>4331</v>
      </c>
      <c r="N444" s="61" t="s">
        <v>4332</v>
      </c>
      <c r="O444" s="236" t="s">
        <v>4333</v>
      </c>
    </row>
    <row r="445" spans="2:15" x14ac:dyDescent="0.3">
      <c r="B445" s="235">
        <f t="shared" si="44"/>
        <v>12000130</v>
      </c>
      <c r="C445" s="278">
        <v>1</v>
      </c>
      <c r="D445" s="320" t="s">
        <v>4326</v>
      </c>
      <c r="E445" s="278">
        <v>0</v>
      </c>
      <c r="F445" s="278" t="s">
        <v>4327</v>
      </c>
      <c r="G445" s="278">
        <v>1</v>
      </c>
      <c r="H445" s="278">
        <v>12000130</v>
      </c>
      <c r="I445" s="61" t="s">
        <v>186</v>
      </c>
      <c r="J445" s="61">
        <v>21</v>
      </c>
      <c r="K445" s="220">
        <v>2641103</v>
      </c>
      <c r="L445" s="61">
        <v>21</v>
      </c>
      <c r="M445" s="61" t="s">
        <v>4334</v>
      </c>
      <c r="N445" s="61" t="s">
        <v>4335</v>
      </c>
      <c r="O445" s="236" t="s">
        <v>4336</v>
      </c>
    </row>
    <row r="446" spans="2:15" x14ac:dyDescent="0.3">
      <c r="B446" s="235">
        <f t="shared" si="44"/>
        <v>12000131</v>
      </c>
      <c r="C446" s="278">
        <v>1</v>
      </c>
      <c r="D446" s="320" t="s">
        <v>4326</v>
      </c>
      <c r="E446" s="278">
        <v>0</v>
      </c>
      <c r="F446" s="278" t="s">
        <v>4327</v>
      </c>
      <c r="G446" s="278">
        <v>1</v>
      </c>
      <c r="H446" s="278">
        <v>12000131</v>
      </c>
      <c r="I446" s="61" t="s">
        <v>186</v>
      </c>
      <c r="J446" s="61">
        <v>21</v>
      </c>
      <c r="K446" s="220">
        <v>2641104</v>
      </c>
      <c r="L446" s="61">
        <v>21</v>
      </c>
      <c r="M446" s="61" t="s">
        <v>4337</v>
      </c>
      <c r="N446" s="61" t="s">
        <v>4338</v>
      </c>
      <c r="O446" s="236" t="s">
        <v>4339</v>
      </c>
    </row>
    <row r="447" spans="2:15" x14ac:dyDescent="0.3">
      <c r="B447" s="235">
        <f t="shared" si="44"/>
        <v>12000132</v>
      </c>
      <c r="C447" s="278">
        <v>1</v>
      </c>
      <c r="D447" s="320" t="s">
        <v>4326</v>
      </c>
      <c r="E447" s="278">
        <v>0</v>
      </c>
      <c r="F447" s="278" t="s">
        <v>4327</v>
      </c>
      <c r="G447" s="278">
        <v>1</v>
      </c>
      <c r="H447" s="278">
        <v>12000132</v>
      </c>
      <c r="I447" s="61" t="s">
        <v>186</v>
      </c>
      <c r="J447" s="61">
        <v>21</v>
      </c>
      <c r="K447" s="220">
        <v>2641105</v>
      </c>
      <c r="L447" s="61">
        <v>21</v>
      </c>
      <c r="M447" s="61" t="s">
        <v>4340</v>
      </c>
      <c r="N447" s="61" t="s">
        <v>4341</v>
      </c>
      <c r="O447" s="236" t="s">
        <v>4342</v>
      </c>
    </row>
    <row r="448" spans="2:15" x14ac:dyDescent="0.2">
      <c r="B448" s="48">
        <f t="shared" si="40"/>
        <v>13000000</v>
      </c>
      <c r="C448" s="48">
        <v>1</v>
      </c>
      <c r="D448" s="48"/>
      <c r="E448" s="48"/>
      <c r="F448" s="48"/>
      <c r="G448" s="48">
        <v>1</v>
      </c>
      <c r="H448" s="64">
        <v>13000000</v>
      </c>
      <c r="I448" s="64" t="s">
        <v>186</v>
      </c>
      <c r="J448" s="48">
        <v>13</v>
      </c>
      <c r="K448" s="106">
        <v>1400126</v>
      </c>
      <c r="L448" s="48">
        <f t="shared" ref="L448:L457" si="45">VLOOKUP(I448,error,2,FALSE)</f>
        <v>21</v>
      </c>
      <c r="M448" s="48" t="s">
        <v>1842</v>
      </c>
      <c r="N448" s="64" t="s">
        <v>89</v>
      </c>
      <c r="O448" s="64" t="s">
        <v>251</v>
      </c>
    </row>
    <row r="449" spans="2:15" x14ac:dyDescent="0.2">
      <c r="B449" s="39">
        <f t="shared" si="40"/>
        <v>13000001</v>
      </c>
      <c r="C449" s="39">
        <v>1</v>
      </c>
      <c r="D449" s="39"/>
      <c r="E449" s="39"/>
      <c r="F449" s="39"/>
      <c r="G449" s="39">
        <v>1</v>
      </c>
      <c r="H449" s="21">
        <v>13000001</v>
      </c>
      <c r="I449" s="21" t="s">
        <v>186</v>
      </c>
      <c r="J449" s="39">
        <v>13</v>
      </c>
      <c r="K449" s="46">
        <v>1400127</v>
      </c>
      <c r="L449" s="39">
        <f t="shared" si="45"/>
        <v>21</v>
      </c>
      <c r="M449" s="39" t="s">
        <v>1843</v>
      </c>
      <c r="N449" s="21" t="s">
        <v>90</v>
      </c>
      <c r="O449" s="21" t="s">
        <v>252</v>
      </c>
    </row>
    <row r="450" spans="2:15" x14ac:dyDescent="0.2">
      <c r="B450" s="39">
        <f t="shared" si="40"/>
        <v>13000002</v>
      </c>
      <c r="C450" s="39">
        <v>1</v>
      </c>
      <c r="D450" s="39"/>
      <c r="E450" s="39"/>
      <c r="F450" s="39"/>
      <c r="G450" s="39">
        <v>1</v>
      </c>
      <c r="H450" s="21">
        <v>13000002</v>
      </c>
      <c r="I450" s="21" t="s">
        <v>186</v>
      </c>
      <c r="J450" s="39">
        <v>13</v>
      </c>
      <c r="K450" s="46">
        <v>1400128</v>
      </c>
      <c r="L450" s="39">
        <f t="shared" si="45"/>
        <v>21</v>
      </c>
      <c r="M450" s="39" t="s">
        <v>829</v>
      </c>
      <c r="N450" s="21" t="s">
        <v>91</v>
      </c>
      <c r="O450" s="21" t="s">
        <v>253</v>
      </c>
    </row>
    <row r="451" spans="2:15" x14ac:dyDescent="0.2">
      <c r="B451" s="39">
        <f t="shared" si="40"/>
        <v>13000003</v>
      </c>
      <c r="C451" s="39">
        <v>1</v>
      </c>
      <c r="D451" s="39"/>
      <c r="E451" s="39"/>
      <c r="F451" s="39"/>
      <c r="G451" s="39">
        <v>1</v>
      </c>
      <c r="H451" s="21">
        <v>13000003</v>
      </c>
      <c r="I451" s="21" t="s">
        <v>186</v>
      </c>
      <c r="J451" s="39">
        <v>13</v>
      </c>
      <c r="K451" s="46">
        <v>1400129</v>
      </c>
      <c r="L451" s="39">
        <f t="shared" si="45"/>
        <v>21</v>
      </c>
      <c r="M451" s="39" t="s">
        <v>830</v>
      </c>
      <c r="N451" s="21" t="s">
        <v>92</v>
      </c>
      <c r="O451" s="21" t="s">
        <v>381</v>
      </c>
    </row>
    <row r="452" spans="2:15" x14ac:dyDescent="0.2">
      <c r="B452" s="39">
        <f t="shared" si="40"/>
        <v>13000004</v>
      </c>
      <c r="C452" s="39">
        <v>1</v>
      </c>
      <c r="D452" s="39"/>
      <c r="E452" s="39"/>
      <c r="F452" s="39"/>
      <c r="G452" s="39">
        <v>1</v>
      </c>
      <c r="H452" s="21">
        <v>13000004</v>
      </c>
      <c r="I452" s="21" t="s">
        <v>186</v>
      </c>
      <c r="J452" s="39">
        <v>13</v>
      </c>
      <c r="K452" s="46">
        <v>1400130</v>
      </c>
      <c r="L452" s="39">
        <f t="shared" si="45"/>
        <v>21</v>
      </c>
      <c r="M452" s="39" t="s">
        <v>831</v>
      </c>
      <c r="N452" s="21" t="s">
        <v>93</v>
      </c>
      <c r="O452" s="21" t="s">
        <v>382</v>
      </c>
    </row>
    <row r="453" spans="2:15" x14ac:dyDescent="0.2">
      <c r="B453" s="39">
        <f t="shared" si="40"/>
        <v>13000005</v>
      </c>
      <c r="C453" s="39">
        <v>1</v>
      </c>
      <c r="D453" s="39"/>
      <c r="E453" s="39"/>
      <c r="F453" s="39"/>
      <c r="G453" s="39">
        <v>1</v>
      </c>
      <c r="H453" s="21">
        <v>13000005</v>
      </c>
      <c r="I453" s="21" t="s">
        <v>184</v>
      </c>
      <c r="J453" s="39">
        <v>13</v>
      </c>
      <c r="K453" s="46">
        <v>1400131</v>
      </c>
      <c r="L453" s="39">
        <f t="shared" si="45"/>
        <v>5</v>
      </c>
      <c r="M453" s="39" t="s">
        <v>832</v>
      </c>
      <c r="N453" s="21" t="s">
        <v>516</v>
      </c>
      <c r="O453" s="21" t="s">
        <v>712</v>
      </c>
    </row>
    <row r="454" spans="2:15" x14ac:dyDescent="0.2">
      <c r="B454" s="39">
        <f t="shared" si="40"/>
        <v>13000006</v>
      </c>
      <c r="C454" s="39">
        <v>1</v>
      </c>
      <c r="D454" s="39"/>
      <c r="E454" s="39"/>
      <c r="F454" s="39"/>
      <c r="G454" s="39">
        <v>1</v>
      </c>
      <c r="H454" s="21">
        <v>13000006</v>
      </c>
      <c r="I454" s="21" t="s">
        <v>184</v>
      </c>
      <c r="J454" s="39">
        <v>13</v>
      </c>
      <c r="K454" s="46">
        <v>1400132</v>
      </c>
      <c r="L454" s="39">
        <f t="shared" si="45"/>
        <v>5</v>
      </c>
      <c r="M454" s="39" t="s">
        <v>1844</v>
      </c>
      <c r="N454" s="21" t="s">
        <v>517</v>
      </c>
      <c r="O454" s="21" t="s">
        <v>713</v>
      </c>
    </row>
    <row r="455" spans="2:15" x14ac:dyDescent="0.2">
      <c r="B455" s="39">
        <f t="shared" si="40"/>
        <v>13000007</v>
      </c>
      <c r="C455" s="39">
        <v>1</v>
      </c>
      <c r="D455" s="39"/>
      <c r="E455" s="39"/>
      <c r="F455" s="39"/>
      <c r="G455" s="39">
        <v>1</v>
      </c>
      <c r="H455" s="21">
        <v>13000007</v>
      </c>
      <c r="I455" s="21" t="s">
        <v>184</v>
      </c>
      <c r="J455" s="39">
        <v>13</v>
      </c>
      <c r="K455" s="46">
        <v>1400133</v>
      </c>
      <c r="L455" s="39">
        <f t="shared" si="45"/>
        <v>5</v>
      </c>
      <c r="M455" s="39" t="s">
        <v>1845</v>
      </c>
      <c r="N455" s="21" t="s">
        <v>518</v>
      </c>
      <c r="O455" s="21" t="s">
        <v>714</v>
      </c>
    </row>
    <row r="456" spans="2:15" x14ac:dyDescent="0.2">
      <c r="B456" s="39">
        <f t="shared" si="40"/>
        <v>13000010</v>
      </c>
      <c r="C456" s="39">
        <v>1</v>
      </c>
      <c r="D456" s="39"/>
      <c r="E456" s="39"/>
      <c r="F456" s="39"/>
      <c r="G456" s="39">
        <v>1</v>
      </c>
      <c r="H456" s="21">
        <v>13000010</v>
      </c>
      <c r="I456" s="21" t="s">
        <v>184</v>
      </c>
      <c r="J456" s="39">
        <v>13</v>
      </c>
      <c r="K456" s="46">
        <v>1400134</v>
      </c>
      <c r="L456" s="39">
        <f t="shared" si="45"/>
        <v>5</v>
      </c>
      <c r="M456" s="39" t="s">
        <v>1846</v>
      </c>
      <c r="N456" s="21" t="s">
        <v>519</v>
      </c>
      <c r="O456" s="21" t="s">
        <v>715</v>
      </c>
    </row>
    <row r="457" spans="2:15" ht="12.75" thickBot="1" x14ac:dyDescent="0.25">
      <c r="B457" s="44">
        <f t="shared" si="40"/>
        <v>13000011</v>
      </c>
      <c r="C457" s="39">
        <v>1</v>
      </c>
      <c r="D457" s="39"/>
      <c r="E457" s="39"/>
      <c r="F457" s="39"/>
      <c r="G457" s="39">
        <v>1</v>
      </c>
      <c r="H457" s="63">
        <v>13000011</v>
      </c>
      <c r="I457" s="63" t="s">
        <v>184</v>
      </c>
      <c r="J457" s="44">
        <v>13</v>
      </c>
      <c r="K457" s="54">
        <v>1400135</v>
      </c>
      <c r="L457" s="44">
        <f t="shared" si="45"/>
        <v>5</v>
      </c>
      <c r="M457" s="44" t="s">
        <v>1847</v>
      </c>
      <c r="N457" s="63" t="s">
        <v>520</v>
      </c>
      <c r="O457" s="63" t="s">
        <v>716</v>
      </c>
    </row>
    <row r="458" spans="2:15" x14ac:dyDescent="0.2">
      <c r="B458" s="162">
        <f t="shared" si="40"/>
        <v>13000021</v>
      </c>
      <c r="C458" s="39">
        <v>1</v>
      </c>
      <c r="D458" s="39"/>
      <c r="E458" s="39"/>
      <c r="F458" s="39"/>
      <c r="G458" s="39">
        <v>1</v>
      </c>
      <c r="H458" s="163">
        <v>13000021</v>
      </c>
      <c r="I458" s="163" t="s">
        <v>186</v>
      </c>
      <c r="J458" s="164">
        <v>13</v>
      </c>
      <c r="K458" s="165">
        <v>2010080</v>
      </c>
      <c r="L458" s="164">
        <v>21</v>
      </c>
      <c r="M458" s="164" t="s">
        <v>2089</v>
      </c>
      <c r="N458" s="163" t="s">
        <v>2090</v>
      </c>
      <c r="O458" s="94" t="s">
        <v>2086</v>
      </c>
    </row>
    <row r="459" spans="2:15" ht="12.75" thickBot="1" x14ac:dyDescent="0.25">
      <c r="B459" s="120">
        <f t="shared" si="40"/>
        <v>13000022</v>
      </c>
      <c r="C459" s="39">
        <v>1</v>
      </c>
      <c r="D459" s="39"/>
      <c r="E459" s="39"/>
      <c r="F459" s="39"/>
      <c r="G459" s="39">
        <v>1</v>
      </c>
      <c r="H459" s="167">
        <v>13000022</v>
      </c>
      <c r="I459" s="167" t="s">
        <v>186</v>
      </c>
      <c r="J459" s="89">
        <v>13</v>
      </c>
      <c r="K459" s="121">
        <v>2010081</v>
      </c>
      <c r="L459" s="89">
        <v>21</v>
      </c>
      <c r="M459" s="89" t="s">
        <v>2091</v>
      </c>
      <c r="N459" s="167" t="s">
        <v>2092</v>
      </c>
      <c r="O459" s="95" t="s">
        <v>2086</v>
      </c>
    </row>
    <row r="460" spans="2:15" ht="16.5" customHeight="1" thickBot="1" x14ac:dyDescent="0.35">
      <c r="B460" s="93">
        <f t="shared" si="40"/>
        <v>13009001</v>
      </c>
      <c r="C460" s="39">
        <v>1</v>
      </c>
      <c r="D460" s="39"/>
      <c r="E460" s="39"/>
      <c r="F460" s="39"/>
      <c r="G460" s="39">
        <v>1</v>
      </c>
      <c r="H460" s="93">
        <v>13009001</v>
      </c>
      <c r="I460" s="93" t="s">
        <v>187</v>
      </c>
      <c r="J460" s="93">
        <v>21</v>
      </c>
      <c r="K460" s="173">
        <v>1400478</v>
      </c>
      <c r="L460" s="93">
        <f>VLOOKUP(I460,error,2,FALSE)</f>
        <v>21</v>
      </c>
      <c r="M460" s="93" t="s">
        <v>2202</v>
      </c>
      <c r="N460" s="93" t="s">
        <v>1251</v>
      </c>
      <c r="O460" s="93"/>
    </row>
    <row r="461" spans="2:15" ht="16.5" customHeight="1" x14ac:dyDescent="0.3">
      <c r="B461" s="117">
        <f t="shared" si="40"/>
        <v>16000000</v>
      </c>
      <c r="C461" s="39">
        <v>1</v>
      </c>
      <c r="D461" s="39"/>
      <c r="E461" s="39"/>
      <c r="F461" s="39"/>
      <c r="G461" s="39">
        <v>1</v>
      </c>
      <c r="H461" s="88">
        <v>16000000</v>
      </c>
      <c r="I461" s="88" t="s">
        <v>186</v>
      </c>
      <c r="J461" s="88">
        <v>13</v>
      </c>
      <c r="K461" s="118">
        <v>2070017</v>
      </c>
      <c r="L461" s="88">
        <v>21</v>
      </c>
      <c r="M461" s="88" t="s">
        <v>2048</v>
      </c>
      <c r="N461" s="88" t="s">
        <v>2049</v>
      </c>
      <c r="O461" s="119" t="s">
        <v>2050</v>
      </c>
    </row>
    <row r="462" spans="2:15" ht="16.5" customHeight="1" x14ac:dyDescent="0.3">
      <c r="B462" s="169">
        <f t="shared" si="40"/>
        <v>16000001</v>
      </c>
      <c r="C462" s="39">
        <v>1</v>
      </c>
      <c r="D462" s="39"/>
      <c r="E462" s="39"/>
      <c r="F462" s="39"/>
      <c r="G462" s="39">
        <v>1</v>
      </c>
      <c r="H462" s="39">
        <v>16000001</v>
      </c>
      <c r="I462" s="39" t="s">
        <v>186</v>
      </c>
      <c r="J462" s="39">
        <v>13</v>
      </c>
      <c r="K462" s="46">
        <v>2070018</v>
      </c>
      <c r="L462" s="39">
        <v>21</v>
      </c>
      <c r="M462" s="39" t="s">
        <v>2051</v>
      </c>
      <c r="N462" s="39" t="s">
        <v>2052</v>
      </c>
      <c r="O462" s="186" t="s">
        <v>2050</v>
      </c>
    </row>
    <row r="463" spans="2:15" ht="16.5" customHeight="1" x14ac:dyDescent="0.3">
      <c r="B463" s="169">
        <f t="shared" si="40"/>
        <v>16000002</v>
      </c>
      <c r="C463" s="39">
        <v>1</v>
      </c>
      <c r="D463" s="39"/>
      <c r="E463" s="39"/>
      <c r="F463" s="39"/>
      <c r="G463" s="39">
        <v>1</v>
      </c>
      <c r="H463" s="39">
        <v>16000002</v>
      </c>
      <c r="I463" s="39" t="s">
        <v>186</v>
      </c>
      <c r="J463" s="39">
        <v>13</v>
      </c>
      <c r="K463" s="46">
        <v>2070019</v>
      </c>
      <c r="L463" s="39">
        <v>21</v>
      </c>
      <c r="M463" s="39" t="s">
        <v>2053</v>
      </c>
      <c r="N463" s="39" t="s">
        <v>2054</v>
      </c>
      <c r="O463" s="186" t="s">
        <v>2050</v>
      </c>
    </row>
    <row r="464" spans="2:15" ht="16.5" customHeight="1" x14ac:dyDescent="0.3">
      <c r="B464" s="169">
        <f t="shared" si="40"/>
        <v>16000003</v>
      </c>
      <c r="C464" s="39">
        <v>1</v>
      </c>
      <c r="D464" s="39"/>
      <c r="E464" s="39"/>
      <c r="F464" s="39"/>
      <c r="G464" s="39">
        <v>1</v>
      </c>
      <c r="H464" s="39">
        <v>16000003</v>
      </c>
      <c r="I464" s="39" t="s">
        <v>186</v>
      </c>
      <c r="J464" s="39">
        <v>13</v>
      </c>
      <c r="K464" s="46">
        <v>2070020</v>
      </c>
      <c r="L464" s="39">
        <v>21</v>
      </c>
      <c r="M464" s="39" t="s">
        <v>2055</v>
      </c>
      <c r="N464" s="39" t="s">
        <v>2056</v>
      </c>
      <c r="O464" s="186" t="s">
        <v>2050</v>
      </c>
    </row>
    <row r="465" spans="2:15" ht="16.5" customHeight="1" x14ac:dyDescent="0.3">
      <c r="B465" s="169">
        <f t="shared" si="40"/>
        <v>16000004</v>
      </c>
      <c r="C465" s="39">
        <v>1</v>
      </c>
      <c r="D465" s="39"/>
      <c r="E465" s="39"/>
      <c r="F465" s="39"/>
      <c r="G465" s="39">
        <v>1</v>
      </c>
      <c r="H465" s="39">
        <v>16000004</v>
      </c>
      <c r="I465" s="39" t="s">
        <v>186</v>
      </c>
      <c r="J465" s="39">
        <v>13</v>
      </c>
      <c r="K465" s="46">
        <v>2070021</v>
      </c>
      <c r="L465" s="39">
        <v>21</v>
      </c>
      <c r="M465" s="39" t="s">
        <v>2057</v>
      </c>
      <c r="N465" s="39" t="s">
        <v>2058</v>
      </c>
      <c r="O465" s="186" t="s">
        <v>2050</v>
      </c>
    </row>
    <row r="466" spans="2:15" ht="16.5" customHeight="1" x14ac:dyDescent="0.3">
      <c r="B466" s="169">
        <f t="shared" si="40"/>
        <v>16000005</v>
      </c>
      <c r="C466" s="39">
        <v>1</v>
      </c>
      <c r="D466" s="39"/>
      <c r="E466" s="39"/>
      <c r="F466" s="39"/>
      <c r="G466" s="39">
        <v>1</v>
      </c>
      <c r="H466" s="39">
        <v>16000005</v>
      </c>
      <c r="I466" s="39" t="s">
        <v>186</v>
      </c>
      <c r="J466" s="39">
        <v>13</v>
      </c>
      <c r="K466" s="46">
        <v>2070022</v>
      </c>
      <c r="L466" s="39">
        <v>21</v>
      </c>
      <c r="M466" s="39" t="s">
        <v>2059</v>
      </c>
      <c r="N466" s="39" t="s">
        <v>2060</v>
      </c>
      <c r="O466" s="186" t="s">
        <v>2050</v>
      </c>
    </row>
    <row r="467" spans="2:15" ht="16.5" customHeight="1" x14ac:dyDescent="0.3">
      <c r="B467" s="169">
        <f t="shared" si="40"/>
        <v>16000006</v>
      </c>
      <c r="C467" s="39">
        <v>1</v>
      </c>
      <c r="D467" s="39"/>
      <c r="E467" s="39"/>
      <c r="F467" s="39"/>
      <c r="G467" s="39">
        <v>1</v>
      </c>
      <c r="H467" s="39">
        <v>16000006</v>
      </c>
      <c r="I467" s="39" t="s">
        <v>186</v>
      </c>
      <c r="J467" s="39">
        <v>13</v>
      </c>
      <c r="K467" s="46">
        <v>2070023</v>
      </c>
      <c r="L467" s="39">
        <v>21</v>
      </c>
      <c r="M467" s="39" t="s">
        <v>2061</v>
      </c>
      <c r="N467" s="39" t="s">
        <v>2062</v>
      </c>
      <c r="O467" s="186" t="s">
        <v>2050</v>
      </c>
    </row>
    <row r="468" spans="2:15" ht="16.5" customHeight="1" x14ac:dyDescent="0.3">
      <c r="B468" s="169">
        <f t="shared" si="40"/>
        <v>16000007</v>
      </c>
      <c r="C468" s="39">
        <v>1</v>
      </c>
      <c r="D468" s="39"/>
      <c r="E468" s="39"/>
      <c r="F468" s="39"/>
      <c r="G468" s="39">
        <v>1</v>
      </c>
      <c r="H468" s="39">
        <v>16000007</v>
      </c>
      <c r="I468" s="39" t="s">
        <v>186</v>
      </c>
      <c r="J468" s="39">
        <v>13</v>
      </c>
      <c r="K468" s="46">
        <v>2070024</v>
      </c>
      <c r="L468" s="39">
        <v>21</v>
      </c>
      <c r="M468" s="39" t="s">
        <v>2063</v>
      </c>
      <c r="N468" s="39" t="s">
        <v>2064</v>
      </c>
      <c r="O468" s="186" t="s">
        <v>2050</v>
      </c>
    </row>
    <row r="469" spans="2:15" ht="16.5" customHeight="1" x14ac:dyDescent="0.3">
      <c r="B469" s="169">
        <f t="shared" si="40"/>
        <v>16000008</v>
      </c>
      <c r="C469" s="39">
        <v>1</v>
      </c>
      <c r="D469" s="39"/>
      <c r="E469" s="39"/>
      <c r="F469" s="39"/>
      <c r="G469" s="39">
        <v>1</v>
      </c>
      <c r="H469" s="39">
        <v>16000008</v>
      </c>
      <c r="I469" s="39" t="s">
        <v>186</v>
      </c>
      <c r="J469" s="39">
        <v>13</v>
      </c>
      <c r="K469" s="46">
        <v>2070025</v>
      </c>
      <c r="L469" s="39">
        <v>21</v>
      </c>
      <c r="M469" s="39" t="s">
        <v>2065</v>
      </c>
      <c r="N469" s="39" t="s">
        <v>2066</v>
      </c>
      <c r="O469" s="186" t="s">
        <v>2050</v>
      </c>
    </row>
    <row r="470" spans="2:15" ht="16.5" customHeight="1" x14ac:dyDescent="0.3">
      <c r="B470" s="169">
        <f t="shared" si="40"/>
        <v>16000009</v>
      </c>
      <c r="C470" s="39">
        <v>1</v>
      </c>
      <c r="D470" s="39"/>
      <c r="E470" s="39"/>
      <c r="F470" s="39"/>
      <c r="G470" s="39">
        <v>1</v>
      </c>
      <c r="H470" s="39">
        <v>16000009</v>
      </c>
      <c r="I470" s="39" t="s">
        <v>186</v>
      </c>
      <c r="J470" s="39">
        <v>13</v>
      </c>
      <c r="K470" s="46">
        <v>2070026</v>
      </c>
      <c r="L470" s="39">
        <v>21</v>
      </c>
      <c r="M470" s="39" t="s">
        <v>2067</v>
      </c>
      <c r="N470" s="39" t="s">
        <v>2068</v>
      </c>
      <c r="O470" s="186" t="s">
        <v>2050</v>
      </c>
    </row>
    <row r="471" spans="2:15" ht="16.5" customHeight="1" x14ac:dyDescent="0.3">
      <c r="B471" s="169">
        <f t="shared" si="40"/>
        <v>16000010</v>
      </c>
      <c r="C471" s="39">
        <v>1</v>
      </c>
      <c r="D471" s="39"/>
      <c r="E471" s="39"/>
      <c r="F471" s="39"/>
      <c r="G471" s="39">
        <v>1</v>
      </c>
      <c r="H471" s="39">
        <v>16000010</v>
      </c>
      <c r="I471" s="39" t="s">
        <v>186</v>
      </c>
      <c r="J471" s="39">
        <v>13</v>
      </c>
      <c r="K471" s="46">
        <v>2070027</v>
      </c>
      <c r="L471" s="39">
        <v>21</v>
      </c>
      <c r="M471" s="39" t="s">
        <v>2069</v>
      </c>
      <c r="N471" s="39" t="s">
        <v>2070</v>
      </c>
      <c r="O471" s="186" t="s">
        <v>2050</v>
      </c>
    </row>
    <row r="472" spans="2:15" ht="16.5" customHeight="1" x14ac:dyDescent="0.3">
      <c r="B472" s="169">
        <f t="shared" si="40"/>
        <v>16000011</v>
      </c>
      <c r="C472" s="39">
        <v>1</v>
      </c>
      <c r="D472" s="39"/>
      <c r="E472" s="39"/>
      <c r="F472" s="39"/>
      <c r="G472" s="39">
        <v>1</v>
      </c>
      <c r="H472" s="39">
        <v>16000011</v>
      </c>
      <c r="I472" s="39" t="s">
        <v>186</v>
      </c>
      <c r="J472" s="39">
        <v>13</v>
      </c>
      <c r="K472" s="46">
        <v>2070028</v>
      </c>
      <c r="L472" s="39">
        <v>21</v>
      </c>
      <c r="M472" s="39" t="s">
        <v>2071</v>
      </c>
      <c r="N472" s="39" t="s">
        <v>2072</v>
      </c>
      <c r="O472" s="186" t="s">
        <v>2050</v>
      </c>
    </row>
    <row r="473" spans="2:15" ht="16.5" customHeight="1" x14ac:dyDescent="0.3">
      <c r="B473" s="169">
        <f t="shared" si="40"/>
        <v>16000012</v>
      </c>
      <c r="C473" s="39">
        <v>1</v>
      </c>
      <c r="D473" s="39"/>
      <c r="E473" s="39"/>
      <c r="F473" s="39"/>
      <c r="G473" s="39">
        <v>1</v>
      </c>
      <c r="H473" s="39">
        <v>16000012</v>
      </c>
      <c r="I473" s="39" t="s">
        <v>186</v>
      </c>
      <c r="J473" s="39">
        <v>13</v>
      </c>
      <c r="K473" s="46">
        <v>2070029</v>
      </c>
      <c r="L473" s="39">
        <v>21</v>
      </c>
      <c r="M473" s="39" t="s">
        <v>2073</v>
      </c>
      <c r="N473" s="39" t="s">
        <v>2074</v>
      </c>
      <c r="O473" s="186" t="s">
        <v>2050</v>
      </c>
    </row>
    <row r="474" spans="2:15" ht="16.5" customHeight="1" x14ac:dyDescent="0.3">
      <c r="B474" s="169">
        <f t="shared" si="40"/>
        <v>16000013</v>
      </c>
      <c r="C474" s="39">
        <v>1</v>
      </c>
      <c r="D474" s="39"/>
      <c r="E474" s="39"/>
      <c r="F474" s="39"/>
      <c r="G474" s="39">
        <v>1</v>
      </c>
      <c r="H474" s="39">
        <v>16000013</v>
      </c>
      <c r="I474" s="39" t="s">
        <v>186</v>
      </c>
      <c r="J474" s="39">
        <v>13</v>
      </c>
      <c r="K474" s="46">
        <v>2070030</v>
      </c>
      <c r="L474" s="39">
        <v>21</v>
      </c>
      <c r="M474" s="39" t="s">
        <v>2075</v>
      </c>
      <c r="N474" s="39" t="s">
        <v>2076</v>
      </c>
      <c r="O474" s="186" t="s">
        <v>2050</v>
      </c>
    </row>
    <row r="475" spans="2:15" ht="16.5" customHeight="1" x14ac:dyDescent="0.3">
      <c r="B475" s="169">
        <f t="shared" si="40"/>
        <v>16000014</v>
      </c>
      <c r="C475" s="39">
        <v>1</v>
      </c>
      <c r="D475" s="39"/>
      <c r="E475" s="39"/>
      <c r="F475" s="39"/>
      <c r="G475" s="39">
        <v>1</v>
      </c>
      <c r="H475" s="39">
        <v>16000014</v>
      </c>
      <c r="I475" s="39" t="s">
        <v>186</v>
      </c>
      <c r="J475" s="39">
        <v>13</v>
      </c>
      <c r="K475" s="46">
        <v>2070031</v>
      </c>
      <c r="L475" s="39">
        <v>21</v>
      </c>
      <c r="M475" s="39" t="s">
        <v>2077</v>
      </c>
      <c r="N475" s="39" t="s">
        <v>2078</v>
      </c>
      <c r="O475" s="186" t="s">
        <v>2050</v>
      </c>
    </row>
    <row r="476" spans="2:15" ht="16.5" customHeight="1" x14ac:dyDescent="0.3">
      <c r="B476" s="169">
        <f t="shared" si="40"/>
        <v>16000015</v>
      </c>
      <c r="C476" s="39">
        <v>1</v>
      </c>
      <c r="D476" s="39"/>
      <c r="E476" s="39"/>
      <c r="F476" s="39"/>
      <c r="G476" s="39">
        <v>1</v>
      </c>
      <c r="H476" s="39">
        <v>16000015</v>
      </c>
      <c r="I476" s="39" t="s">
        <v>186</v>
      </c>
      <c r="J476" s="39">
        <v>13</v>
      </c>
      <c r="K476" s="46">
        <v>2070032</v>
      </c>
      <c r="L476" s="39">
        <v>21</v>
      </c>
      <c r="M476" s="39" t="s">
        <v>2079</v>
      </c>
      <c r="N476" s="39" t="s">
        <v>2080</v>
      </c>
      <c r="O476" s="186" t="s">
        <v>2050</v>
      </c>
    </row>
    <row r="477" spans="2:15" ht="16.5" customHeight="1" thickBot="1" x14ac:dyDescent="0.35">
      <c r="B477" s="120">
        <f t="shared" si="40"/>
        <v>16000016</v>
      </c>
      <c r="C477" s="39">
        <v>1</v>
      </c>
      <c r="D477" s="39"/>
      <c r="E477" s="39"/>
      <c r="F477" s="39"/>
      <c r="G477" s="39">
        <v>1</v>
      </c>
      <c r="H477" s="89">
        <v>16000016</v>
      </c>
      <c r="I477" s="89" t="s">
        <v>186</v>
      </c>
      <c r="J477" s="89">
        <v>13</v>
      </c>
      <c r="K477" s="121">
        <v>2070033</v>
      </c>
      <c r="L477" s="89">
        <v>21</v>
      </c>
      <c r="M477" s="89" t="s">
        <v>2081</v>
      </c>
      <c r="N477" s="89" t="s">
        <v>2082</v>
      </c>
      <c r="O477" s="122" t="s">
        <v>2050</v>
      </c>
    </row>
    <row r="478" spans="2:15" ht="16.5" customHeight="1" thickBot="1" x14ac:dyDescent="0.35">
      <c r="B478" s="90">
        <f t="shared" si="40"/>
        <v>16000017</v>
      </c>
      <c r="C478" s="39">
        <v>1</v>
      </c>
      <c r="D478" s="39"/>
      <c r="E478" s="39"/>
      <c r="F478" s="39"/>
      <c r="G478" s="39">
        <v>1</v>
      </c>
      <c r="H478" s="91">
        <v>16000017</v>
      </c>
      <c r="I478" s="91" t="s">
        <v>186</v>
      </c>
      <c r="J478" s="91">
        <v>13</v>
      </c>
      <c r="K478" s="92">
        <v>2070034</v>
      </c>
      <c r="L478" s="91">
        <v>21</v>
      </c>
      <c r="M478" s="91" t="s">
        <v>2095</v>
      </c>
      <c r="N478" s="91" t="s">
        <v>2096</v>
      </c>
      <c r="O478" s="187" t="s">
        <v>2097</v>
      </c>
    </row>
    <row r="479" spans="2:15" ht="16.5" customHeight="1" thickBot="1" x14ac:dyDescent="0.35">
      <c r="B479" s="162">
        <f t="shared" si="40"/>
        <v>16000018</v>
      </c>
      <c r="C479" s="44">
        <v>1</v>
      </c>
      <c r="D479" s="44"/>
      <c r="E479" s="44"/>
      <c r="F479" s="44"/>
      <c r="G479" s="44">
        <v>1</v>
      </c>
      <c r="H479" s="164">
        <v>16000018</v>
      </c>
      <c r="I479" s="164" t="s">
        <v>2418</v>
      </c>
      <c r="J479" s="164">
        <v>13</v>
      </c>
      <c r="K479" s="165">
        <v>2070035</v>
      </c>
      <c r="L479" s="164">
        <v>21</v>
      </c>
      <c r="M479" s="164" t="s">
        <v>2419</v>
      </c>
      <c r="N479" s="164" t="s">
        <v>2420</v>
      </c>
      <c r="O479" s="260" t="s">
        <v>2421</v>
      </c>
    </row>
    <row r="480" spans="2:15" ht="16.5" customHeight="1" thickBot="1" x14ac:dyDescent="0.35">
      <c r="B480" s="162">
        <f t="shared" si="40"/>
        <v>16000019</v>
      </c>
      <c r="C480" s="44">
        <v>1</v>
      </c>
      <c r="D480" s="436" t="s">
        <v>4078</v>
      </c>
      <c r="E480" s="436"/>
      <c r="F480" s="436" t="s">
        <v>4079</v>
      </c>
      <c r="G480" s="44">
        <v>1</v>
      </c>
      <c r="H480" s="164">
        <v>16000019</v>
      </c>
      <c r="I480" s="164" t="s">
        <v>187</v>
      </c>
      <c r="J480" s="164">
        <v>13</v>
      </c>
      <c r="K480" s="165">
        <v>2070038</v>
      </c>
      <c r="L480" s="164">
        <v>21</v>
      </c>
      <c r="M480" s="164" t="s">
        <v>4080</v>
      </c>
      <c r="N480" s="164" t="s">
        <v>4081</v>
      </c>
      <c r="O480" s="260" t="s">
        <v>4082</v>
      </c>
    </row>
    <row r="481" spans="2:15" ht="16.5" customHeight="1" thickBot="1" x14ac:dyDescent="0.35">
      <c r="B481" s="162">
        <f t="shared" si="40"/>
        <v>16000020</v>
      </c>
      <c r="C481" s="93">
        <v>1</v>
      </c>
      <c r="D481" s="447"/>
      <c r="E481" s="447">
        <v>0</v>
      </c>
      <c r="F481" s="447">
        <v>0</v>
      </c>
      <c r="G481" s="93">
        <v>1</v>
      </c>
      <c r="H481" s="93">
        <v>16000020</v>
      </c>
      <c r="I481" s="93" t="s">
        <v>186</v>
      </c>
      <c r="J481" s="93">
        <v>21</v>
      </c>
      <c r="K481" s="173">
        <v>2631505</v>
      </c>
      <c r="L481" s="93">
        <v>21</v>
      </c>
      <c r="M481" s="93" t="s">
        <v>4231</v>
      </c>
      <c r="N481" s="93" t="s">
        <v>4232</v>
      </c>
      <c r="O481" s="448" t="s">
        <v>4233</v>
      </c>
    </row>
    <row r="482" spans="2:15" ht="16.5" customHeight="1" thickBot="1" x14ac:dyDescent="0.35">
      <c r="B482" s="162">
        <f t="shared" ref="B482" si="46">H482</f>
        <v>16000021</v>
      </c>
      <c r="C482" s="447">
        <v>1</v>
      </c>
      <c r="D482" s="447" t="s">
        <v>4326</v>
      </c>
      <c r="E482" s="447">
        <v>0</v>
      </c>
      <c r="F482" s="447" t="s">
        <v>4327</v>
      </c>
      <c r="G482" s="447">
        <v>1</v>
      </c>
      <c r="H482" s="93">
        <v>16000021</v>
      </c>
      <c r="I482" s="93" t="s">
        <v>186</v>
      </c>
      <c r="J482" s="93">
        <v>21</v>
      </c>
      <c r="K482" s="173">
        <v>2641106</v>
      </c>
      <c r="L482" s="93">
        <v>21</v>
      </c>
      <c r="M482" s="93" t="s">
        <v>4343</v>
      </c>
      <c r="N482" s="93" t="s">
        <v>4344</v>
      </c>
      <c r="O482" s="448" t="s">
        <v>4345</v>
      </c>
    </row>
    <row r="483" spans="2:15" ht="16.5" customHeight="1" thickTop="1" x14ac:dyDescent="0.3">
      <c r="B483" s="261">
        <v>17000031</v>
      </c>
      <c r="C483" s="49">
        <v>1</v>
      </c>
      <c r="D483" s="49">
        <v>0</v>
      </c>
      <c r="E483" s="49">
        <v>0</v>
      </c>
      <c r="F483" s="49">
        <v>0</v>
      </c>
      <c r="G483" s="49">
        <v>1</v>
      </c>
      <c r="H483" s="49">
        <v>17000031</v>
      </c>
      <c r="I483" s="49" t="s">
        <v>186</v>
      </c>
      <c r="J483" s="49">
        <v>21</v>
      </c>
      <c r="K483" s="218">
        <v>1085058</v>
      </c>
      <c r="L483" s="49">
        <v>21</v>
      </c>
      <c r="M483" s="49" t="s">
        <v>3062</v>
      </c>
      <c r="N483" s="49" t="s">
        <v>3063</v>
      </c>
      <c r="O483" s="262" t="s">
        <v>3062</v>
      </c>
    </row>
    <row r="484" spans="2:15" ht="16.5" customHeight="1" x14ac:dyDescent="0.3">
      <c r="B484" s="263">
        <v>17000074</v>
      </c>
      <c r="C484" s="47">
        <v>1</v>
      </c>
      <c r="D484" s="47">
        <v>0</v>
      </c>
      <c r="E484" s="47">
        <v>0</v>
      </c>
      <c r="F484" s="47">
        <v>0</v>
      </c>
      <c r="G484" s="47">
        <v>1</v>
      </c>
      <c r="H484" s="47">
        <v>17000074</v>
      </c>
      <c r="I484" s="47" t="s">
        <v>186</v>
      </c>
      <c r="J484" s="47">
        <v>21</v>
      </c>
      <c r="K484" s="198">
        <v>2042196</v>
      </c>
      <c r="L484" s="47">
        <v>21</v>
      </c>
      <c r="M484" s="47" t="s">
        <v>3064</v>
      </c>
      <c r="N484" s="47" t="s">
        <v>2504</v>
      </c>
      <c r="O484" s="264" t="s">
        <v>2505</v>
      </c>
    </row>
    <row r="485" spans="2:15" ht="16.5" customHeight="1" x14ac:dyDescent="0.3">
      <c r="B485" s="263">
        <v>17000075</v>
      </c>
      <c r="C485" s="47">
        <v>1</v>
      </c>
      <c r="D485" s="47">
        <v>0</v>
      </c>
      <c r="E485" s="47">
        <v>0</v>
      </c>
      <c r="F485" s="47">
        <v>0</v>
      </c>
      <c r="G485" s="47">
        <v>1</v>
      </c>
      <c r="H485" s="47">
        <v>17000075</v>
      </c>
      <c r="I485" s="47" t="s">
        <v>186</v>
      </c>
      <c r="J485" s="47">
        <v>21</v>
      </c>
      <c r="K485" s="198">
        <v>2042196</v>
      </c>
      <c r="L485" s="47">
        <v>21</v>
      </c>
      <c r="M485" s="47" t="s">
        <v>3064</v>
      </c>
      <c r="N485" s="47" t="s">
        <v>2506</v>
      </c>
      <c r="O485" s="264" t="s">
        <v>2507</v>
      </c>
    </row>
    <row r="486" spans="2:15" ht="16.5" customHeight="1" thickBot="1" x14ac:dyDescent="0.35">
      <c r="B486" s="231">
        <v>17000059</v>
      </c>
      <c r="C486" s="60">
        <v>1</v>
      </c>
      <c r="D486" s="60">
        <v>0</v>
      </c>
      <c r="E486" s="60">
        <v>0</v>
      </c>
      <c r="F486" s="60">
        <v>0</v>
      </c>
      <c r="G486" s="60">
        <v>1</v>
      </c>
      <c r="H486" s="60">
        <v>17000059</v>
      </c>
      <c r="I486" s="60" t="s">
        <v>186</v>
      </c>
      <c r="J486" s="60">
        <v>21</v>
      </c>
      <c r="K486" s="203">
        <v>1085059</v>
      </c>
      <c r="L486" s="60">
        <v>21</v>
      </c>
      <c r="M486" s="60" t="s">
        <v>3065</v>
      </c>
      <c r="N486" s="60" t="s">
        <v>3066</v>
      </c>
      <c r="O486" s="265" t="s">
        <v>3065</v>
      </c>
    </row>
    <row r="487" spans="2:15" ht="12.75" thickTop="1" x14ac:dyDescent="0.2">
      <c r="B487" s="48">
        <f t="shared" ref="B487:B497" si="47">H487</f>
        <v>18000000</v>
      </c>
      <c r="C487" s="48">
        <v>1</v>
      </c>
      <c r="D487" s="48"/>
      <c r="E487" s="48"/>
      <c r="F487" s="48"/>
      <c r="G487" s="48">
        <v>1</v>
      </c>
      <c r="H487" s="64">
        <v>18000000</v>
      </c>
      <c r="I487" s="64" t="s">
        <v>186</v>
      </c>
      <c r="J487" s="48">
        <v>21</v>
      </c>
      <c r="K487" s="106">
        <v>1400158</v>
      </c>
      <c r="L487" s="48">
        <f t="shared" ref="L487:L529" si="48">VLOOKUP(I487,error,2,FALSE)</f>
        <v>21</v>
      </c>
      <c r="M487" s="48" t="s">
        <v>833</v>
      </c>
      <c r="N487" s="64" t="s">
        <v>363</v>
      </c>
      <c r="O487" s="64" t="s">
        <v>425</v>
      </c>
    </row>
    <row r="488" spans="2:15" x14ac:dyDescent="0.2">
      <c r="B488" s="39">
        <f t="shared" si="47"/>
        <v>18000001</v>
      </c>
      <c r="C488" s="39">
        <v>1</v>
      </c>
      <c r="D488" s="39"/>
      <c r="E488" s="39"/>
      <c r="F488" s="39"/>
      <c r="G488" s="39">
        <v>1</v>
      </c>
      <c r="H488" s="21">
        <v>18000001</v>
      </c>
      <c r="I488" s="21" t="s">
        <v>186</v>
      </c>
      <c r="J488" s="39">
        <v>21</v>
      </c>
      <c r="K488" s="46">
        <v>1014503</v>
      </c>
      <c r="L488" s="39">
        <f t="shared" si="48"/>
        <v>21</v>
      </c>
      <c r="M488" s="39" t="s">
        <v>1083</v>
      </c>
      <c r="N488" s="21" t="s">
        <v>1079</v>
      </c>
      <c r="O488" s="21" t="s">
        <v>1081</v>
      </c>
    </row>
    <row r="489" spans="2:15" x14ac:dyDescent="0.2">
      <c r="B489" s="39">
        <f t="shared" si="47"/>
        <v>18000002</v>
      </c>
      <c r="C489" s="39">
        <v>1</v>
      </c>
      <c r="D489" s="39"/>
      <c r="E489" s="39"/>
      <c r="F489" s="39"/>
      <c r="G489" s="39">
        <v>1</v>
      </c>
      <c r="H489" s="21">
        <v>18000002</v>
      </c>
      <c r="I489" s="21" t="s">
        <v>186</v>
      </c>
      <c r="J489" s="39">
        <v>21</v>
      </c>
      <c r="K489" s="46">
        <v>1014506</v>
      </c>
      <c r="L489" s="39">
        <f t="shared" si="48"/>
        <v>21</v>
      </c>
      <c r="M489" s="39" t="s">
        <v>1093</v>
      </c>
      <c r="N489" s="21" t="s">
        <v>1084</v>
      </c>
      <c r="O489" s="21" t="s">
        <v>1087</v>
      </c>
    </row>
    <row r="490" spans="2:15" x14ac:dyDescent="0.2">
      <c r="B490" s="39">
        <f t="shared" si="47"/>
        <v>18000003</v>
      </c>
      <c r="C490" s="39">
        <v>1</v>
      </c>
      <c r="D490" s="39"/>
      <c r="E490" s="39"/>
      <c r="F490" s="39"/>
      <c r="G490" s="39">
        <v>1</v>
      </c>
      <c r="H490" s="21">
        <v>18000003</v>
      </c>
      <c r="I490" s="21" t="s">
        <v>186</v>
      </c>
      <c r="J490" s="39">
        <v>21</v>
      </c>
      <c r="K490" s="46">
        <v>1014507</v>
      </c>
      <c r="L490" s="39">
        <f t="shared" si="48"/>
        <v>21</v>
      </c>
      <c r="M490" s="39" t="s">
        <v>1094</v>
      </c>
      <c r="N490" s="21" t="s">
        <v>1085</v>
      </c>
      <c r="O490" s="21" t="s">
        <v>1088</v>
      </c>
    </row>
    <row r="491" spans="2:15" x14ac:dyDescent="0.2">
      <c r="B491" s="39">
        <f t="shared" si="47"/>
        <v>18000004</v>
      </c>
      <c r="C491" s="39">
        <v>1</v>
      </c>
      <c r="D491" s="39"/>
      <c r="E491" s="39"/>
      <c r="F491" s="39"/>
      <c r="G491" s="39">
        <v>1</v>
      </c>
      <c r="H491" s="21">
        <v>18000004</v>
      </c>
      <c r="I491" s="21" t="s">
        <v>186</v>
      </c>
      <c r="J491" s="39">
        <v>21</v>
      </c>
      <c r="K491" s="46">
        <v>1014508</v>
      </c>
      <c r="L491" s="39">
        <f t="shared" si="48"/>
        <v>21</v>
      </c>
      <c r="M491" s="39" t="s">
        <v>1095</v>
      </c>
      <c r="N491" s="21" t="s">
        <v>1086</v>
      </c>
      <c r="O491" s="21" t="s">
        <v>1089</v>
      </c>
    </row>
    <row r="492" spans="2:15" x14ac:dyDescent="0.2">
      <c r="B492" s="39">
        <f t="shared" si="47"/>
        <v>18000005</v>
      </c>
      <c r="C492" s="39">
        <v>1</v>
      </c>
      <c r="D492" s="39"/>
      <c r="E492" s="39"/>
      <c r="F492" s="39"/>
      <c r="G492" s="39">
        <v>1</v>
      </c>
      <c r="H492" s="21">
        <v>18000005</v>
      </c>
      <c r="I492" s="21" t="s">
        <v>186</v>
      </c>
      <c r="J492" s="39">
        <v>21</v>
      </c>
      <c r="K492" s="46">
        <v>1014504</v>
      </c>
      <c r="L492" s="39">
        <f t="shared" si="48"/>
        <v>21</v>
      </c>
      <c r="M492" s="39" t="s">
        <v>1092</v>
      </c>
      <c r="N492" s="21" t="s">
        <v>1091</v>
      </c>
      <c r="O492" s="21" t="s">
        <v>1090</v>
      </c>
    </row>
    <row r="493" spans="2:15" x14ac:dyDescent="0.2">
      <c r="B493" s="39">
        <f t="shared" si="47"/>
        <v>18000006</v>
      </c>
      <c r="C493" s="39">
        <v>1</v>
      </c>
      <c r="D493" s="39"/>
      <c r="E493" s="39"/>
      <c r="F493" s="39"/>
      <c r="G493" s="39">
        <v>1</v>
      </c>
      <c r="H493" s="21">
        <v>18000006</v>
      </c>
      <c r="I493" s="21" t="s">
        <v>186</v>
      </c>
      <c r="J493" s="39">
        <v>21</v>
      </c>
      <c r="K493" s="46">
        <v>1014510</v>
      </c>
      <c r="L493" s="39">
        <f t="shared" si="48"/>
        <v>21</v>
      </c>
      <c r="M493" s="39" t="s">
        <v>1848</v>
      </c>
      <c r="N493" s="21" t="s">
        <v>1080</v>
      </c>
      <c r="O493" s="21" t="s">
        <v>1082</v>
      </c>
    </row>
    <row r="494" spans="2:15" x14ac:dyDescent="0.2">
      <c r="B494" s="39">
        <f t="shared" si="47"/>
        <v>18000007</v>
      </c>
      <c r="C494" s="39">
        <v>1</v>
      </c>
      <c r="D494" s="39"/>
      <c r="E494" s="39"/>
      <c r="F494" s="39"/>
      <c r="G494" s="39">
        <v>1</v>
      </c>
      <c r="H494" s="21">
        <v>18000007</v>
      </c>
      <c r="I494" s="21" t="s">
        <v>184</v>
      </c>
      <c r="J494" s="39">
        <v>13</v>
      </c>
      <c r="K494" s="46">
        <v>1014509</v>
      </c>
      <c r="L494" s="39">
        <f t="shared" si="48"/>
        <v>5</v>
      </c>
      <c r="M494" s="39" t="s">
        <v>1098</v>
      </c>
      <c r="N494" s="21" t="s">
        <v>1096</v>
      </c>
      <c r="O494" s="21" t="s">
        <v>1097</v>
      </c>
    </row>
    <row r="495" spans="2:15" x14ac:dyDescent="0.2">
      <c r="B495" s="39">
        <f t="shared" si="47"/>
        <v>18000008</v>
      </c>
      <c r="C495" s="39">
        <v>1</v>
      </c>
      <c r="D495" s="39"/>
      <c r="E495" s="39"/>
      <c r="F495" s="39"/>
      <c r="G495" s="39">
        <v>1</v>
      </c>
      <c r="H495" s="21">
        <v>18000008</v>
      </c>
      <c r="I495" s="21" t="s">
        <v>186</v>
      </c>
      <c r="J495" s="39">
        <v>21</v>
      </c>
      <c r="K495" s="46">
        <v>1014505</v>
      </c>
      <c r="L495" s="39">
        <f t="shared" si="48"/>
        <v>21</v>
      </c>
      <c r="M495" s="39" t="s">
        <v>1101</v>
      </c>
      <c r="N495" s="21" t="s">
        <v>1099</v>
      </c>
      <c r="O495" s="21" t="s">
        <v>1100</v>
      </c>
    </row>
    <row r="496" spans="2:15" x14ac:dyDescent="0.2">
      <c r="B496" s="39">
        <f t="shared" si="47"/>
        <v>18000009</v>
      </c>
      <c r="C496" s="39">
        <v>1</v>
      </c>
      <c r="D496" s="39"/>
      <c r="E496" s="39"/>
      <c r="F496" s="39"/>
      <c r="G496" s="39">
        <v>1</v>
      </c>
      <c r="H496" s="21">
        <v>18000009</v>
      </c>
      <c r="I496" s="21" t="s">
        <v>186</v>
      </c>
      <c r="J496" s="39">
        <v>21</v>
      </c>
      <c r="K496" s="46">
        <v>1014511</v>
      </c>
      <c r="L496" s="39">
        <f t="shared" si="48"/>
        <v>21</v>
      </c>
      <c r="M496" s="39" t="s">
        <v>1102</v>
      </c>
      <c r="N496" s="21" t="s">
        <v>1103</v>
      </c>
      <c r="O496" s="21" t="s">
        <v>1104</v>
      </c>
    </row>
    <row r="497" spans="2:15" x14ac:dyDescent="0.2">
      <c r="B497" s="21">
        <f t="shared" si="47"/>
        <v>18000011</v>
      </c>
      <c r="C497" s="39">
        <v>1</v>
      </c>
      <c r="D497" s="39"/>
      <c r="E497" s="39"/>
      <c r="F497" s="39"/>
      <c r="G497" s="39">
        <v>1</v>
      </c>
      <c r="H497" s="21">
        <v>18000011</v>
      </c>
      <c r="I497" s="21" t="s">
        <v>187</v>
      </c>
      <c r="J497" s="39">
        <v>21</v>
      </c>
      <c r="K497" s="46">
        <v>1014517</v>
      </c>
      <c r="L497" s="39">
        <f t="shared" si="48"/>
        <v>21</v>
      </c>
      <c r="M497" s="39" t="s">
        <v>1472</v>
      </c>
      <c r="N497" s="21" t="s">
        <v>1470</v>
      </c>
      <c r="O497" s="21" t="s">
        <v>1471</v>
      </c>
    </row>
    <row r="498" spans="2:15" x14ac:dyDescent="0.2">
      <c r="B498" s="21">
        <v>18000012</v>
      </c>
      <c r="C498" s="39">
        <v>1</v>
      </c>
      <c r="D498" s="39"/>
      <c r="E498" s="39"/>
      <c r="F498" s="39"/>
      <c r="G498" s="39">
        <v>1</v>
      </c>
      <c r="H498" s="21">
        <v>18000012</v>
      </c>
      <c r="I498" s="21" t="s">
        <v>187</v>
      </c>
      <c r="J498" s="39">
        <v>21</v>
      </c>
      <c r="K498" s="46">
        <v>1014519</v>
      </c>
      <c r="L498" s="39">
        <f t="shared" si="48"/>
        <v>21</v>
      </c>
      <c r="M498" s="39" t="s">
        <v>1904</v>
      </c>
      <c r="N498" s="21" t="s">
        <v>1896</v>
      </c>
      <c r="O498" s="21" t="s">
        <v>1897</v>
      </c>
    </row>
    <row r="499" spans="2:15" x14ac:dyDescent="0.2">
      <c r="B499" s="21">
        <v>18000013</v>
      </c>
      <c r="C499" s="39">
        <v>1</v>
      </c>
      <c r="D499" s="39">
        <v>0</v>
      </c>
      <c r="E499" s="39">
        <v>0</v>
      </c>
      <c r="F499" s="39">
        <v>0</v>
      </c>
      <c r="G499" s="39">
        <v>1</v>
      </c>
      <c r="H499" s="21">
        <v>18000013</v>
      </c>
      <c r="I499" s="21" t="s">
        <v>186</v>
      </c>
      <c r="J499" s="39">
        <v>21</v>
      </c>
      <c r="K499" s="46">
        <v>1014042</v>
      </c>
      <c r="L499" s="39">
        <v>21</v>
      </c>
      <c r="M499" s="39" t="s">
        <v>2779</v>
      </c>
      <c r="N499" s="21" t="s">
        <v>2780</v>
      </c>
      <c r="O499" s="21" t="s">
        <v>2808</v>
      </c>
    </row>
    <row r="500" spans="2:15" x14ac:dyDescent="0.2">
      <c r="B500" s="21">
        <v>18000014</v>
      </c>
      <c r="C500" s="39">
        <v>1</v>
      </c>
      <c r="D500" s="39">
        <v>0</v>
      </c>
      <c r="E500" s="39">
        <v>0</v>
      </c>
      <c r="F500" s="39">
        <v>0</v>
      </c>
      <c r="G500" s="39">
        <v>1</v>
      </c>
      <c r="H500" s="21">
        <v>18000014</v>
      </c>
      <c r="I500" s="21" t="s">
        <v>186</v>
      </c>
      <c r="J500" s="39">
        <v>21</v>
      </c>
      <c r="K500" s="46">
        <v>1014041</v>
      </c>
      <c r="L500" s="39">
        <v>21</v>
      </c>
      <c r="M500" s="39" t="s">
        <v>2809</v>
      </c>
      <c r="N500" s="21" t="s">
        <v>2810</v>
      </c>
      <c r="O500" s="21" t="s">
        <v>2811</v>
      </c>
    </row>
    <row r="501" spans="2:15" x14ac:dyDescent="0.2">
      <c r="B501" s="21">
        <v>18000015</v>
      </c>
      <c r="C501" s="39">
        <v>1</v>
      </c>
      <c r="D501" s="39">
        <v>0</v>
      </c>
      <c r="E501" s="39">
        <v>0</v>
      </c>
      <c r="F501" s="39" t="s">
        <v>3046</v>
      </c>
      <c r="G501" s="39">
        <v>1</v>
      </c>
      <c r="H501" s="21">
        <v>18000015</v>
      </c>
      <c r="I501" s="21" t="s">
        <v>186</v>
      </c>
      <c r="J501" s="39">
        <v>21</v>
      </c>
      <c r="K501" s="46">
        <v>2530115</v>
      </c>
      <c r="L501" s="39">
        <v>21</v>
      </c>
      <c r="M501" s="39" t="s">
        <v>3045</v>
      </c>
      <c r="N501" s="21" t="s">
        <v>3044</v>
      </c>
      <c r="O501" s="21" t="s">
        <v>3043</v>
      </c>
    </row>
    <row r="502" spans="2:15" x14ac:dyDescent="0.2">
      <c r="B502" s="21">
        <v>18000016</v>
      </c>
      <c r="C502" s="39">
        <v>1</v>
      </c>
      <c r="D502" s="39" t="s">
        <v>3202</v>
      </c>
      <c r="E502" s="39">
        <v>0</v>
      </c>
      <c r="F502" s="39" t="s">
        <v>3203</v>
      </c>
      <c r="G502" s="39">
        <v>1</v>
      </c>
      <c r="H502" s="21">
        <v>18000016</v>
      </c>
      <c r="I502" s="21" t="s">
        <v>186</v>
      </c>
      <c r="J502" s="39">
        <v>21</v>
      </c>
      <c r="K502" s="46">
        <v>1014524</v>
      </c>
      <c r="L502" s="39">
        <v>21</v>
      </c>
      <c r="M502" s="39" t="s">
        <v>3204</v>
      </c>
      <c r="N502" s="21" t="s">
        <v>3205</v>
      </c>
      <c r="O502" s="21" t="s">
        <v>3206</v>
      </c>
    </row>
    <row r="503" spans="2:15" x14ac:dyDescent="0.2">
      <c r="B503" s="21">
        <v>18000030</v>
      </c>
      <c r="C503" s="39">
        <v>1</v>
      </c>
      <c r="D503" s="39">
        <v>0</v>
      </c>
      <c r="E503" s="39">
        <v>0</v>
      </c>
      <c r="F503" s="39">
        <v>0</v>
      </c>
      <c r="G503" s="39">
        <v>1</v>
      </c>
      <c r="H503" s="21">
        <v>18000030</v>
      </c>
      <c r="I503" s="21" t="s">
        <v>186</v>
      </c>
      <c r="J503" s="39">
        <v>21</v>
      </c>
      <c r="K503" s="46">
        <v>1014510</v>
      </c>
      <c r="L503" s="39">
        <v>21</v>
      </c>
      <c r="M503" s="39" t="s">
        <v>1848</v>
      </c>
      <c r="N503" s="21" t="s">
        <v>3661</v>
      </c>
      <c r="O503" s="21" t="s">
        <v>3662</v>
      </c>
    </row>
    <row r="504" spans="2:15" x14ac:dyDescent="0.2">
      <c r="B504" s="21">
        <v>18000031</v>
      </c>
      <c r="C504" s="39">
        <v>1</v>
      </c>
      <c r="D504" s="39">
        <v>0</v>
      </c>
      <c r="E504" s="39">
        <v>0</v>
      </c>
      <c r="F504" s="39">
        <v>0</v>
      </c>
      <c r="G504" s="39">
        <v>1</v>
      </c>
      <c r="H504" s="21">
        <v>18000031</v>
      </c>
      <c r="I504" s="21" t="s">
        <v>186</v>
      </c>
      <c r="J504" s="39">
        <v>21</v>
      </c>
      <c r="K504" s="46">
        <v>1400273</v>
      </c>
      <c r="L504" s="39">
        <v>21</v>
      </c>
      <c r="M504" s="39" t="s">
        <v>3663</v>
      </c>
      <c r="N504" s="21" t="s">
        <v>3664</v>
      </c>
      <c r="O504" s="21" t="s">
        <v>3665</v>
      </c>
    </row>
    <row r="505" spans="2:15" x14ac:dyDescent="0.2">
      <c r="B505" s="21">
        <v>18000032</v>
      </c>
      <c r="C505" s="39">
        <v>1</v>
      </c>
      <c r="D505" s="39">
        <v>0</v>
      </c>
      <c r="E505" s="39">
        <v>0</v>
      </c>
      <c r="F505" s="39">
        <v>0</v>
      </c>
      <c r="G505" s="39">
        <v>1</v>
      </c>
      <c r="H505" s="21">
        <v>18000032</v>
      </c>
      <c r="I505" s="21" t="s">
        <v>186</v>
      </c>
      <c r="J505" s="39">
        <v>21</v>
      </c>
      <c r="K505" s="46">
        <v>1400273</v>
      </c>
      <c r="L505" s="39">
        <v>21</v>
      </c>
      <c r="M505" s="39" t="s">
        <v>3663</v>
      </c>
      <c r="N505" s="21" t="s">
        <v>3666</v>
      </c>
      <c r="O505" s="21" t="s">
        <v>3667</v>
      </c>
    </row>
    <row r="506" spans="2:15" x14ac:dyDescent="0.2">
      <c r="B506" s="21">
        <v>18000033</v>
      </c>
      <c r="C506" s="39">
        <v>1</v>
      </c>
      <c r="D506" s="39">
        <v>0</v>
      </c>
      <c r="E506" s="39">
        <v>0</v>
      </c>
      <c r="F506" s="39">
        <v>0</v>
      </c>
      <c r="G506" s="39">
        <v>1</v>
      </c>
      <c r="H506" s="21">
        <v>18000033</v>
      </c>
      <c r="I506" s="21" t="s">
        <v>186</v>
      </c>
      <c r="J506" s="39">
        <v>21</v>
      </c>
      <c r="K506" s="46">
        <v>1014534</v>
      </c>
      <c r="L506" s="39">
        <v>21</v>
      </c>
      <c r="M506" s="39" t="s">
        <v>3668</v>
      </c>
      <c r="N506" s="21" t="s">
        <v>3669</v>
      </c>
      <c r="O506" s="21" t="s">
        <v>3670</v>
      </c>
    </row>
    <row r="507" spans="2:15" x14ac:dyDescent="0.2">
      <c r="B507" s="21">
        <v>18000034</v>
      </c>
      <c r="C507" s="39">
        <v>1</v>
      </c>
      <c r="D507" s="39">
        <v>0</v>
      </c>
      <c r="E507" s="39">
        <v>0</v>
      </c>
      <c r="F507" s="39">
        <v>0</v>
      </c>
      <c r="G507" s="39">
        <v>1</v>
      </c>
      <c r="H507" s="21">
        <v>18000034</v>
      </c>
      <c r="I507" s="21" t="s">
        <v>186</v>
      </c>
      <c r="J507" s="39">
        <v>21</v>
      </c>
      <c r="K507" s="46">
        <v>1014535</v>
      </c>
      <c r="L507" s="39">
        <v>21</v>
      </c>
      <c r="M507" s="39" t="s">
        <v>3671</v>
      </c>
      <c r="N507" s="21" t="s">
        <v>3672</v>
      </c>
      <c r="O507" s="21" t="s">
        <v>3673</v>
      </c>
    </row>
    <row r="508" spans="2:15" ht="12.75" thickBot="1" x14ac:dyDescent="0.25">
      <c r="B508" s="63">
        <v>18000035</v>
      </c>
      <c r="C508" s="44">
        <v>1</v>
      </c>
      <c r="D508" s="44">
        <v>0</v>
      </c>
      <c r="E508" s="44">
        <v>0</v>
      </c>
      <c r="F508" s="44">
        <v>0</v>
      </c>
      <c r="G508" s="44">
        <v>1</v>
      </c>
      <c r="H508" s="63">
        <v>18000035</v>
      </c>
      <c r="I508" s="63" t="s">
        <v>186</v>
      </c>
      <c r="J508" s="44">
        <v>21</v>
      </c>
      <c r="K508" s="54">
        <v>1400273</v>
      </c>
      <c r="L508" s="44">
        <v>21</v>
      </c>
      <c r="M508" s="44" t="s">
        <v>3663</v>
      </c>
      <c r="N508" s="63" t="s">
        <v>3674</v>
      </c>
      <c r="O508" s="63" t="s">
        <v>3675</v>
      </c>
    </row>
    <row r="509" spans="2:15" ht="12.75" thickBot="1" x14ac:dyDescent="0.25">
      <c r="B509" s="431">
        <f>H509</f>
        <v>18000036</v>
      </c>
      <c r="C509" s="91">
        <v>1</v>
      </c>
      <c r="D509" s="247" t="s">
        <v>3834</v>
      </c>
      <c r="E509" s="91">
        <v>0</v>
      </c>
      <c r="F509" s="91">
        <v>0</v>
      </c>
      <c r="G509" s="91">
        <v>1</v>
      </c>
      <c r="H509" s="170">
        <v>18000036</v>
      </c>
      <c r="I509" s="170" t="s">
        <v>186</v>
      </c>
      <c r="J509" s="91">
        <v>21</v>
      </c>
      <c r="K509" s="92">
        <v>1059722</v>
      </c>
      <c r="L509" s="91">
        <v>21</v>
      </c>
      <c r="M509" s="91" t="s">
        <v>3835</v>
      </c>
      <c r="N509" s="170" t="s">
        <v>3836</v>
      </c>
      <c r="O509" s="65" t="s">
        <v>3837</v>
      </c>
    </row>
    <row r="510" spans="2:15" x14ac:dyDescent="0.2">
      <c r="B510" s="64">
        <f t="shared" ref="B510:B541" si="49">H510</f>
        <v>19000000</v>
      </c>
      <c r="C510" s="48">
        <v>1</v>
      </c>
      <c r="D510" s="48"/>
      <c r="E510" s="48"/>
      <c r="F510" s="48"/>
      <c r="G510" s="48">
        <v>1</v>
      </c>
      <c r="H510" s="64">
        <v>19000000</v>
      </c>
      <c r="I510" s="64" t="s">
        <v>187</v>
      </c>
      <c r="J510" s="48">
        <v>21</v>
      </c>
      <c r="K510" s="106">
        <v>1058504</v>
      </c>
      <c r="L510" s="48">
        <f t="shared" si="48"/>
        <v>21</v>
      </c>
      <c r="M510" s="48" t="s">
        <v>1552</v>
      </c>
      <c r="N510" s="64" t="s">
        <v>1541</v>
      </c>
      <c r="O510" s="64" t="s">
        <v>1546</v>
      </c>
    </row>
    <row r="511" spans="2:15" x14ac:dyDescent="0.2">
      <c r="B511" s="21">
        <f t="shared" si="49"/>
        <v>19000001</v>
      </c>
      <c r="C511" s="39">
        <v>1</v>
      </c>
      <c r="D511" s="39"/>
      <c r="E511" s="39"/>
      <c r="F511" s="39"/>
      <c r="G511" s="39">
        <v>1</v>
      </c>
      <c r="H511" s="21">
        <v>19000001</v>
      </c>
      <c r="I511" s="21" t="s">
        <v>187</v>
      </c>
      <c r="J511" s="39">
        <v>21</v>
      </c>
      <c r="K511" s="46">
        <v>1058505</v>
      </c>
      <c r="L511" s="39">
        <f t="shared" si="48"/>
        <v>21</v>
      </c>
      <c r="M511" s="39" t="s">
        <v>1553</v>
      </c>
      <c r="N511" s="21" t="s">
        <v>1542</v>
      </c>
      <c r="O511" s="21" t="s">
        <v>1547</v>
      </c>
    </row>
    <row r="512" spans="2:15" x14ac:dyDescent="0.2">
      <c r="B512" s="21">
        <f t="shared" si="49"/>
        <v>19000002</v>
      </c>
      <c r="C512" s="39">
        <v>1</v>
      </c>
      <c r="D512" s="39"/>
      <c r="E512" s="39"/>
      <c r="F512" s="39"/>
      <c r="G512" s="39">
        <v>1</v>
      </c>
      <c r="H512" s="21">
        <v>19000002</v>
      </c>
      <c r="I512" s="21" t="s">
        <v>187</v>
      </c>
      <c r="J512" s="39">
        <v>21</v>
      </c>
      <c r="K512" s="46">
        <v>1058503</v>
      </c>
      <c r="L512" s="39">
        <f t="shared" si="48"/>
        <v>21</v>
      </c>
      <c r="M512" s="39" t="s">
        <v>1551</v>
      </c>
      <c r="N512" s="21" t="s">
        <v>1543</v>
      </c>
      <c r="O512" s="21" t="s">
        <v>1548</v>
      </c>
    </row>
    <row r="513" spans="2:15" x14ac:dyDescent="0.2">
      <c r="B513" s="21">
        <f t="shared" si="49"/>
        <v>19000003</v>
      </c>
      <c r="C513" s="39">
        <v>1</v>
      </c>
      <c r="D513" s="39"/>
      <c r="E513" s="39"/>
      <c r="F513" s="39"/>
      <c r="G513" s="39">
        <v>1</v>
      </c>
      <c r="H513" s="21">
        <v>19000003</v>
      </c>
      <c r="I513" s="21" t="s">
        <v>187</v>
      </c>
      <c r="J513" s="39">
        <v>21</v>
      </c>
      <c r="K513" s="46">
        <v>1058506</v>
      </c>
      <c r="L513" s="39">
        <f t="shared" si="48"/>
        <v>21</v>
      </c>
      <c r="M513" s="39" t="s">
        <v>1554</v>
      </c>
      <c r="N513" s="21" t="s">
        <v>1544</v>
      </c>
      <c r="O513" s="21" t="s">
        <v>1549</v>
      </c>
    </row>
    <row r="514" spans="2:15" x14ac:dyDescent="0.2">
      <c r="B514" s="21">
        <f t="shared" si="49"/>
        <v>19000004</v>
      </c>
      <c r="C514" s="39">
        <v>1</v>
      </c>
      <c r="D514" s="39"/>
      <c r="E514" s="39"/>
      <c r="F514" s="39"/>
      <c r="G514" s="39">
        <v>1</v>
      </c>
      <c r="H514" s="21">
        <v>19000004</v>
      </c>
      <c r="I514" s="21" t="s">
        <v>187</v>
      </c>
      <c r="J514" s="39">
        <v>21</v>
      </c>
      <c r="K514" s="46">
        <v>1058507</v>
      </c>
      <c r="L514" s="39">
        <f t="shared" si="48"/>
        <v>21</v>
      </c>
      <c r="M514" s="39" t="s">
        <v>1555</v>
      </c>
      <c r="N514" s="21" t="s">
        <v>1545</v>
      </c>
      <c r="O514" s="21" t="s">
        <v>1550</v>
      </c>
    </row>
    <row r="515" spans="2:15" x14ac:dyDescent="0.2">
      <c r="B515" s="39">
        <f t="shared" si="49"/>
        <v>21000000</v>
      </c>
      <c r="C515" s="39">
        <v>1</v>
      </c>
      <c r="D515" s="39"/>
      <c r="E515" s="39"/>
      <c r="F515" s="39"/>
      <c r="G515" s="39">
        <v>1</v>
      </c>
      <c r="H515" s="21">
        <v>21000000</v>
      </c>
      <c r="I515" s="21" t="s">
        <v>184</v>
      </c>
      <c r="J515" s="39">
        <v>13</v>
      </c>
      <c r="K515" s="46">
        <v>1400159</v>
      </c>
      <c r="L515" s="39">
        <f t="shared" si="48"/>
        <v>5</v>
      </c>
      <c r="M515" s="39" t="s">
        <v>782</v>
      </c>
      <c r="N515" s="21" t="s">
        <v>150</v>
      </c>
      <c r="O515" s="21" t="s">
        <v>297</v>
      </c>
    </row>
    <row r="516" spans="2:15" x14ac:dyDescent="0.2">
      <c r="B516" s="39">
        <f t="shared" si="49"/>
        <v>21000001</v>
      </c>
      <c r="C516" s="39">
        <v>1</v>
      </c>
      <c r="D516" s="39"/>
      <c r="E516" s="39"/>
      <c r="F516" s="39"/>
      <c r="G516" s="39">
        <v>1</v>
      </c>
      <c r="H516" s="21">
        <v>21000001</v>
      </c>
      <c r="I516" s="21" t="s">
        <v>184</v>
      </c>
      <c r="J516" s="39">
        <v>13</v>
      </c>
      <c r="K516" s="46">
        <v>1400160</v>
      </c>
      <c r="L516" s="39">
        <f t="shared" si="48"/>
        <v>5</v>
      </c>
      <c r="M516" s="39" t="s">
        <v>834</v>
      </c>
      <c r="N516" s="21" t="s">
        <v>151</v>
      </c>
      <c r="O516" s="21" t="s">
        <v>298</v>
      </c>
    </row>
    <row r="517" spans="2:15" x14ac:dyDescent="0.2">
      <c r="B517" s="39">
        <f t="shared" si="49"/>
        <v>21000002</v>
      </c>
      <c r="C517" s="39">
        <v>1</v>
      </c>
      <c r="D517" s="39"/>
      <c r="E517" s="39"/>
      <c r="F517" s="39"/>
      <c r="G517" s="39">
        <v>1</v>
      </c>
      <c r="H517" s="21">
        <v>21000002</v>
      </c>
      <c r="I517" s="21" t="s">
        <v>186</v>
      </c>
      <c r="J517" s="39">
        <v>13</v>
      </c>
      <c r="K517" s="46">
        <v>1400161</v>
      </c>
      <c r="L517" s="39">
        <f t="shared" si="48"/>
        <v>21</v>
      </c>
      <c r="M517" s="39" t="s">
        <v>750</v>
      </c>
      <c r="N517" s="21" t="s">
        <v>152</v>
      </c>
      <c r="O517" s="21" t="s">
        <v>299</v>
      </c>
    </row>
    <row r="518" spans="2:15" x14ac:dyDescent="0.2">
      <c r="B518" s="39">
        <f t="shared" si="49"/>
        <v>21000003</v>
      </c>
      <c r="C518" s="39">
        <v>1</v>
      </c>
      <c r="D518" s="39"/>
      <c r="E518" s="39"/>
      <c r="F518" s="39"/>
      <c r="G518" s="39">
        <v>1</v>
      </c>
      <c r="H518" s="21">
        <v>21000003</v>
      </c>
      <c r="I518" s="21" t="s">
        <v>186</v>
      </c>
      <c r="J518" s="39">
        <v>13</v>
      </c>
      <c r="K518" s="46">
        <v>1400162</v>
      </c>
      <c r="L518" s="39">
        <f t="shared" si="48"/>
        <v>21</v>
      </c>
      <c r="M518" s="39" t="s">
        <v>750</v>
      </c>
      <c r="N518" s="21" t="s">
        <v>153</v>
      </c>
      <c r="O518" s="21" t="s">
        <v>300</v>
      </c>
    </row>
    <row r="519" spans="2:15" x14ac:dyDescent="0.2">
      <c r="B519" s="39">
        <f t="shared" si="49"/>
        <v>21000004</v>
      </c>
      <c r="C519" s="39">
        <v>1</v>
      </c>
      <c r="D519" s="39"/>
      <c r="E519" s="39"/>
      <c r="F519" s="39"/>
      <c r="G519" s="39">
        <v>1</v>
      </c>
      <c r="H519" s="21">
        <v>21000004</v>
      </c>
      <c r="I519" s="21" t="s">
        <v>186</v>
      </c>
      <c r="J519" s="39">
        <v>13</v>
      </c>
      <c r="K519" s="46">
        <v>1400163</v>
      </c>
      <c r="L519" s="39">
        <f t="shared" si="48"/>
        <v>21</v>
      </c>
      <c r="M519" s="39" t="s">
        <v>835</v>
      </c>
      <c r="N519" s="21" t="s">
        <v>154</v>
      </c>
      <c r="O519" s="21" t="s">
        <v>301</v>
      </c>
    </row>
    <row r="520" spans="2:15" x14ac:dyDescent="0.2">
      <c r="B520" s="39">
        <f t="shared" si="49"/>
        <v>21000005</v>
      </c>
      <c r="C520" s="39">
        <v>1</v>
      </c>
      <c r="D520" s="39"/>
      <c r="E520" s="39"/>
      <c r="F520" s="39"/>
      <c r="G520" s="39">
        <v>1</v>
      </c>
      <c r="H520" s="21">
        <v>21000005</v>
      </c>
      <c r="I520" s="21" t="s">
        <v>186</v>
      </c>
      <c r="J520" s="39">
        <v>13</v>
      </c>
      <c r="K520" s="46">
        <v>1400164</v>
      </c>
      <c r="L520" s="39">
        <f t="shared" si="48"/>
        <v>21</v>
      </c>
      <c r="M520" s="39" t="s">
        <v>1948</v>
      </c>
      <c r="N520" s="21" t="s">
        <v>155</v>
      </c>
      <c r="O520" s="21" t="s">
        <v>302</v>
      </c>
    </row>
    <row r="521" spans="2:15" x14ac:dyDescent="0.2">
      <c r="B521" s="39">
        <f t="shared" si="49"/>
        <v>21000006</v>
      </c>
      <c r="C521" s="39">
        <v>1</v>
      </c>
      <c r="D521" s="39"/>
      <c r="E521" s="39"/>
      <c r="F521" s="39"/>
      <c r="G521" s="39">
        <v>1</v>
      </c>
      <c r="H521" s="21">
        <v>21000006</v>
      </c>
      <c r="I521" s="21" t="s">
        <v>437</v>
      </c>
      <c r="J521" s="39">
        <v>13</v>
      </c>
      <c r="K521" s="46">
        <v>1400165</v>
      </c>
      <c r="L521" s="39">
        <f t="shared" si="48"/>
        <v>0</v>
      </c>
      <c r="M521" s="39" t="s">
        <v>836</v>
      </c>
      <c r="N521" s="21" t="s">
        <v>156</v>
      </c>
      <c r="O521" s="21" t="s">
        <v>303</v>
      </c>
    </row>
    <row r="522" spans="2:15" x14ac:dyDescent="0.2">
      <c r="B522" s="39">
        <f t="shared" si="49"/>
        <v>21000007</v>
      </c>
      <c r="C522" s="39">
        <v>1</v>
      </c>
      <c r="D522" s="39"/>
      <c r="E522" s="39"/>
      <c r="F522" s="39"/>
      <c r="G522" s="39">
        <v>1</v>
      </c>
      <c r="H522" s="21">
        <v>21000007</v>
      </c>
      <c r="I522" s="21" t="s">
        <v>186</v>
      </c>
      <c r="J522" s="39">
        <v>13</v>
      </c>
      <c r="K522" s="46">
        <v>1400166</v>
      </c>
      <c r="L522" s="39">
        <f t="shared" si="48"/>
        <v>21</v>
      </c>
      <c r="M522" s="39" t="s">
        <v>837</v>
      </c>
      <c r="N522" s="21" t="s">
        <v>157</v>
      </c>
      <c r="O522" s="21" t="s">
        <v>304</v>
      </c>
    </row>
    <row r="523" spans="2:15" x14ac:dyDescent="0.2">
      <c r="B523" s="39">
        <f t="shared" si="49"/>
        <v>21000008</v>
      </c>
      <c r="C523" s="39">
        <v>1</v>
      </c>
      <c r="D523" s="39"/>
      <c r="E523" s="39"/>
      <c r="F523" s="39"/>
      <c r="G523" s="39">
        <v>1</v>
      </c>
      <c r="H523" s="21">
        <v>21000008</v>
      </c>
      <c r="I523" s="21" t="s">
        <v>186</v>
      </c>
      <c r="J523" s="39">
        <v>13</v>
      </c>
      <c r="K523" s="46">
        <v>1400167</v>
      </c>
      <c r="L523" s="39">
        <f t="shared" si="48"/>
        <v>21</v>
      </c>
      <c r="M523" s="39" t="s">
        <v>838</v>
      </c>
      <c r="N523" s="21" t="s">
        <v>158</v>
      </c>
      <c r="O523" s="21" t="s">
        <v>305</v>
      </c>
    </row>
    <row r="524" spans="2:15" x14ac:dyDescent="0.2">
      <c r="B524" s="39">
        <f t="shared" si="49"/>
        <v>21000009</v>
      </c>
      <c r="C524" s="39">
        <v>1</v>
      </c>
      <c r="D524" s="39"/>
      <c r="E524" s="39"/>
      <c r="F524" s="39"/>
      <c r="G524" s="39">
        <v>1</v>
      </c>
      <c r="H524" s="21">
        <v>21000009</v>
      </c>
      <c r="I524" s="21" t="s">
        <v>186</v>
      </c>
      <c r="J524" s="39">
        <v>13</v>
      </c>
      <c r="K524" s="46">
        <v>1400168</v>
      </c>
      <c r="L524" s="39">
        <f t="shared" si="48"/>
        <v>21</v>
      </c>
      <c r="M524" s="39" t="s">
        <v>1949</v>
      </c>
      <c r="N524" s="21" t="s">
        <v>159</v>
      </c>
      <c r="O524" s="21" t="s">
        <v>231</v>
      </c>
    </row>
    <row r="525" spans="2:15" x14ac:dyDescent="0.2">
      <c r="B525" s="39">
        <f t="shared" si="49"/>
        <v>21000010</v>
      </c>
      <c r="C525" s="39">
        <v>1</v>
      </c>
      <c r="D525" s="39"/>
      <c r="E525" s="39"/>
      <c r="F525" s="39"/>
      <c r="G525" s="39">
        <v>1</v>
      </c>
      <c r="H525" s="21">
        <v>21000010</v>
      </c>
      <c r="I525" s="21" t="s">
        <v>186</v>
      </c>
      <c r="J525" s="39">
        <v>13</v>
      </c>
      <c r="K525" s="46">
        <v>1400169</v>
      </c>
      <c r="L525" s="39">
        <f t="shared" si="48"/>
        <v>21</v>
      </c>
      <c r="M525" s="39" t="s">
        <v>839</v>
      </c>
      <c r="N525" s="21" t="s">
        <v>160</v>
      </c>
      <c r="O525" s="21" t="s">
        <v>306</v>
      </c>
    </row>
    <row r="526" spans="2:15" x14ac:dyDescent="0.2">
      <c r="B526" s="39">
        <f t="shared" si="49"/>
        <v>21000011</v>
      </c>
      <c r="C526" s="39">
        <v>1</v>
      </c>
      <c r="D526" s="39"/>
      <c r="E526" s="39"/>
      <c r="F526" s="39"/>
      <c r="G526" s="39">
        <v>1</v>
      </c>
      <c r="H526" s="21">
        <v>21000011</v>
      </c>
      <c r="I526" s="21" t="s">
        <v>186</v>
      </c>
      <c r="J526" s="39">
        <v>13</v>
      </c>
      <c r="K526" s="46">
        <v>1400170</v>
      </c>
      <c r="L526" s="39">
        <f t="shared" si="48"/>
        <v>21</v>
      </c>
      <c r="M526" s="39" t="s">
        <v>2203</v>
      </c>
      <c r="N526" s="21" t="s">
        <v>161</v>
      </c>
      <c r="O526" s="21" t="s">
        <v>307</v>
      </c>
    </row>
    <row r="527" spans="2:15" x14ac:dyDescent="0.2">
      <c r="B527" s="39">
        <f t="shared" si="49"/>
        <v>21000012</v>
      </c>
      <c r="C527" s="39">
        <v>1</v>
      </c>
      <c r="D527" s="39"/>
      <c r="E527" s="39"/>
      <c r="F527" s="39"/>
      <c r="G527" s="39">
        <v>1</v>
      </c>
      <c r="H527" s="21">
        <v>21000012</v>
      </c>
      <c r="I527" s="21" t="s">
        <v>186</v>
      </c>
      <c r="J527" s="39">
        <v>13</v>
      </c>
      <c r="K527" s="46">
        <v>1400171</v>
      </c>
      <c r="L527" s="39">
        <f t="shared" si="48"/>
        <v>21</v>
      </c>
      <c r="M527" s="39" t="s">
        <v>1950</v>
      </c>
      <c r="N527" s="21" t="s">
        <v>724</v>
      </c>
      <c r="O527" s="21" t="s">
        <v>427</v>
      </c>
    </row>
    <row r="528" spans="2:15" x14ac:dyDescent="0.2">
      <c r="B528" s="39">
        <f t="shared" si="49"/>
        <v>21000013</v>
      </c>
      <c r="C528" s="39">
        <v>1</v>
      </c>
      <c r="D528" s="39"/>
      <c r="E528" s="39"/>
      <c r="F528" s="39"/>
      <c r="G528" s="39">
        <v>1</v>
      </c>
      <c r="H528" s="21">
        <v>21000013</v>
      </c>
      <c r="I528" s="21" t="s">
        <v>186</v>
      </c>
      <c r="J528" s="39">
        <v>13</v>
      </c>
      <c r="K528" s="46">
        <v>1400172</v>
      </c>
      <c r="L528" s="39">
        <f t="shared" si="48"/>
        <v>21</v>
      </c>
      <c r="M528" s="39" t="s">
        <v>1951</v>
      </c>
      <c r="N528" s="21" t="s">
        <v>366</v>
      </c>
      <c r="O528" s="21" t="s">
        <v>659</v>
      </c>
    </row>
    <row r="529" spans="2:15" x14ac:dyDescent="0.2">
      <c r="B529" s="39">
        <f t="shared" si="49"/>
        <v>21000014</v>
      </c>
      <c r="C529" s="39">
        <v>1</v>
      </c>
      <c r="D529" s="39"/>
      <c r="E529" s="39"/>
      <c r="F529" s="39"/>
      <c r="G529" s="39">
        <v>1</v>
      </c>
      <c r="H529" s="21">
        <v>21000014</v>
      </c>
      <c r="I529" s="21" t="s">
        <v>184</v>
      </c>
      <c r="J529" s="39">
        <v>13</v>
      </c>
      <c r="K529" s="46">
        <v>1400173</v>
      </c>
      <c r="L529" s="39">
        <f t="shared" si="48"/>
        <v>5</v>
      </c>
      <c r="M529" s="39" t="s">
        <v>840</v>
      </c>
      <c r="N529" s="21" t="s">
        <v>525</v>
      </c>
      <c r="O529" s="21" t="s">
        <v>717</v>
      </c>
    </row>
    <row r="530" spans="2:15" x14ac:dyDescent="0.2">
      <c r="B530" s="39">
        <f t="shared" si="49"/>
        <v>21000015</v>
      </c>
      <c r="C530" s="39">
        <v>1</v>
      </c>
      <c r="D530" s="39"/>
      <c r="E530" s="39"/>
      <c r="F530" s="39"/>
      <c r="G530" s="39">
        <v>1</v>
      </c>
      <c r="H530" s="21">
        <v>21000015</v>
      </c>
      <c r="I530" s="21" t="s">
        <v>184</v>
      </c>
      <c r="J530" s="39">
        <v>13</v>
      </c>
      <c r="K530" s="46">
        <v>1400174</v>
      </c>
      <c r="L530" s="39">
        <f t="shared" ref="L530:L546" si="50">VLOOKUP(I530,error,2,FALSE)</f>
        <v>5</v>
      </c>
      <c r="M530" s="39" t="s">
        <v>841</v>
      </c>
      <c r="N530" s="21" t="s">
        <v>526</v>
      </c>
      <c r="O530" s="21" t="s">
        <v>598</v>
      </c>
    </row>
    <row r="531" spans="2:15" x14ac:dyDescent="0.2">
      <c r="B531" s="39">
        <f t="shared" si="49"/>
        <v>21000016</v>
      </c>
      <c r="C531" s="39">
        <v>1</v>
      </c>
      <c r="D531" s="39"/>
      <c r="E531" s="39"/>
      <c r="F531" s="39"/>
      <c r="G531" s="39">
        <v>1</v>
      </c>
      <c r="H531" s="21">
        <v>21000016</v>
      </c>
      <c r="I531" s="21" t="s">
        <v>184</v>
      </c>
      <c r="J531" s="39">
        <v>13</v>
      </c>
      <c r="K531" s="46">
        <v>1400175</v>
      </c>
      <c r="L531" s="39">
        <f t="shared" si="50"/>
        <v>5</v>
      </c>
      <c r="M531" s="39" t="s">
        <v>842</v>
      </c>
      <c r="N531" s="21" t="s">
        <v>527</v>
      </c>
      <c r="O531" s="21" t="s">
        <v>599</v>
      </c>
    </row>
    <row r="532" spans="2:15" x14ac:dyDescent="0.2">
      <c r="B532" s="39">
        <f t="shared" si="49"/>
        <v>21000017</v>
      </c>
      <c r="C532" s="39">
        <v>1</v>
      </c>
      <c r="D532" s="39"/>
      <c r="E532" s="39"/>
      <c r="F532" s="39"/>
      <c r="G532" s="39">
        <v>1</v>
      </c>
      <c r="H532" s="21">
        <v>21000017</v>
      </c>
      <c r="I532" s="21" t="s">
        <v>184</v>
      </c>
      <c r="J532" s="39">
        <v>13</v>
      </c>
      <c r="K532" s="46">
        <v>1400176</v>
      </c>
      <c r="L532" s="39">
        <f t="shared" si="50"/>
        <v>5</v>
      </c>
      <c r="M532" s="39" t="s">
        <v>843</v>
      </c>
      <c r="N532" s="21" t="s">
        <v>528</v>
      </c>
      <c r="O532" s="21" t="s">
        <v>600</v>
      </c>
    </row>
    <row r="533" spans="2:15" x14ac:dyDescent="0.2">
      <c r="B533" s="39">
        <f t="shared" si="49"/>
        <v>21000018</v>
      </c>
      <c r="C533" s="39">
        <v>1</v>
      </c>
      <c r="D533" s="39"/>
      <c r="E533" s="39"/>
      <c r="F533" s="39"/>
      <c r="G533" s="39">
        <v>1</v>
      </c>
      <c r="H533" s="39">
        <v>21000018</v>
      </c>
      <c r="I533" s="21" t="s">
        <v>184</v>
      </c>
      <c r="J533" s="39">
        <v>13</v>
      </c>
      <c r="K533" s="46">
        <v>1400177</v>
      </c>
      <c r="L533" s="39">
        <f t="shared" si="50"/>
        <v>5</v>
      </c>
      <c r="M533" s="39" t="s">
        <v>844</v>
      </c>
      <c r="N533" s="39" t="s">
        <v>529</v>
      </c>
      <c r="O533" s="21" t="s">
        <v>601</v>
      </c>
    </row>
    <row r="534" spans="2:15" x14ac:dyDescent="0.2">
      <c r="B534" s="39">
        <f t="shared" si="49"/>
        <v>21000019</v>
      </c>
      <c r="C534" s="39">
        <v>1</v>
      </c>
      <c r="D534" s="39"/>
      <c r="E534" s="39"/>
      <c r="F534" s="39"/>
      <c r="G534" s="39">
        <v>1</v>
      </c>
      <c r="H534" s="39">
        <v>21000019</v>
      </c>
      <c r="I534" s="21" t="s">
        <v>184</v>
      </c>
      <c r="J534" s="39">
        <v>13</v>
      </c>
      <c r="K534" s="46">
        <v>1400178</v>
      </c>
      <c r="L534" s="39">
        <f t="shared" si="50"/>
        <v>5</v>
      </c>
      <c r="M534" s="39" t="s">
        <v>845</v>
      </c>
      <c r="N534" s="39" t="s">
        <v>530</v>
      </c>
      <c r="O534" s="21" t="s">
        <v>602</v>
      </c>
    </row>
    <row r="535" spans="2:15" x14ac:dyDescent="0.2">
      <c r="B535" s="39">
        <f t="shared" si="49"/>
        <v>21000020</v>
      </c>
      <c r="C535" s="39">
        <v>1</v>
      </c>
      <c r="D535" s="39"/>
      <c r="E535" s="39"/>
      <c r="F535" s="39"/>
      <c r="G535" s="39">
        <v>1</v>
      </c>
      <c r="H535" s="39">
        <v>21000020</v>
      </c>
      <c r="I535" s="21" t="s">
        <v>184</v>
      </c>
      <c r="J535" s="39">
        <v>13</v>
      </c>
      <c r="K535" s="46">
        <v>1400179</v>
      </c>
      <c r="L535" s="39">
        <f t="shared" si="50"/>
        <v>5</v>
      </c>
      <c r="M535" s="39" t="s">
        <v>1952</v>
      </c>
      <c r="N535" s="39" t="s">
        <v>531</v>
      </c>
      <c r="O535" s="21" t="s">
        <v>846</v>
      </c>
    </row>
    <row r="536" spans="2:15" x14ac:dyDescent="0.2">
      <c r="B536" s="39">
        <f t="shared" si="49"/>
        <v>21000021</v>
      </c>
      <c r="C536" s="39">
        <v>1</v>
      </c>
      <c r="D536" s="39"/>
      <c r="E536" s="39"/>
      <c r="F536" s="39"/>
      <c r="G536" s="39">
        <v>1</v>
      </c>
      <c r="H536" s="39">
        <v>21000021</v>
      </c>
      <c r="I536" s="21" t="s">
        <v>184</v>
      </c>
      <c r="J536" s="39">
        <v>13</v>
      </c>
      <c r="K536" s="46">
        <v>1400180</v>
      </c>
      <c r="L536" s="39">
        <f t="shared" si="50"/>
        <v>5</v>
      </c>
      <c r="M536" s="39" t="s">
        <v>1953</v>
      </c>
      <c r="N536" s="39" t="s">
        <v>532</v>
      </c>
      <c r="O536" s="21" t="s">
        <v>847</v>
      </c>
    </row>
    <row r="537" spans="2:15" x14ac:dyDescent="0.2">
      <c r="B537" s="39">
        <f t="shared" si="49"/>
        <v>21000022</v>
      </c>
      <c r="C537" s="39">
        <v>1</v>
      </c>
      <c r="D537" s="39"/>
      <c r="E537" s="39"/>
      <c r="F537" s="39"/>
      <c r="G537" s="39">
        <v>1</v>
      </c>
      <c r="H537" s="39">
        <v>21000022</v>
      </c>
      <c r="I537" s="21" t="s">
        <v>184</v>
      </c>
      <c r="J537" s="39">
        <v>13</v>
      </c>
      <c r="K537" s="46">
        <v>1400181</v>
      </c>
      <c r="L537" s="39">
        <f t="shared" si="50"/>
        <v>5</v>
      </c>
      <c r="M537" s="39" t="s">
        <v>848</v>
      </c>
      <c r="N537" s="39" t="s">
        <v>533</v>
      </c>
      <c r="O537" s="21" t="s">
        <v>718</v>
      </c>
    </row>
    <row r="538" spans="2:15" x14ac:dyDescent="0.2">
      <c r="B538" s="39">
        <f t="shared" si="49"/>
        <v>21000100</v>
      </c>
      <c r="C538" s="39">
        <v>1</v>
      </c>
      <c r="D538" s="39"/>
      <c r="E538" s="39"/>
      <c r="F538" s="39"/>
      <c r="G538" s="39">
        <v>1</v>
      </c>
      <c r="H538" s="39">
        <v>21000100</v>
      </c>
      <c r="I538" s="21" t="s">
        <v>184</v>
      </c>
      <c r="J538" s="39">
        <v>13</v>
      </c>
      <c r="K538" s="46">
        <v>1400182</v>
      </c>
      <c r="L538" s="39">
        <f t="shared" si="50"/>
        <v>5</v>
      </c>
      <c r="M538" s="39" t="s">
        <v>849</v>
      </c>
      <c r="N538" s="39" t="s">
        <v>534</v>
      </c>
      <c r="O538" s="21" t="s">
        <v>603</v>
      </c>
    </row>
    <row r="539" spans="2:15" x14ac:dyDescent="0.2">
      <c r="B539" s="39">
        <f t="shared" si="49"/>
        <v>21000101</v>
      </c>
      <c r="C539" s="39">
        <v>1</v>
      </c>
      <c r="D539" s="39"/>
      <c r="E539" s="39"/>
      <c r="F539" s="39"/>
      <c r="G539" s="39">
        <v>1</v>
      </c>
      <c r="H539" s="39">
        <v>21000101</v>
      </c>
      <c r="I539" s="21" t="s">
        <v>184</v>
      </c>
      <c r="J539" s="39">
        <v>13</v>
      </c>
      <c r="K539" s="46">
        <v>1400183</v>
      </c>
      <c r="L539" s="39">
        <f t="shared" si="50"/>
        <v>5</v>
      </c>
      <c r="M539" s="39" t="s">
        <v>850</v>
      </c>
      <c r="N539" s="39" t="s">
        <v>535</v>
      </c>
      <c r="O539" s="21" t="s">
        <v>604</v>
      </c>
    </row>
    <row r="540" spans="2:15" x14ac:dyDescent="0.2">
      <c r="B540" s="39">
        <f t="shared" si="49"/>
        <v>21000102</v>
      </c>
      <c r="C540" s="39">
        <v>1</v>
      </c>
      <c r="D540" s="39"/>
      <c r="E540" s="39"/>
      <c r="F540" s="39"/>
      <c r="G540" s="39">
        <v>1</v>
      </c>
      <c r="H540" s="39">
        <v>21000102</v>
      </c>
      <c r="I540" s="21" t="s">
        <v>184</v>
      </c>
      <c r="J540" s="39">
        <v>13</v>
      </c>
      <c r="K540" s="46">
        <v>1400184</v>
      </c>
      <c r="L540" s="39">
        <f t="shared" si="50"/>
        <v>5</v>
      </c>
      <c r="M540" s="39" t="s">
        <v>851</v>
      </c>
      <c r="N540" s="39" t="s">
        <v>536</v>
      </c>
      <c r="O540" s="21" t="s">
        <v>605</v>
      </c>
    </row>
    <row r="541" spans="2:15" x14ac:dyDescent="0.2">
      <c r="B541" s="39">
        <f t="shared" si="49"/>
        <v>21000103</v>
      </c>
      <c r="C541" s="39">
        <v>1</v>
      </c>
      <c r="D541" s="39"/>
      <c r="E541" s="39"/>
      <c r="F541" s="39"/>
      <c r="G541" s="39">
        <v>1</v>
      </c>
      <c r="H541" s="39">
        <v>21000103</v>
      </c>
      <c r="I541" s="21" t="s">
        <v>184</v>
      </c>
      <c r="J541" s="39">
        <v>13</v>
      </c>
      <c r="K541" s="46">
        <v>1400185</v>
      </c>
      <c r="L541" s="39">
        <f t="shared" si="50"/>
        <v>5</v>
      </c>
      <c r="M541" s="39" t="s">
        <v>850</v>
      </c>
      <c r="N541" s="39" t="s">
        <v>537</v>
      </c>
      <c r="O541" s="21" t="s">
        <v>606</v>
      </c>
    </row>
    <row r="542" spans="2:15" x14ac:dyDescent="0.2">
      <c r="B542" s="39">
        <f t="shared" ref="B542:B574" si="51">H542</f>
        <v>21000104</v>
      </c>
      <c r="C542" s="39">
        <v>1</v>
      </c>
      <c r="D542" s="39"/>
      <c r="E542" s="39"/>
      <c r="F542" s="39"/>
      <c r="G542" s="39">
        <v>1</v>
      </c>
      <c r="H542" s="39">
        <v>21000104</v>
      </c>
      <c r="I542" s="21" t="s">
        <v>184</v>
      </c>
      <c r="J542" s="39">
        <v>13</v>
      </c>
      <c r="K542" s="46">
        <v>1400186</v>
      </c>
      <c r="L542" s="39">
        <f t="shared" si="50"/>
        <v>5</v>
      </c>
      <c r="M542" s="39" t="s">
        <v>852</v>
      </c>
      <c r="N542" s="39" t="s">
        <v>538</v>
      </c>
      <c r="O542" s="21" t="s">
        <v>607</v>
      </c>
    </row>
    <row r="543" spans="2:15" x14ac:dyDescent="0.2">
      <c r="B543" s="39">
        <f t="shared" si="51"/>
        <v>24000000</v>
      </c>
      <c r="C543" s="39">
        <v>1</v>
      </c>
      <c r="D543" s="39"/>
      <c r="E543" s="39"/>
      <c r="F543" s="39"/>
      <c r="G543" s="39">
        <v>1</v>
      </c>
      <c r="H543" s="160">
        <v>24000000</v>
      </c>
      <c r="I543" s="21" t="s">
        <v>184</v>
      </c>
      <c r="J543" s="39">
        <v>13</v>
      </c>
      <c r="K543" s="46">
        <v>1078101</v>
      </c>
      <c r="L543" s="39">
        <f t="shared" si="50"/>
        <v>5</v>
      </c>
      <c r="M543" s="39" t="s">
        <v>1764</v>
      </c>
      <c r="N543" s="39" t="s">
        <v>1768</v>
      </c>
      <c r="O543" s="21" t="s">
        <v>2989</v>
      </c>
    </row>
    <row r="544" spans="2:15" x14ac:dyDescent="0.2">
      <c r="B544" s="39">
        <f t="shared" si="51"/>
        <v>24000001</v>
      </c>
      <c r="C544" s="39">
        <v>1</v>
      </c>
      <c r="D544" s="39"/>
      <c r="E544" s="39"/>
      <c r="F544" s="39"/>
      <c r="G544" s="39">
        <v>1</v>
      </c>
      <c r="H544" s="160">
        <v>24000001</v>
      </c>
      <c r="I544" s="21" t="s">
        <v>184</v>
      </c>
      <c r="J544" s="39">
        <v>13</v>
      </c>
      <c r="K544" s="46">
        <v>1078102</v>
      </c>
      <c r="L544" s="39">
        <f t="shared" si="50"/>
        <v>5</v>
      </c>
      <c r="M544" s="39" t="s">
        <v>1765</v>
      </c>
      <c r="N544" s="39" t="s">
        <v>1769</v>
      </c>
      <c r="O544" s="21" t="s">
        <v>2990</v>
      </c>
    </row>
    <row r="545" spans="2:15" x14ac:dyDescent="0.2">
      <c r="B545" s="39">
        <f t="shared" si="51"/>
        <v>24000002</v>
      </c>
      <c r="C545" s="39">
        <v>1</v>
      </c>
      <c r="D545" s="39"/>
      <c r="E545" s="39"/>
      <c r="F545" s="39"/>
      <c r="G545" s="39">
        <v>1</v>
      </c>
      <c r="H545" s="160">
        <v>24000002</v>
      </c>
      <c r="I545" s="21" t="s">
        <v>184</v>
      </c>
      <c r="J545" s="39">
        <v>13</v>
      </c>
      <c r="K545" s="46">
        <v>1078103</v>
      </c>
      <c r="L545" s="39">
        <f t="shared" si="50"/>
        <v>5</v>
      </c>
      <c r="M545" s="39" t="s">
        <v>1766</v>
      </c>
      <c r="N545" s="39" t="s">
        <v>1770</v>
      </c>
      <c r="O545" s="21" t="s">
        <v>2991</v>
      </c>
    </row>
    <row r="546" spans="2:15" x14ac:dyDescent="0.2">
      <c r="B546" s="39">
        <f t="shared" si="51"/>
        <v>24000003</v>
      </c>
      <c r="C546" s="39">
        <v>1</v>
      </c>
      <c r="D546" s="39"/>
      <c r="E546" s="39"/>
      <c r="F546" s="39"/>
      <c r="G546" s="39">
        <v>1</v>
      </c>
      <c r="H546" s="160">
        <v>24000003</v>
      </c>
      <c r="I546" s="21" t="s">
        <v>184</v>
      </c>
      <c r="J546" s="39">
        <v>13</v>
      </c>
      <c r="K546" s="46">
        <v>1078104</v>
      </c>
      <c r="L546" s="39">
        <f t="shared" si="50"/>
        <v>5</v>
      </c>
      <c r="M546" s="39" t="s">
        <v>1767</v>
      </c>
      <c r="N546" s="39" t="s">
        <v>1771</v>
      </c>
      <c r="O546" s="21" t="s">
        <v>2992</v>
      </c>
    </row>
    <row r="547" spans="2:15" x14ac:dyDescent="0.2">
      <c r="B547" s="39">
        <f t="shared" si="51"/>
        <v>24000004</v>
      </c>
      <c r="C547" s="39">
        <v>1</v>
      </c>
      <c r="D547" s="39"/>
      <c r="E547" s="39"/>
      <c r="F547" s="39"/>
      <c r="G547" s="39">
        <v>1</v>
      </c>
      <c r="H547" s="160">
        <v>24000004</v>
      </c>
      <c r="I547" s="21" t="s">
        <v>186</v>
      </c>
      <c r="J547" s="39"/>
      <c r="K547" s="46">
        <v>1400570</v>
      </c>
      <c r="L547" s="39"/>
      <c r="M547" s="39" t="s">
        <v>2204</v>
      </c>
      <c r="N547" s="39" t="s">
        <v>1807</v>
      </c>
      <c r="O547" s="21"/>
    </row>
    <row r="548" spans="2:15" x14ac:dyDescent="0.2">
      <c r="B548" s="39">
        <f t="shared" ref="B548" si="52">H548</f>
        <v>24100011</v>
      </c>
      <c r="C548" s="39">
        <v>1</v>
      </c>
      <c r="D548" s="39"/>
      <c r="E548" s="39"/>
      <c r="F548" s="39"/>
      <c r="G548" s="39">
        <v>1</v>
      </c>
      <c r="H548" s="160">
        <v>24100011</v>
      </c>
      <c r="I548" s="21" t="s">
        <v>186</v>
      </c>
      <c r="J548" s="39">
        <v>21</v>
      </c>
      <c r="K548" s="46">
        <v>1070028</v>
      </c>
      <c r="L548" s="39">
        <v>21</v>
      </c>
      <c r="M548" s="39" t="s">
        <v>3448</v>
      </c>
      <c r="N548" s="39" t="s">
        <v>3449</v>
      </c>
      <c r="O548" s="21" t="s">
        <v>3450</v>
      </c>
    </row>
    <row r="549" spans="2:15" x14ac:dyDescent="0.2">
      <c r="B549" s="39">
        <f t="shared" si="51"/>
        <v>24100012</v>
      </c>
      <c r="C549" s="39">
        <v>1</v>
      </c>
      <c r="D549" s="39"/>
      <c r="E549" s="39"/>
      <c r="F549" s="39"/>
      <c r="G549" s="39">
        <v>1</v>
      </c>
      <c r="H549" s="160">
        <v>24100012</v>
      </c>
      <c r="I549" s="21" t="s">
        <v>186</v>
      </c>
      <c r="J549" s="39">
        <v>21</v>
      </c>
      <c r="K549" s="46">
        <v>1330218</v>
      </c>
      <c r="L549" s="39">
        <v>21</v>
      </c>
      <c r="M549" s="39" t="s">
        <v>3208</v>
      </c>
      <c r="N549" s="39" t="s">
        <v>3209</v>
      </c>
      <c r="O549" s="21" t="s">
        <v>3207</v>
      </c>
    </row>
    <row r="550" spans="2:15" x14ac:dyDescent="0.2">
      <c r="B550" s="39">
        <f t="shared" si="51"/>
        <v>25000000</v>
      </c>
      <c r="C550" s="39">
        <v>1</v>
      </c>
      <c r="D550" s="39"/>
      <c r="E550" s="39"/>
      <c r="F550" s="39"/>
      <c r="G550" s="39">
        <v>1</v>
      </c>
      <c r="H550" s="39">
        <v>25000000</v>
      </c>
      <c r="I550" s="21" t="s">
        <v>186</v>
      </c>
      <c r="J550" s="39">
        <v>13</v>
      </c>
      <c r="K550" s="46">
        <v>1400187</v>
      </c>
      <c r="L550" s="39">
        <f t="shared" ref="L550:L574" si="53">VLOOKUP(I550,error,2,FALSE)</f>
        <v>21</v>
      </c>
      <c r="M550" s="39" t="s">
        <v>853</v>
      </c>
      <c r="N550" s="39" t="s">
        <v>162</v>
      </c>
      <c r="O550" s="21" t="s">
        <v>308</v>
      </c>
    </row>
    <row r="551" spans="2:15" x14ac:dyDescent="0.2">
      <c r="B551" s="39">
        <f t="shared" si="51"/>
        <v>25000001</v>
      </c>
      <c r="C551" s="39">
        <v>1</v>
      </c>
      <c r="D551" s="39"/>
      <c r="E551" s="39"/>
      <c r="F551" s="39"/>
      <c r="G551" s="39">
        <v>1</v>
      </c>
      <c r="H551" s="39">
        <v>25000001</v>
      </c>
      <c r="I551" s="21" t="s">
        <v>186</v>
      </c>
      <c r="J551" s="39">
        <v>13</v>
      </c>
      <c r="K551" s="46">
        <v>1400188</v>
      </c>
      <c r="L551" s="39">
        <f t="shared" si="53"/>
        <v>21</v>
      </c>
      <c r="M551" s="39" t="s">
        <v>854</v>
      </c>
      <c r="N551" s="39" t="s">
        <v>163</v>
      </c>
      <c r="O551" s="21" t="s">
        <v>309</v>
      </c>
    </row>
    <row r="552" spans="2:15" x14ac:dyDescent="0.2">
      <c r="B552" s="39">
        <f t="shared" si="51"/>
        <v>25000002</v>
      </c>
      <c r="C552" s="39">
        <v>1</v>
      </c>
      <c r="D552" s="39"/>
      <c r="E552" s="39"/>
      <c r="F552" s="39"/>
      <c r="G552" s="39">
        <v>1</v>
      </c>
      <c r="H552" s="39">
        <v>25000002</v>
      </c>
      <c r="I552" s="21" t="s">
        <v>186</v>
      </c>
      <c r="J552" s="39">
        <v>13</v>
      </c>
      <c r="K552" s="46">
        <v>1400189</v>
      </c>
      <c r="L552" s="39">
        <f t="shared" si="53"/>
        <v>21</v>
      </c>
      <c r="M552" s="39" t="s">
        <v>2205</v>
      </c>
      <c r="N552" s="39" t="s">
        <v>164</v>
      </c>
      <c r="O552" s="21" t="s">
        <v>219</v>
      </c>
    </row>
    <row r="553" spans="2:15" x14ac:dyDescent="0.2">
      <c r="B553" s="39">
        <f t="shared" si="51"/>
        <v>25000003</v>
      </c>
      <c r="C553" s="39">
        <v>1</v>
      </c>
      <c r="D553" s="39"/>
      <c r="E553" s="39"/>
      <c r="F553" s="39"/>
      <c r="G553" s="39">
        <v>1</v>
      </c>
      <c r="H553" s="39">
        <v>25000003</v>
      </c>
      <c r="I553" s="21" t="s">
        <v>186</v>
      </c>
      <c r="J553" s="39">
        <v>13</v>
      </c>
      <c r="K553" s="46">
        <v>1400190</v>
      </c>
      <c r="L553" s="39">
        <f t="shared" si="53"/>
        <v>21</v>
      </c>
      <c r="M553" s="39" t="s">
        <v>855</v>
      </c>
      <c r="N553" s="39" t="s">
        <v>165</v>
      </c>
      <c r="O553" s="21" t="s">
        <v>310</v>
      </c>
    </row>
    <row r="554" spans="2:15" x14ac:dyDescent="0.2">
      <c r="B554" s="39">
        <f t="shared" si="51"/>
        <v>25000004</v>
      </c>
      <c r="C554" s="39">
        <v>1</v>
      </c>
      <c r="D554" s="39"/>
      <c r="E554" s="39"/>
      <c r="F554" s="39"/>
      <c r="G554" s="39">
        <v>1</v>
      </c>
      <c r="H554" s="39">
        <v>25000004</v>
      </c>
      <c r="I554" s="21" t="s">
        <v>186</v>
      </c>
      <c r="J554" s="39">
        <v>13</v>
      </c>
      <c r="K554" s="46">
        <v>1400191</v>
      </c>
      <c r="L554" s="39">
        <f t="shared" si="53"/>
        <v>21</v>
      </c>
      <c r="M554" s="39" t="s">
        <v>856</v>
      </c>
      <c r="N554" s="39" t="s">
        <v>166</v>
      </c>
      <c r="O554" s="21" t="s">
        <v>311</v>
      </c>
    </row>
    <row r="555" spans="2:15" x14ac:dyDescent="0.2">
      <c r="B555" s="39">
        <f t="shared" si="51"/>
        <v>25000005</v>
      </c>
      <c r="C555" s="39">
        <v>1</v>
      </c>
      <c r="D555" s="39"/>
      <c r="E555" s="39"/>
      <c r="F555" s="39"/>
      <c r="G555" s="39">
        <v>1</v>
      </c>
      <c r="H555" s="39">
        <v>25000005</v>
      </c>
      <c r="I555" s="21" t="s">
        <v>184</v>
      </c>
      <c r="J555" s="39">
        <v>13</v>
      </c>
      <c r="K555" s="46">
        <v>1400192</v>
      </c>
      <c r="L555" s="39">
        <f t="shared" si="53"/>
        <v>5</v>
      </c>
      <c r="M555" s="39" t="s">
        <v>857</v>
      </c>
      <c r="N555" s="39" t="s">
        <v>539</v>
      </c>
      <c r="O555" s="21" t="s">
        <v>312</v>
      </c>
    </row>
    <row r="556" spans="2:15" x14ac:dyDescent="0.2">
      <c r="B556" s="39">
        <f t="shared" si="51"/>
        <v>25000006</v>
      </c>
      <c r="C556" s="39">
        <v>1</v>
      </c>
      <c r="D556" s="39"/>
      <c r="E556" s="39"/>
      <c r="F556" s="39"/>
      <c r="G556" s="39">
        <v>1</v>
      </c>
      <c r="H556" s="39">
        <v>25000006</v>
      </c>
      <c r="I556" s="21" t="s">
        <v>186</v>
      </c>
      <c r="J556" s="39">
        <v>13</v>
      </c>
      <c r="K556" s="46">
        <v>1400193</v>
      </c>
      <c r="L556" s="39">
        <f t="shared" si="53"/>
        <v>21</v>
      </c>
      <c r="M556" s="39" t="s">
        <v>750</v>
      </c>
      <c r="N556" s="39" t="s">
        <v>167</v>
      </c>
      <c r="O556" s="21" t="s">
        <v>313</v>
      </c>
    </row>
    <row r="557" spans="2:15" x14ac:dyDescent="0.2">
      <c r="B557" s="39">
        <f t="shared" si="51"/>
        <v>25000007</v>
      </c>
      <c r="C557" s="39">
        <v>1</v>
      </c>
      <c r="D557" s="39"/>
      <c r="E557" s="39"/>
      <c r="F557" s="39"/>
      <c r="G557" s="39">
        <v>1</v>
      </c>
      <c r="H557" s="39">
        <v>25000007</v>
      </c>
      <c r="I557" s="21" t="s">
        <v>186</v>
      </c>
      <c r="J557" s="39">
        <v>13</v>
      </c>
      <c r="K557" s="46">
        <v>1400194</v>
      </c>
      <c r="L557" s="39">
        <f t="shared" si="53"/>
        <v>21</v>
      </c>
      <c r="M557" s="39" t="s">
        <v>858</v>
      </c>
      <c r="N557" s="39" t="s">
        <v>168</v>
      </c>
      <c r="O557" s="21" t="s">
        <v>314</v>
      </c>
    </row>
    <row r="558" spans="2:15" x14ac:dyDescent="0.2">
      <c r="B558" s="39">
        <f t="shared" si="51"/>
        <v>25000008</v>
      </c>
      <c r="C558" s="39">
        <v>1</v>
      </c>
      <c r="D558" s="39"/>
      <c r="E558" s="39"/>
      <c r="F558" s="39"/>
      <c r="G558" s="39">
        <v>1</v>
      </c>
      <c r="H558" s="39">
        <v>25000008</v>
      </c>
      <c r="I558" s="21" t="s">
        <v>186</v>
      </c>
      <c r="J558" s="39">
        <v>13</v>
      </c>
      <c r="K558" s="46">
        <v>1400195</v>
      </c>
      <c r="L558" s="39">
        <f t="shared" si="53"/>
        <v>21</v>
      </c>
      <c r="M558" s="39" t="s">
        <v>859</v>
      </c>
      <c r="N558" s="39" t="s">
        <v>169</v>
      </c>
      <c r="O558" s="21" t="s">
        <v>719</v>
      </c>
    </row>
    <row r="559" spans="2:15" x14ac:dyDescent="0.2">
      <c r="B559" s="39">
        <f t="shared" si="51"/>
        <v>25000014</v>
      </c>
      <c r="C559" s="39">
        <v>1</v>
      </c>
      <c r="D559" s="39"/>
      <c r="E559" s="39"/>
      <c r="F559" s="39"/>
      <c r="G559" s="39">
        <v>1</v>
      </c>
      <c r="H559" s="39">
        <v>25000014</v>
      </c>
      <c r="I559" s="21" t="s">
        <v>186</v>
      </c>
      <c r="J559" s="39">
        <v>13</v>
      </c>
      <c r="K559" s="46">
        <v>1400583</v>
      </c>
      <c r="L559" s="39">
        <f t="shared" si="53"/>
        <v>21</v>
      </c>
      <c r="M559" s="39" t="s">
        <v>2206</v>
      </c>
      <c r="N559" s="39" t="s">
        <v>1881</v>
      </c>
      <c r="O559" s="21"/>
    </row>
    <row r="560" spans="2:15" x14ac:dyDescent="0.2">
      <c r="B560" s="39">
        <f t="shared" si="51"/>
        <v>25000015</v>
      </c>
      <c r="C560" s="39">
        <v>1</v>
      </c>
      <c r="D560" s="39"/>
      <c r="E560" s="39"/>
      <c r="F560" s="39"/>
      <c r="G560" s="39">
        <v>1</v>
      </c>
      <c r="H560" s="39">
        <v>25000015</v>
      </c>
      <c r="I560" s="21" t="s">
        <v>186</v>
      </c>
      <c r="J560" s="39">
        <v>13</v>
      </c>
      <c r="K560" s="46">
        <v>1400584</v>
      </c>
      <c r="L560" s="39">
        <f t="shared" si="53"/>
        <v>21</v>
      </c>
      <c r="M560" s="39" t="s">
        <v>2207</v>
      </c>
      <c r="N560" s="39" t="s">
        <v>1882</v>
      </c>
      <c r="O560" s="21"/>
    </row>
    <row r="561" spans="2:15" x14ac:dyDescent="0.2">
      <c r="B561" s="39">
        <f t="shared" si="51"/>
        <v>25000016</v>
      </c>
      <c r="C561" s="39">
        <v>1</v>
      </c>
      <c r="D561" s="39"/>
      <c r="E561" s="39"/>
      <c r="F561" s="39"/>
      <c r="G561" s="39">
        <v>1</v>
      </c>
      <c r="H561" s="39">
        <v>25000016</v>
      </c>
      <c r="I561" s="21" t="s">
        <v>186</v>
      </c>
      <c r="J561" s="39">
        <v>13</v>
      </c>
      <c r="K561" s="46">
        <v>1400585</v>
      </c>
      <c r="L561" s="39">
        <f t="shared" si="53"/>
        <v>21</v>
      </c>
      <c r="M561" s="39" t="s">
        <v>2208</v>
      </c>
      <c r="N561" s="39" t="s">
        <v>1883</v>
      </c>
      <c r="O561" s="21"/>
    </row>
    <row r="562" spans="2:15" x14ac:dyDescent="0.2">
      <c r="B562" s="39">
        <f t="shared" si="51"/>
        <v>25000018</v>
      </c>
      <c r="C562" s="39">
        <v>1</v>
      </c>
      <c r="D562" s="39"/>
      <c r="E562" s="39"/>
      <c r="F562" s="39"/>
      <c r="G562" s="39">
        <v>1</v>
      </c>
      <c r="H562" s="39">
        <v>25000018</v>
      </c>
      <c r="I562" s="21" t="s">
        <v>186</v>
      </c>
      <c r="J562" s="39">
        <v>21</v>
      </c>
      <c r="K562" s="46">
        <v>2022015</v>
      </c>
      <c r="L562" s="39">
        <v>21</v>
      </c>
      <c r="M562" s="39" t="s">
        <v>3804</v>
      </c>
      <c r="N562" s="39" t="s">
        <v>3805</v>
      </c>
      <c r="O562" s="21" t="s">
        <v>3806</v>
      </c>
    </row>
    <row r="563" spans="2:15" x14ac:dyDescent="0.2">
      <c r="B563" s="39">
        <f t="shared" si="51"/>
        <v>26000000</v>
      </c>
      <c r="C563" s="39">
        <v>1</v>
      </c>
      <c r="D563" s="39"/>
      <c r="E563" s="39"/>
      <c r="F563" s="39"/>
      <c r="G563" s="39">
        <v>1</v>
      </c>
      <c r="H563" s="39">
        <v>26000000</v>
      </c>
      <c r="I563" s="21" t="s">
        <v>437</v>
      </c>
      <c r="J563" s="39">
        <v>13</v>
      </c>
      <c r="K563" s="46">
        <v>1400196</v>
      </c>
      <c r="L563" s="39">
        <f t="shared" si="53"/>
        <v>0</v>
      </c>
      <c r="M563" s="39" t="s">
        <v>2209</v>
      </c>
      <c r="N563" s="39" t="s">
        <v>170</v>
      </c>
      <c r="O563" s="21" t="s">
        <v>315</v>
      </c>
    </row>
    <row r="564" spans="2:15" x14ac:dyDescent="0.2">
      <c r="B564" s="39">
        <f t="shared" si="51"/>
        <v>26000001</v>
      </c>
      <c r="C564" s="39">
        <v>1</v>
      </c>
      <c r="D564" s="39"/>
      <c r="E564" s="39"/>
      <c r="F564" s="39"/>
      <c r="G564" s="39">
        <v>1</v>
      </c>
      <c r="H564" s="39">
        <v>26000001</v>
      </c>
      <c r="I564" s="21" t="s">
        <v>184</v>
      </c>
      <c r="J564" s="39">
        <v>13</v>
      </c>
      <c r="K564" s="46">
        <v>1400197</v>
      </c>
      <c r="L564" s="39">
        <f t="shared" si="53"/>
        <v>5</v>
      </c>
      <c r="M564" s="39" t="s">
        <v>1948</v>
      </c>
      <c r="N564" s="39" t="s">
        <v>171</v>
      </c>
      <c r="O564" s="21" t="s">
        <v>214</v>
      </c>
    </row>
    <row r="565" spans="2:15" x14ac:dyDescent="0.2">
      <c r="B565" s="39">
        <f t="shared" si="51"/>
        <v>26000002</v>
      </c>
      <c r="C565" s="39">
        <v>1</v>
      </c>
      <c r="D565" s="39"/>
      <c r="E565" s="39"/>
      <c r="F565" s="39"/>
      <c r="G565" s="39">
        <v>1</v>
      </c>
      <c r="H565" s="39">
        <v>26000002</v>
      </c>
      <c r="I565" s="21" t="s">
        <v>184</v>
      </c>
      <c r="J565" s="39">
        <v>13</v>
      </c>
      <c r="K565" s="46">
        <v>1400198</v>
      </c>
      <c r="L565" s="39">
        <f t="shared" si="53"/>
        <v>5</v>
      </c>
      <c r="M565" s="39" t="s">
        <v>860</v>
      </c>
      <c r="N565" s="39" t="s">
        <v>172</v>
      </c>
      <c r="O565" s="21" t="s">
        <v>316</v>
      </c>
    </row>
    <row r="566" spans="2:15" x14ac:dyDescent="0.2">
      <c r="B566" s="39">
        <f t="shared" si="51"/>
        <v>26000003</v>
      </c>
      <c r="C566" s="39">
        <v>1</v>
      </c>
      <c r="D566" s="39"/>
      <c r="E566" s="39"/>
      <c r="F566" s="39"/>
      <c r="G566" s="39">
        <v>1</v>
      </c>
      <c r="H566" s="39">
        <v>26000003</v>
      </c>
      <c r="I566" s="21" t="s">
        <v>184</v>
      </c>
      <c r="J566" s="39">
        <v>13</v>
      </c>
      <c r="K566" s="46">
        <v>1400199</v>
      </c>
      <c r="L566" s="39">
        <f t="shared" si="53"/>
        <v>5</v>
      </c>
      <c r="M566" s="39" t="s">
        <v>861</v>
      </c>
      <c r="N566" s="39" t="s">
        <v>173</v>
      </c>
      <c r="O566" s="21" t="s">
        <v>317</v>
      </c>
    </row>
    <row r="567" spans="2:15" x14ac:dyDescent="0.2">
      <c r="B567" s="39">
        <f t="shared" si="51"/>
        <v>26000004</v>
      </c>
      <c r="C567" s="39">
        <v>1</v>
      </c>
      <c r="D567" s="39"/>
      <c r="E567" s="39"/>
      <c r="F567" s="39"/>
      <c r="G567" s="39">
        <v>1</v>
      </c>
      <c r="H567" s="39">
        <v>26000004</v>
      </c>
      <c r="I567" s="21" t="s">
        <v>184</v>
      </c>
      <c r="J567" s="39">
        <v>13</v>
      </c>
      <c r="K567" s="46">
        <v>1400200</v>
      </c>
      <c r="L567" s="39">
        <f t="shared" si="53"/>
        <v>5</v>
      </c>
      <c r="M567" s="39" t="s">
        <v>862</v>
      </c>
      <c r="N567" s="39" t="s">
        <v>174</v>
      </c>
      <c r="O567" s="21" t="s">
        <v>318</v>
      </c>
    </row>
    <row r="568" spans="2:15" x14ac:dyDescent="0.2">
      <c r="B568" s="39">
        <f t="shared" si="51"/>
        <v>26000005</v>
      </c>
      <c r="C568" s="39">
        <v>1</v>
      </c>
      <c r="D568" s="39"/>
      <c r="E568" s="39"/>
      <c r="F568" s="39"/>
      <c r="G568" s="39">
        <v>1</v>
      </c>
      <c r="H568" s="39">
        <v>26000005</v>
      </c>
      <c r="I568" s="21" t="s">
        <v>184</v>
      </c>
      <c r="J568" s="39">
        <v>13</v>
      </c>
      <c r="K568" s="46">
        <v>1400201</v>
      </c>
      <c r="L568" s="39">
        <f t="shared" si="53"/>
        <v>5</v>
      </c>
      <c r="M568" s="39" t="s">
        <v>2210</v>
      </c>
      <c r="N568" s="39" t="s">
        <v>175</v>
      </c>
      <c r="O568" s="21" t="s">
        <v>319</v>
      </c>
    </row>
    <row r="569" spans="2:15" x14ac:dyDescent="0.2">
      <c r="B569" s="39">
        <f t="shared" si="51"/>
        <v>26000006</v>
      </c>
      <c r="C569" s="39">
        <v>1</v>
      </c>
      <c r="D569" s="39"/>
      <c r="E569" s="39"/>
      <c r="F569" s="39"/>
      <c r="G569" s="39">
        <v>1</v>
      </c>
      <c r="H569" s="39">
        <v>26000006</v>
      </c>
      <c r="I569" s="21" t="s">
        <v>184</v>
      </c>
      <c r="J569" s="39">
        <v>13</v>
      </c>
      <c r="K569" s="46">
        <v>1400202</v>
      </c>
      <c r="L569" s="39">
        <f t="shared" si="53"/>
        <v>5</v>
      </c>
      <c r="M569" s="39" t="s">
        <v>1949</v>
      </c>
      <c r="N569" s="39" t="s">
        <v>367</v>
      </c>
      <c r="O569" s="21" t="s">
        <v>428</v>
      </c>
    </row>
    <row r="570" spans="2:15" x14ac:dyDescent="0.2">
      <c r="B570" s="39">
        <f t="shared" si="51"/>
        <v>26000007</v>
      </c>
      <c r="C570" s="39">
        <v>1</v>
      </c>
      <c r="D570" s="39"/>
      <c r="E570" s="39"/>
      <c r="F570" s="39"/>
      <c r="G570" s="39">
        <v>1</v>
      </c>
      <c r="H570" s="39">
        <v>26000007</v>
      </c>
      <c r="I570" s="21" t="s">
        <v>184</v>
      </c>
      <c r="J570" s="39">
        <v>13</v>
      </c>
      <c r="K570" s="46">
        <v>1400203</v>
      </c>
      <c r="L570" s="39">
        <f t="shared" si="53"/>
        <v>5</v>
      </c>
      <c r="M570" s="39" t="s">
        <v>790</v>
      </c>
      <c r="N570" s="39" t="s">
        <v>368</v>
      </c>
      <c r="O570" s="21" t="s">
        <v>429</v>
      </c>
    </row>
    <row r="571" spans="2:15" x14ac:dyDescent="0.2">
      <c r="B571" s="39">
        <f t="shared" si="51"/>
        <v>26000008</v>
      </c>
      <c r="C571" s="39">
        <v>1</v>
      </c>
      <c r="D571" s="39"/>
      <c r="E571" s="39"/>
      <c r="F571" s="39"/>
      <c r="G571" s="39">
        <v>1</v>
      </c>
      <c r="H571" s="39">
        <v>26000008</v>
      </c>
      <c r="I571" s="21" t="s">
        <v>184</v>
      </c>
      <c r="J571" s="39">
        <v>13</v>
      </c>
      <c r="K571" s="46">
        <v>1400204</v>
      </c>
      <c r="L571" s="39">
        <f t="shared" si="53"/>
        <v>5</v>
      </c>
      <c r="M571" s="39" t="s">
        <v>863</v>
      </c>
      <c r="N571" s="39" t="s">
        <v>369</v>
      </c>
      <c r="O571" s="21" t="s">
        <v>430</v>
      </c>
    </row>
    <row r="572" spans="2:15" x14ac:dyDescent="0.2">
      <c r="B572" s="39">
        <f t="shared" si="51"/>
        <v>26000009</v>
      </c>
      <c r="C572" s="39">
        <v>1</v>
      </c>
      <c r="D572" s="39"/>
      <c r="E572" s="39"/>
      <c r="F572" s="39"/>
      <c r="G572" s="39">
        <v>1</v>
      </c>
      <c r="H572" s="39">
        <v>26000009</v>
      </c>
      <c r="I572" s="21" t="s">
        <v>184</v>
      </c>
      <c r="J572" s="39">
        <v>13</v>
      </c>
      <c r="K572" s="46">
        <v>1400205</v>
      </c>
      <c r="L572" s="39">
        <f t="shared" si="53"/>
        <v>5</v>
      </c>
      <c r="M572" s="39" t="s">
        <v>864</v>
      </c>
      <c r="N572" s="39" t="s">
        <v>540</v>
      </c>
      <c r="O572" s="21" t="s">
        <v>720</v>
      </c>
    </row>
    <row r="573" spans="2:15" x14ac:dyDescent="0.2">
      <c r="B573" s="39">
        <f t="shared" si="51"/>
        <v>26000010</v>
      </c>
      <c r="C573" s="39">
        <v>1</v>
      </c>
      <c r="D573" s="39"/>
      <c r="E573" s="39"/>
      <c r="F573" s="39"/>
      <c r="G573" s="39">
        <v>1</v>
      </c>
      <c r="H573" s="39">
        <v>26000010</v>
      </c>
      <c r="I573" s="21" t="s">
        <v>184</v>
      </c>
      <c r="J573" s="39">
        <v>13</v>
      </c>
      <c r="K573" s="46">
        <v>1400206</v>
      </c>
      <c r="L573" s="39">
        <f t="shared" si="53"/>
        <v>5</v>
      </c>
      <c r="M573" s="39" t="s">
        <v>654</v>
      </c>
      <c r="N573" s="39" t="s">
        <v>451</v>
      </c>
      <c r="O573" s="21" t="s">
        <v>654</v>
      </c>
    </row>
    <row r="574" spans="2:15" x14ac:dyDescent="0.2">
      <c r="B574" s="39">
        <f t="shared" si="51"/>
        <v>26000011</v>
      </c>
      <c r="C574" s="39">
        <v>1</v>
      </c>
      <c r="D574" s="39"/>
      <c r="E574" s="39"/>
      <c r="F574" s="39"/>
      <c r="G574" s="39">
        <v>1</v>
      </c>
      <c r="H574" s="39">
        <v>26000011</v>
      </c>
      <c r="I574" s="21" t="s">
        <v>184</v>
      </c>
      <c r="J574" s="39">
        <v>13</v>
      </c>
      <c r="K574" s="46">
        <v>1400207</v>
      </c>
      <c r="L574" s="39">
        <f t="shared" si="53"/>
        <v>5</v>
      </c>
      <c r="M574" s="39" t="s">
        <v>660</v>
      </c>
      <c r="N574" s="39" t="s">
        <v>452</v>
      </c>
      <c r="O574" s="21" t="s">
        <v>660</v>
      </c>
    </row>
    <row r="575" spans="2:15" ht="16.5" customHeight="1" x14ac:dyDescent="0.3">
      <c r="B575" s="39">
        <v>26000027</v>
      </c>
      <c r="C575" s="39">
        <v>1</v>
      </c>
      <c r="D575" s="39"/>
      <c r="E575" s="39"/>
      <c r="F575" s="39"/>
      <c r="G575" s="39">
        <v>1</v>
      </c>
      <c r="H575" s="39">
        <v>26000027</v>
      </c>
      <c r="I575" s="39" t="s">
        <v>186</v>
      </c>
      <c r="J575" s="39">
        <v>13</v>
      </c>
      <c r="K575" s="46">
        <v>1042858</v>
      </c>
      <c r="L575" s="39">
        <v>21</v>
      </c>
      <c r="M575" s="39" t="s">
        <v>2389</v>
      </c>
      <c r="N575" s="39" t="s">
        <v>1713</v>
      </c>
      <c r="O575" s="39" t="s">
        <v>1714</v>
      </c>
    </row>
    <row r="576" spans="2:15" x14ac:dyDescent="0.2">
      <c r="B576" s="39">
        <f t="shared" ref="B576" si="54">H576</f>
        <v>26000034</v>
      </c>
      <c r="C576" s="39">
        <v>0</v>
      </c>
      <c r="D576" s="39"/>
      <c r="E576" s="39"/>
      <c r="F576" s="39" t="s">
        <v>2781</v>
      </c>
      <c r="G576" s="39">
        <v>1</v>
      </c>
      <c r="H576" s="39">
        <v>26000034</v>
      </c>
      <c r="I576" s="21" t="s">
        <v>184</v>
      </c>
      <c r="J576" s="39">
        <v>13</v>
      </c>
      <c r="K576" s="46">
        <v>1600059</v>
      </c>
      <c r="L576" s="39">
        <f t="shared" ref="L576" si="55">VLOOKUP(I576,error,2,FALSE)</f>
        <v>5</v>
      </c>
      <c r="M576" s="39" t="s">
        <v>2782</v>
      </c>
      <c r="N576" s="39" t="s">
        <v>2784</v>
      </c>
      <c r="O576" s="21" t="s">
        <v>2783</v>
      </c>
    </row>
    <row r="577" spans="2:15" x14ac:dyDescent="0.2">
      <c r="B577" s="39">
        <f t="shared" ref="B577:B609" si="56">H577</f>
        <v>27000000</v>
      </c>
      <c r="C577" s="39">
        <v>1</v>
      </c>
      <c r="D577" s="39"/>
      <c r="E577" s="39"/>
      <c r="F577" s="39"/>
      <c r="G577" s="39">
        <v>1</v>
      </c>
      <c r="H577" s="39">
        <v>27000000</v>
      </c>
      <c r="I577" s="21" t="s">
        <v>184</v>
      </c>
      <c r="J577" s="39">
        <v>13</v>
      </c>
      <c r="K577" s="46">
        <v>1400208</v>
      </c>
      <c r="L577" s="39">
        <f t="shared" ref="L577:L624" si="57">VLOOKUP(I577,error,2,FALSE)</f>
        <v>5</v>
      </c>
      <c r="M577" s="39" t="s">
        <v>1558</v>
      </c>
      <c r="N577" s="39" t="s">
        <v>176</v>
      </c>
      <c r="O577" s="21" t="s">
        <v>320</v>
      </c>
    </row>
    <row r="578" spans="2:15" x14ac:dyDescent="0.2">
      <c r="B578" s="39">
        <f t="shared" si="56"/>
        <v>27000001</v>
      </c>
      <c r="C578" s="39">
        <v>1</v>
      </c>
      <c r="D578" s="39"/>
      <c r="E578" s="39"/>
      <c r="F578" s="39"/>
      <c r="G578" s="39">
        <v>1</v>
      </c>
      <c r="H578" s="39">
        <v>27000001</v>
      </c>
      <c r="I578" s="21" t="s">
        <v>184</v>
      </c>
      <c r="J578" s="39">
        <v>13</v>
      </c>
      <c r="K578" s="46">
        <v>1400209</v>
      </c>
      <c r="L578" s="39">
        <f t="shared" si="57"/>
        <v>5</v>
      </c>
      <c r="M578" s="39" t="s">
        <v>1559</v>
      </c>
      <c r="N578" s="39" t="s">
        <v>177</v>
      </c>
      <c r="O578" s="21" t="s">
        <v>321</v>
      </c>
    </row>
    <row r="579" spans="2:15" x14ac:dyDescent="0.2">
      <c r="B579" s="39">
        <f t="shared" si="56"/>
        <v>27000002</v>
      </c>
      <c r="C579" s="39">
        <v>1</v>
      </c>
      <c r="D579" s="39"/>
      <c r="E579" s="39"/>
      <c r="F579" s="39"/>
      <c r="G579" s="39">
        <v>1</v>
      </c>
      <c r="H579" s="39">
        <v>27000002</v>
      </c>
      <c r="I579" s="21" t="s">
        <v>184</v>
      </c>
      <c r="J579" s="39">
        <v>13</v>
      </c>
      <c r="K579" s="46">
        <v>1400210</v>
      </c>
      <c r="L579" s="39">
        <f t="shared" si="57"/>
        <v>5</v>
      </c>
      <c r="M579" s="39" t="s">
        <v>1560</v>
      </c>
      <c r="N579" s="39" t="s">
        <v>178</v>
      </c>
      <c r="O579" s="21" t="s">
        <v>322</v>
      </c>
    </row>
    <row r="580" spans="2:15" x14ac:dyDescent="0.2">
      <c r="B580" s="39">
        <f t="shared" si="56"/>
        <v>27000003</v>
      </c>
      <c r="C580" s="39">
        <v>1</v>
      </c>
      <c r="D580" s="39"/>
      <c r="E580" s="39"/>
      <c r="F580" s="39"/>
      <c r="G580" s="39">
        <v>1</v>
      </c>
      <c r="H580" s="39">
        <v>27000003</v>
      </c>
      <c r="I580" s="21" t="s">
        <v>184</v>
      </c>
      <c r="J580" s="39">
        <v>13</v>
      </c>
      <c r="K580" s="46">
        <v>1400211</v>
      </c>
      <c r="L580" s="39">
        <f t="shared" si="57"/>
        <v>5</v>
      </c>
      <c r="M580" s="39" t="s">
        <v>1561</v>
      </c>
      <c r="N580" s="39" t="s">
        <v>179</v>
      </c>
      <c r="O580" s="21" t="s">
        <v>323</v>
      </c>
    </row>
    <row r="581" spans="2:15" x14ac:dyDescent="0.2">
      <c r="B581" s="39">
        <f t="shared" si="56"/>
        <v>27000004</v>
      </c>
      <c r="C581" s="39">
        <v>1</v>
      </c>
      <c r="D581" s="39"/>
      <c r="E581" s="39"/>
      <c r="F581" s="39"/>
      <c r="G581" s="39">
        <v>1</v>
      </c>
      <c r="H581" s="39">
        <v>27000004</v>
      </c>
      <c r="I581" s="21" t="s">
        <v>184</v>
      </c>
      <c r="J581" s="39">
        <v>13</v>
      </c>
      <c r="K581" s="46">
        <v>1400212</v>
      </c>
      <c r="L581" s="39">
        <f t="shared" si="57"/>
        <v>5</v>
      </c>
      <c r="M581" s="39" t="s">
        <v>1562</v>
      </c>
      <c r="N581" s="39" t="s">
        <v>180</v>
      </c>
      <c r="O581" s="21" t="s">
        <v>324</v>
      </c>
    </row>
    <row r="582" spans="2:15" x14ac:dyDescent="0.2">
      <c r="B582" s="39">
        <f t="shared" si="56"/>
        <v>27000005</v>
      </c>
      <c r="C582" s="39">
        <v>1</v>
      </c>
      <c r="D582" s="39"/>
      <c r="E582" s="39"/>
      <c r="F582" s="39"/>
      <c r="G582" s="39">
        <v>1</v>
      </c>
      <c r="H582" s="39">
        <v>27000005</v>
      </c>
      <c r="I582" s="21" t="s">
        <v>184</v>
      </c>
      <c r="J582" s="39">
        <v>13</v>
      </c>
      <c r="K582" s="46">
        <v>1400213</v>
      </c>
      <c r="L582" s="39">
        <f t="shared" si="57"/>
        <v>5</v>
      </c>
      <c r="M582" s="39" t="s">
        <v>1563</v>
      </c>
      <c r="N582" s="39" t="s">
        <v>370</v>
      </c>
      <c r="O582" s="21" t="s">
        <v>431</v>
      </c>
    </row>
    <row r="583" spans="2:15" x14ac:dyDescent="0.2">
      <c r="B583" s="39">
        <f t="shared" si="56"/>
        <v>27000006</v>
      </c>
      <c r="C583" s="39">
        <v>1</v>
      </c>
      <c r="D583" s="39"/>
      <c r="E583" s="39"/>
      <c r="F583" s="39"/>
      <c r="G583" s="39">
        <v>1</v>
      </c>
      <c r="H583" s="39">
        <v>27000006</v>
      </c>
      <c r="I583" s="21" t="s">
        <v>184</v>
      </c>
      <c r="J583" s="39">
        <v>13</v>
      </c>
      <c r="K583" s="46">
        <v>1019612</v>
      </c>
      <c r="L583" s="39">
        <f t="shared" si="57"/>
        <v>5</v>
      </c>
      <c r="M583" s="39" t="s">
        <v>2444</v>
      </c>
      <c r="N583" s="39" t="s">
        <v>1556</v>
      </c>
      <c r="O583" s="39" t="s">
        <v>1557</v>
      </c>
    </row>
    <row r="584" spans="2:15" x14ac:dyDescent="0.2">
      <c r="B584" s="39">
        <f t="shared" si="56"/>
        <v>27000007</v>
      </c>
      <c r="C584" s="39">
        <v>1</v>
      </c>
      <c r="D584" s="39"/>
      <c r="E584" s="39"/>
      <c r="F584" s="39"/>
      <c r="G584" s="39">
        <v>1</v>
      </c>
      <c r="H584" s="39">
        <v>27000007</v>
      </c>
      <c r="I584" s="21" t="s">
        <v>184</v>
      </c>
      <c r="J584" s="39">
        <v>13</v>
      </c>
      <c r="K584" s="46">
        <v>1400590</v>
      </c>
      <c r="L584" s="39">
        <f t="shared" si="57"/>
        <v>5</v>
      </c>
      <c r="M584" s="39" t="s">
        <v>1917</v>
      </c>
      <c r="N584" s="39" t="s">
        <v>1915</v>
      </c>
      <c r="O584" s="39" t="s">
        <v>1916</v>
      </c>
    </row>
    <row r="585" spans="2:15" x14ac:dyDescent="0.2">
      <c r="B585" s="39">
        <f>H585</f>
        <v>27000008</v>
      </c>
      <c r="C585" s="39">
        <v>1</v>
      </c>
      <c r="D585" s="39"/>
      <c r="E585" s="39"/>
      <c r="F585" s="39"/>
      <c r="G585" s="39">
        <v>1</v>
      </c>
      <c r="H585" s="39">
        <v>27000008</v>
      </c>
      <c r="I585" s="21" t="s">
        <v>184</v>
      </c>
      <c r="J585" s="39">
        <v>13</v>
      </c>
      <c r="K585" s="46">
        <v>1020038</v>
      </c>
      <c r="L585" s="39">
        <v>13</v>
      </c>
      <c r="M585" s="39" t="s">
        <v>2690</v>
      </c>
      <c r="N585" s="39" t="s">
        <v>2691</v>
      </c>
      <c r="O585" s="39" t="s">
        <v>2692</v>
      </c>
    </row>
    <row r="586" spans="2:15" x14ac:dyDescent="0.2">
      <c r="B586" s="39">
        <f t="shared" si="56"/>
        <v>29000000</v>
      </c>
      <c r="C586" s="39">
        <v>1</v>
      </c>
      <c r="D586" s="39"/>
      <c r="E586" s="39"/>
      <c r="F586" s="39"/>
      <c r="G586" s="39">
        <v>1</v>
      </c>
      <c r="H586" s="39">
        <v>29000000</v>
      </c>
      <c r="I586" s="21" t="s">
        <v>437</v>
      </c>
      <c r="J586" s="39">
        <v>13</v>
      </c>
      <c r="K586" s="46">
        <v>1400214</v>
      </c>
      <c r="L586" s="39">
        <f t="shared" si="57"/>
        <v>0</v>
      </c>
      <c r="M586" s="39" t="s">
        <v>2211</v>
      </c>
      <c r="N586" s="39" t="s">
        <v>94</v>
      </c>
      <c r="O586" s="21" t="s">
        <v>383</v>
      </c>
    </row>
    <row r="587" spans="2:15" x14ac:dyDescent="0.2">
      <c r="B587" s="39">
        <f t="shared" si="56"/>
        <v>29000001</v>
      </c>
      <c r="C587" s="39">
        <v>1</v>
      </c>
      <c r="D587" s="39"/>
      <c r="E587" s="39"/>
      <c r="F587" s="39"/>
      <c r="G587" s="39">
        <v>1</v>
      </c>
      <c r="H587" s="39">
        <v>29000001</v>
      </c>
      <c r="I587" s="21" t="s">
        <v>184</v>
      </c>
      <c r="J587" s="39">
        <v>13</v>
      </c>
      <c r="K587" s="46">
        <v>1400215</v>
      </c>
      <c r="L587" s="39">
        <f t="shared" si="57"/>
        <v>5</v>
      </c>
      <c r="M587" s="39" t="s">
        <v>865</v>
      </c>
      <c r="N587" s="39" t="s">
        <v>95</v>
      </c>
      <c r="O587" s="21" t="s">
        <v>384</v>
      </c>
    </row>
    <row r="588" spans="2:15" x14ac:dyDescent="0.2">
      <c r="B588" s="39">
        <f t="shared" si="56"/>
        <v>29000002</v>
      </c>
      <c r="C588" s="39">
        <v>1</v>
      </c>
      <c r="D588" s="39"/>
      <c r="E588" s="39"/>
      <c r="F588" s="39"/>
      <c r="G588" s="39">
        <v>1</v>
      </c>
      <c r="H588" s="39">
        <v>29000002</v>
      </c>
      <c r="I588" s="21" t="s">
        <v>184</v>
      </c>
      <c r="J588" s="39">
        <v>13</v>
      </c>
      <c r="K588" s="46">
        <v>1400216</v>
      </c>
      <c r="L588" s="39">
        <f t="shared" si="57"/>
        <v>5</v>
      </c>
      <c r="M588" s="39" t="s">
        <v>788</v>
      </c>
      <c r="N588" s="39" t="s">
        <v>96</v>
      </c>
      <c r="O588" s="21" t="s">
        <v>385</v>
      </c>
    </row>
    <row r="589" spans="2:15" x14ac:dyDescent="0.2">
      <c r="B589" s="39">
        <f t="shared" si="56"/>
        <v>29000003</v>
      </c>
      <c r="C589" s="39">
        <v>1</v>
      </c>
      <c r="D589" s="39"/>
      <c r="E589" s="39"/>
      <c r="F589" s="39"/>
      <c r="G589" s="39">
        <v>1</v>
      </c>
      <c r="H589" s="39">
        <v>29000003</v>
      </c>
      <c r="I589" s="21" t="s">
        <v>184</v>
      </c>
      <c r="J589" s="39">
        <v>13</v>
      </c>
      <c r="K589" s="46">
        <v>1400217</v>
      </c>
      <c r="L589" s="39">
        <f t="shared" si="57"/>
        <v>5</v>
      </c>
      <c r="M589" s="39" t="s">
        <v>787</v>
      </c>
      <c r="N589" s="39" t="s">
        <v>97</v>
      </c>
      <c r="O589" s="21" t="s">
        <v>386</v>
      </c>
    </row>
    <row r="590" spans="2:15" x14ac:dyDescent="0.2">
      <c r="B590" s="39">
        <f t="shared" si="56"/>
        <v>29000004</v>
      </c>
      <c r="C590" s="39">
        <v>1</v>
      </c>
      <c r="D590" s="39"/>
      <c r="E590" s="39"/>
      <c r="F590" s="39"/>
      <c r="G590" s="39">
        <v>1</v>
      </c>
      <c r="H590" s="39">
        <v>29000004</v>
      </c>
      <c r="I590" s="21" t="s">
        <v>184</v>
      </c>
      <c r="J590" s="39">
        <v>13</v>
      </c>
      <c r="K590" s="46">
        <v>1400218</v>
      </c>
      <c r="L590" s="39">
        <f t="shared" si="57"/>
        <v>5</v>
      </c>
      <c r="M590" s="39" t="s">
        <v>788</v>
      </c>
      <c r="N590" s="39" t="s">
        <v>98</v>
      </c>
      <c r="O590" s="21" t="s">
        <v>387</v>
      </c>
    </row>
    <row r="591" spans="2:15" x14ac:dyDescent="0.2">
      <c r="B591" s="39">
        <f t="shared" si="56"/>
        <v>29000005</v>
      </c>
      <c r="C591" s="39">
        <v>1</v>
      </c>
      <c r="D591" s="39"/>
      <c r="E591" s="39"/>
      <c r="F591" s="39"/>
      <c r="G591" s="39">
        <v>1</v>
      </c>
      <c r="H591" s="39">
        <v>29000005</v>
      </c>
      <c r="I591" s="21" t="s">
        <v>184</v>
      </c>
      <c r="J591" s="39">
        <v>13</v>
      </c>
      <c r="K591" s="46">
        <v>1400219</v>
      </c>
      <c r="L591" s="39">
        <f t="shared" si="57"/>
        <v>5</v>
      </c>
      <c r="M591" s="39" t="s">
        <v>866</v>
      </c>
      <c r="N591" s="39" t="s">
        <v>99</v>
      </c>
      <c r="O591" s="21" t="s">
        <v>388</v>
      </c>
    </row>
    <row r="592" spans="2:15" x14ac:dyDescent="0.2">
      <c r="B592" s="39">
        <f t="shared" si="56"/>
        <v>29000006</v>
      </c>
      <c r="C592" s="39">
        <v>1</v>
      </c>
      <c r="D592" s="39"/>
      <c r="E592" s="39"/>
      <c r="F592" s="39"/>
      <c r="G592" s="39">
        <v>1</v>
      </c>
      <c r="H592" s="39">
        <v>29000006</v>
      </c>
      <c r="I592" s="21" t="s">
        <v>184</v>
      </c>
      <c r="J592" s="39">
        <v>13</v>
      </c>
      <c r="K592" s="46">
        <v>1400220</v>
      </c>
      <c r="L592" s="39">
        <f t="shared" si="57"/>
        <v>5</v>
      </c>
      <c r="M592" s="39" t="s">
        <v>867</v>
      </c>
      <c r="N592" s="39" t="s">
        <v>100</v>
      </c>
      <c r="O592" s="21" t="s">
        <v>389</v>
      </c>
    </row>
    <row r="593" spans="2:15" x14ac:dyDescent="0.2">
      <c r="B593" s="39">
        <f t="shared" si="56"/>
        <v>29000007</v>
      </c>
      <c r="C593" s="39">
        <v>1</v>
      </c>
      <c r="D593" s="39"/>
      <c r="E593" s="39"/>
      <c r="F593" s="39"/>
      <c r="G593" s="39">
        <v>1</v>
      </c>
      <c r="H593" s="39">
        <v>29000007</v>
      </c>
      <c r="I593" s="21" t="s">
        <v>186</v>
      </c>
      <c r="J593" s="39">
        <v>13</v>
      </c>
      <c r="K593" s="46">
        <v>1400539</v>
      </c>
      <c r="L593" s="39">
        <f t="shared" si="57"/>
        <v>21</v>
      </c>
      <c r="M593" s="39" t="s">
        <v>1602</v>
      </c>
      <c r="N593" s="39" t="s">
        <v>1603</v>
      </c>
      <c r="O593" s="21" t="s">
        <v>1604</v>
      </c>
    </row>
    <row r="594" spans="2:15" x14ac:dyDescent="0.2">
      <c r="B594" s="39">
        <f t="shared" si="56"/>
        <v>31000000</v>
      </c>
      <c r="C594" s="39">
        <v>1</v>
      </c>
      <c r="D594" s="39"/>
      <c r="E594" s="39"/>
      <c r="F594" s="39"/>
      <c r="G594" s="39">
        <v>1</v>
      </c>
      <c r="H594" s="39">
        <v>31000000</v>
      </c>
      <c r="I594" s="21" t="s">
        <v>184</v>
      </c>
      <c r="J594" s="39">
        <v>13</v>
      </c>
      <c r="K594" s="46">
        <v>1400221</v>
      </c>
      <c r="L594" s="39">
        <f t="shared" si="57"/>
        <v>5</v>
      </c>
      <c r="M594" s="39" t="s">
        <v>782</v>
      </c>
      <c r="N594" s="39" t="s">
        <v>101</v>
      </c>
      <c r="O594" s="21" t="s">
        <v>390</v>
      </c>
    </row>
    <row r="595" spans="2:15" x14ac:dyDescent="0.2">
      <c r="B595" s="39">
        <f t="shared" si="56"/>
        <v>35000000</v>
      </c>
      <c r="C595" s="39">
        <v>1</v>
      </c>
      <c r="D595" s="39"/>
      <c r="E595" s="39"/>
      <c r="F595" s="39"/>
      <c r="G595" s="39">
        <v>1</v>
      </c>
      <c r="H595" s="39">
        <v>35000000</v>
      </c>
      <c r="I595" s="21" t="s">
        <v>186</v>
      </c>
      <c r="J595" s="39">
        <v>13</v>
      </c>
      <c r="K595" s="46">
        <v>1400222</v>
      </c>
      <c r="L595" s="39">
        <f t="shared" si="57"/>
        <v>21</v>
      </c>
      <c r="M595" s="39" t="s">
        <v>868</v>
      </c>
      <c r="N595" s="39" t="s">
        <v>129</v>
      </c>
      <c r="O595" s="21" t="s">
        <v>281</v>
      </c>
    </row>
    <row r="596" spans="2:15" x14ac:dyDescent="0.2">
      <c r="B596" s="39">
        <f t="shared" si="56"/>
        <v>35000001</v>
      </c>
      <c r="C596" s="39">
        <v>1</v>
      </c>
      <c r="D596" s="39"/>
      <c r="E596" s="39"/>
      <c r="F596" s="39"/>
      <c r="G596" s="39">
        <v>1</v>
      </c>
      <c r="H596" s="39">
        <v>35000001</v>
      </c>
      <c r="I596" s="21" t="s">
        <v>186</v>
      </c>
      <c r="J596" s="39">
        <v>13</v>
      </c>
      <c r="K596" s="46">
        <v>1400223</v>
      </c>
      <c r="L596" s="39">
        <f t="shared" si="57"/>
        <v>21</v>
      </c>
      <c r="M596" s="39" t="s">
        <v>2212</v>
      </c>
      <c r="N596" s="39" t="s">
        <v>130</v>
      </c>
      <c r="O596" s="21" t="s">
        <v>282</v>
      </c>
    </row>
    <row r="597" spans="2:15" x14ac:dyDescent="0.2">
      <c r="B597" s="39">
        <f t="shared" si="56"/>
        <v>35000002</v>
      </c>
      <c r="C597" s="39">
        <v>1</v>
      </c>
      <c r="D597" s="39"/>
      <c r="E597" s="39"/>
      <c r="F597" s="39"/>
      <c r="G597" s="39">
        <v>1</v>
      </c>
      <c r="H597" s="39">
        <v>35000002</v>
      </c>
      <c r="I597" s="21" t="s">
        <v>186</v>
      </c>
      <c r="J597" s="39">
        <v>13</v>
      </c>
      <c r="K597" s="46">
        <v>1400224</v>
      </c>
      <c r="L597" s="39">
        <f t="shared" si="57"/>
        <v>21</v>
      </c>
      <c r="M597" s="39" t="s">
        <v>869</v>
      </c>
      <c r="N597" s="39" t="s">
        <v>131</v>
      </c>
      <c r="O597" s="21" t="s">
        <v>283</v>
      </c>
    </row>
    <row r="598" spans="2:15" x14ac:dyDescent="0.2">
      <c r="B598" s="39">
        <f t="shared" si="56"/>
        <v>35000003</v>
      </c>
      <c r="C598" s="39">
        <v>1</v>
      </c>
      <c r="D598" s="39"/>
      <c r="E598" s="39"/>
      <c r="F598" s="39"/>
      <c r="G598" s="39">
        <v>1</v>
      </c>
      <c r="H598" s="39">
        <v>35000003</v>
      </c>
      <c r="I598" s="21" t="s">
        <v>186</v>
      </c>
      <c r="J598" s="39">
        <v>13</v>
      </c>
      <c r="K598" s="46">
        <v>1400225</v>
      </c>
      <c r="L598" s="39">
        <f t="shared" si="57"/>
        <v>21</v>
      </c>
      <c r="M598" s="39" t="s">
        <v>870</v>
      </c>
      <c r="N598" s="39" t="s">
        <v>132</v>
      </c>
      <c r="O598" s="21" t="s">
        <v>284</v>
      </c>
    </row>
    <row r="599" spans="2:15" x14ac:dyDescent="0.2">
      <c r="B599" s="39">
        <f t="shared" si="56"/>
        <v>35000004</v>
      </c>
      <c r="C599" s="39">
        <v>1</v>
      </c>
      <c r="D599" s="39"/>
      <c r="E599" s="39"/>
      <c r="F599" s="39"/>
      <c r="G599" s="39">
        <v>1</v>
      </c>
      <c r="H599" s="39">
        <v>35000004</v>
      </c>
      <c r="I599" s="21" t="s">
        <v>186</v>
      </c>
      <c r="J599" s="39">
        <v>13</v>
      </c>
      <c r="K599" s="46">
        <v>1400226</v>
      </c>
      <c r="L599" s="39">
        <f t="shared" si="57"/>
        <v>21</v>
      </c>
      <c r="M599" s="39" t="s">
        <v>871</v>
      </c>
      <c r="N599" s="39" t="s">
        <v>133</v>
      </c>
      <c r="O599" s="39" t="s">
        <v>285</v>
      </c>
    </row>
    <row r="600" spans="2:15" x14ac:dyDescent="0.2">
      <c r="B600" s="39">
        <f t="shared" si="56"/>
        <v>35000005</v>
      </c>
      <c r="C600" s="39">
        <v>1</v>
      </c>
      <c r="D600" s="39"/>
      <c r="E600" s="39"/>
      <c r="F600" s="39"/>
      <c r="G600" s="39">
        <v>1</v>
      </c>
      <c r="H600" s="39">
        <v>35000005</v>
      </c>
      <c r="I600" s="21" t="s">
        <v>186</v>
      </c>
      <c r="J600" s="39">
        <v>13</v>
      </c>
      <c r="K600" s="46">
        <v>1400227</v>
      </c>
      <c r="L600" s="39">
        <f t="shared" si="57"/>
        <v>21</v>
      </c>
      <c r="M600" s="39" t="s">
        <v>781</v>
      </c>
      <c r="N600" s="39" t="s">
        <v>134</v>
      </c>
      <c r="O600" s="39" t="s">
        <v>203</v>
      </c>
    </row>
    <row r="601" spans="2:15" x14ac:dyDescent="0.2">
      <c r="B601" s="39">
        <f t="shared" si="56"/>
        <v>35000006</v>
      </c>
      <c r="C601" s="39">
        <v>1</v>
      </c>
      <c r="D601" s="39"/>
      <c r="E601" s="39"/>
      <c r="F601" s="39"/>
      <c r="G601" s="39">
        <v>1</v>
      </c>
      <c r="H601" s="39">
        <v>35000006</v>
      </c>
      <c r="I601" s="21" t="s">
        <v>186</v>
      </c>
      <c r="J601" s="39">
        <v>13</v>
      </c>
      <c r="K601" s="46">
        <v>1400228</v>
      </c>
      <c r="L601" s="39">
        <f t="shared" si="57"/>
        <v>21</v>
      </c>
      <c r="M601" s="39" t="s">
        <v>872</v>
      </c>
      <c r="N601" s="39" t="s">
        <v>135</v>
      </c>
      <c r="O601" s="39" t="s">
        <v>286</v>
      </c>
    </row>
    <row r="602" spans="2:15" x14ac:dyDescent="0.2">
      <c r="B602" s="39">
        <f t="shared" si="56"/>
        <v>35000007</v>
      </c>
      <c r="C602" s="39">
        <v>1</v>
      </c>
      <c r="D602" s="39"/>
      <c r="E602" s="39"/>
      <c r="F602" s="39"/>
      <c r="G602" s="39">
        <v>1</v>
      </c>
      <c r="H602" s="39">
        <v>35000007</v>
      </c>
      <c r="I602" s="21" t="s">
        <v>186</v>
      </c>
      <c r="J602" s="39">
        <v>13</v>
      </c>
      <c r="K602" s="46">
        <v>1400229</v>
      </c>
      <c r="L602" s="39">
        <f t="shared" si="57"/>
        <v>21</v>
      </c>
      <c r="M602" s="39" t="s">
        <v>873</v>
      </c>
      <c r="N602" s="39" t="s">
        <v>136</v>
      </c>
      <c r="O602" s="39" t="s">
        <v>287</v>
      </c>
    </row>
    <row r="603" spans="2:15" x14ac:dyDescent="0.2">
      <c r="B603" s="39">
        <f t="shared" si="56"/>
        <v>35000008</v>
      </c>
      <c r="C603" s="39">
        <v>1</v>
      </c>
      <c r="D603" s="39"/>
      <c r="E603" s="39"/>
      <c r="F603" s="39"/>
      <c r="G603" s="39">
        <v>1</v>
      </c>
      <c r="H603" s="39">
        <v>35000008</v>
      </c>
      <c r="I603" s="21" t="s">
        <v>186</v>
      </c>
      <c r="J603" s="39">
        <v>13</v>
      </c>
      <c r="K603" s="46">
        <v>1400230</v>
      </c>
      <c r="L603" s="39">
        <f t="shared" si="57"/>
        <v>21</v>
      </c>
      <c r="M603" s="39" t="s">
        <v>874</v>
      </c>
      <c r="N603" s="39" t="s">
        <v>137</v>
      </c>
      <c r="O603" s="39" t="s">
        <v>288</v>
      </c>
    </row>
    <row r="604" spans="2:15" x14ac:dyDescent="0.2">
      <c r="B604" s="39">
        <f t="shared" si="56"/>
        <v>35000009</v>
      </c>
      <c r="C604" s="39">
        <v>1</v>
      </c>
      <c r="D604" s="39"/>
      <c r="E604" s="39"/>
      <c r="F604" s="39"/>
      <c r="G604" s="39">
        <v>1</v>
      </c>
      <c r="H604" s="39">
        <v>35000009</v>
      </c>
      <c r="I604" s="21" t="s">
        <v>186</v>
      </c>
      <c r="J604" s="39">
        <v>13</v>
      </c>
      <c r="K604" s="46">
        <v>1400231</v>
      </c>
      <c r="L604" s="39">
        <f t="shared" si="57"/>
        <v>21</v>
      </c>
      <c r="M604" s="39" t="s">
        <v>875</v>
      </c>
      <c r="N604" s="39" t="s">
        <v>138</v>
      </c>
      <c r="O604" s="39" t="s">
        <v>289</v>
      </c>
    </row>
    <row r="605" spans="2:15" x14ac:dyDescent="0.2">
      <c r="B605" s="39">
        <f t="shared" si="56"/>
        <v>35000011</v>
      </c>
      <c r="C605" s="39">
        <v>1</v>
      </c>
      <c r="D605" s="39"/>
      <c r="E605" s="39"/>
      <c r="F605" s="39"/>
      <c r="G605" s="39">
        <v>1</v>
      </c>
      <c r="H605" s="39">
        <v>35000011</v>
      </c>
      <c r="I605" s="21" t="s">
        <v>186</v>
      </c>
      <c r="J605" s="39">
        <v>13</v>
      </c>
      <c r="K605" s="46">
        <v>1006561</v>
      </c>
      <c r="L605" s="39">
        <f t="shared" si="57"/>
        <v>21</v>
      </c>
      <c r="M605" s="39" t="s">
        <v>1590</v>
      </c>
      <c r="N605" s="39" t="s">
        <v>1591</v>
      </c>
      <c r="O605" s="39" t="s">
        <v>1592</v>
      </c>
    </row>
    <row r="606" spans="2:15" x14ac:dyDescent="0.2">
      <c r="B606" s="39">
        <f t="shared" si="56"/>
        <v>35000012</v>
      </c>
      <c r="C606" s="39">
        <v>1</v>
      </c>
      <c r="D606" s="39"/>
      <c r="E606" s="39"/>
      <c r="F606" s="39"/>
      <c r="G606" s="39">
        <v>1</v>
      </c>
      <c r="H606" s="39">
        <v>35000012</v>
      </c>
      <c r="I606" s="21" t="s">
        <v>186</v>
      </c>
      <c r="J606" s="39">
        <v>13</v>
      </c>
      <c r="K606" s="46">
        <v>1006562</v>
      </c>
      <c r="L606" s="39">
        <f t="shared" si="57"/>
        <v>21</v>
      </c>
      <c r="M606" s="39" t="s">
        <v>1593</v>
      </c>
      <c r="N606" s="39" t="s">
        <v>1594</v>
      </c>
      <c r="O606" s="39" t="s">
        <v>1595</v>
      </c>
    </row>
    <row r="607" spans="2:15" x14ac:dyDescent="0.2">
      <c r="B607" s="39">
        <f t="shared" si="56"/>
        <v>36000000</v>
      </c>
      <c r="C607" s="39">
        <v>1</v>
      </c>
      <c r="D607" s="39"/>
      <c r="E607" s="39"/>
      <c r="F607" s="39"/>
      <c r="G607" s="39">
        <v>1</v>
      </c>
      <c r="H607" s="39">
        <v>36000000</v>
      </c>
      <c r="I607" s="21" t="s">
        <v>186</v>
      </c>
      <c r="J607" s="39">
        <v>13</v>
      </c>
      <c r="K607" s="46">
        <v>1400232</v>
      </c>
      <c r="L607" s="39">
        <f t="shared" si="57"/>
        <v>21</v>
      </c>
      <c r="M607" s="39" t="s">
        <v>876</v>
      </c>
      <c r="N607" s="39" t="s">
        <v>139</v>
      </c>
      <c r="O607" s="39" t="s">
        <v>290</v>
      </c>
    </row>
    <row r="608" spans="2:15" x14ac:dyDescent="0.2">
      <c r="B608" s="39">
        <f t="shared" si="56"/>
        <v>36000001</v>
      </c>
      <c r="C608" s="39">
        <v>1</v>
      </c>
      <c r="D608" s="39"/>
      <c r="E608" s="39"/>
      <c r="F608" s="39"/>
      <c r="G608" s="39">
        <v>1</v>
      </c>
      <c r="H608" s="39">
        <v>36000001</v>
      </c>
      <c r="I608" s="21" t="s">
        <v>186</v>
      </c>
      <c r="J608" s="39">
        <v>13</v>
      </c>
      <c r="K608" s="46">
        <v>1400233</v>
      </c>
      <c r="L608" s="39">
        <f t="shared" si="57"/>
        <v>21</v>
      </c>
      <c r="M608" s="39" t="s">
        <v>877</v>
      </c>
      <c r="N608" s="39" t="s">
        <v>140</v>
      </c>
      <c r="O608" s="39" t="s">
        <v>291</v>
      </c>
    </row>
    <row r="609" spans="2:15" x14ac:dyDescent="0.2">
      <c r="B609" s="39">
        <f t="shared" si="56"/>
        <v>36000002</v>
      </c>
      <c r="C609" s="39">
        <v>1</v>
      </c>
      <c r="D609" s="39"/>
      <c r="E609" s="39"/>
      <c r="F609" s="39"/>
      <c r="G609" s="39">
        <v>1</v>
      </c>
      <c r="H609" s="39">
        <v>36000002</v>
      </c>
      <c r="I609" s="21" t="s">
        <v>186</v>
      </c>
      <c r="J609" s="39">
        <v>13</v>
      </c>
      <c r="K609" s="46">
        <v>1400234</v>
      </c>
      <c r="L609" s="39">
        <f t="shared" si="57"/>
        <v>21</v>
      </c>
      <c r="M609" s="39" t="s">
        <v>878</v>
      </c>
      <c r="N609" s="39" t="s">
        <v>141</v>
      </c>
      <c r="O609" s="39" t="s">
        <v>292</v>
      </c>
    </row>
    <row r="610" spans="2:15" x14ac:dyDescent="0.2">
      <c r="B610" s="39">
        <f t="shared" ref="B610:B643" si="58">H610</f>
        <v>36000003</v>
      </c>
      <c r="C610" s="39">
        <v>1</v>
      </c>
      <c r="D610" s="39"/>
      <c r="E610" s="39"/>
      <c r="F610" s="39"/>
      <c r="G610" s="39">
        <v>1</v>
      </c>
      <c r="H610" s="39">
        <v>36000003</v>
      </c>
      <c r="I610" s="21" t="s">
        <v>186</v>
      </c>
      <c r="J610" s="39">
        <v>13</v>
      </c>
      <c r="K610" s="46">
        <v>1400235</v>
      </c>
      <c r="L610" s="39">
        <f t="shared" si="57"/>
        <v>21</v>
      </c>
      <c r="M610" s="39" t="s">
        <v>870</v>
      </c>
      <c r="N610" s="39" t="s">
        <v>142</v>
      </c>
      <c r="O610" s="39" t="s">
        <v>293</v>
      </c>
    </row>
    <row r="611" spans="2:15" x14ac:dyDescent="0.2">
      <c r="B611" s="39">
        <f t="shared" si="58"/>
        <v>36000004</v>
      </c>
      <c r="C611" s="39">
        <v>1</v>
      </c>
      <c r="D611" s="39"/>
      <c r="E611" s="39"/>
      <c r="F611" s="39"/>
      <c r="G611" s="39">
        <v>1</v>
      </c>
      <c r="H611" s="39">
        <v>36000004</v>
      </c>
      <c r="I611" s="21" t="s">
        <v>186</v>
      </c>
      <c r="J611" s="39">
        <v>13</v>
      </c>
      <c r="K611" s="46">
        <v>1400236</v>
      </c>
      <c r="L611" s="39">
        <f t="shared" si="57"/>
        <v>21</v>
      </c>
      <c r="M611" s="39" t="s">
        <v>879</v>
      </c>
      <c r="N611" s="39" t="s">
        <v>143</v>
      </c>
      <c r="O611" s="39" t="s">
        <v>294</v>
      </c>
    </row>
    <row r="612" spans="2:15" x14ac:dyDescent="0.2">
      <c r="B612" s="39">
        <f t="shared" si="58"/>
        <v>36000005</v>
      </c>
      <c r="C612" s="39">
        <v>1</v>
      </c>
      <c r="D612" s="39"/>
      <c r="E612" s="39"/>
      <c r="F612" s="39"/>
      <c r="G612" s="39">
        <v>1</v>
      </c>
      <c r="H612" s="39">
        <v>36000005</v>
      </c>
      <c r="I612" s="21" t="s">
        <v>186</v>
      </c>
      <c r="J612" s="39">
        <v>13</v>
      </c>
      <c r="K612" s="46">
        <v>1400237</v>
      </c>
      <c r="L612" s="39">
        <f t="shared" si="57"/>
        <v>21</v>
      </c>
      <c r="M612" s="39" t="s">
        <v>880</v>
      </c>
      <c r="N612" s="39" t="s">
        <v>144</v>
      </c>
      <c r="O612" s="39" t="s">
        <v>203</v>
      </c>
    </row>
    <row r="613" spans="2:15" x14ac:dyDescent="0.2">
      <c r="B613" s="39">
        <f t="shared" si="58"/>
        <v>36000006</v>
      </c>
      <c r="C613" s="39">
        <v>1</v>
      </c>
      <c r="D613" s="39"/>
      <c r="E613" s="39"/>
      <c r="F613" s="39"/>
      <c r="G613" s="39">
        <v>1</v>
      </c>
      <c r="H613" s="39">
        <v>36000006</v>
      </c>
      <c r="I613" s="21" t="s">
        <v>186</v>
      </c>
      <c r="J613" s="39">
        <v>13</v>
      </c>
      <c r="K613" s="46">
        <v>1400238</v>
      </c>
      <c r="L613" s="39">
        <f t="shared" si="57"/>
        <v>21</v>
      </c>
      <c r="M613" s="39" t="s">
        <v>881</v>
      </c>
      <c r="N613" s="39" t="s">
        <v>145</v>
      </c>
      <c r="O613" s="39" t="s">
        <v>286</v>
      </c>
    </row>
    <row r="614" spans="2:15" x14ac:dyDescent="0.2">
      <c r="B614" s="39">
        <f t="shared" si="58"/>
        <v>36000007</v>
      </c>
      <c r="C614" s="39">
        <v>1</v>
      </c>
      <c r="D614" s="39"/>
      <c r="E614" s="39"/>
      <c r="F614" s="39"/>
      <c r="G614" s="39">
        <v>1</v>
      </c>
      <c r="H614" s="39">
        <v>36000007</v>
      </c>
      <c r="I614" s="21" t="s">
        <v>186</v>
      </c>
      <c r="J614" s="39">
        <v>13</v>
      </c>
      <c r="K614" s="46">
        <v>1400239</v>
      </c>
      <c r="L614" s="39">
        <f t="shared" si="57"/>
        <v>21</v>
      </c>
      <c r="M614" s="39" t="s">
        <v>873</v>
      </c>
      <c r="N614" s="39" t="s">
        <v>146</v>
      </c>
      <c r="O614" s="39" t="s">
        <v>287</v>
      </c>
    </row>
    <row r="615" spans="2:15" x14ac:dyDescent="0.2">
      <c r="B615" s="39">
        <f t="shared" si="58"/>
        <v>36000008</v>
      </c>
      <c r="C615" s="39">
        <v>1</v>
      </c>
      <c r="D615" s="39"/>
      <c r="E615" s="39"/>
      <c r="F615" s="39"/>
      <c r="G615" s="39">
        <v>1</v>
      </c>
      <c r="H615" s="39">
        <v>36000008</v>
      </c>
      <c r="I615" s="21" t="s">
        <v>186</v>
      </c>
      <c r="J615" s="39">
        <v>13</v>
      </c>
      <c r="K615" s="46">
        <v>1400240</v>
      </c>
      <c r="L615" s="39">
        <f t="shared" si="57"/>
        <v>21</v>
      </c>
      <c r="M615" s="39" t="s">
        <v>874</v>
      </c>
      <c r="N615" s="39" t="s">
        <v>147</v>
      </c>
      <c r="O615" s="39" t="s">
        <v>288</v>
      </c>
    </row>
    <row r="616" spans="2:15" x14ac:dyDescent="0.2">
      <c r="B616" s="39">
        <f t="shared" si="58"/>
        <v>36000009</v>
      </c>
      <c r="C616" s="39">
        <v>1</v>
      </c>
      <c r="D616" s="39"/>
      <c r="E616" s="39"/>
      <c r="F616" s="39"/>
      <c r="G616" s="39">
        <v>1</v>
      </c>
      <c r="H616" s="39">
        <v>36000009</v>
      </c>
      <c r="I616" s="21" t="s">
        <v>186</v>
      </c>
      <c r="J616" s="39">
        <v>13</v>
      </c>
      <c r="K616" s="46">
        <v>1400241</v>
      </c>
      <c r="L616" s="39">
        <f t="shared" si="57"/>
        <v>21</v>
      </c>
      <c r="M616" s="39" t="s">
        <v>882</v>
      </c>
      <c r="N616" s="39" t="s">
        <v>148</v>
      </c>
      <c r="O616" s="39" t="s">
        <v>295</v>
      </c>
    </row>
    <row r="617" spans="2:15" x14ac:dyDescent="0.2">
      <c r="B617" s="39">
        <f t="shared" si="58"/>
        <v>36000010</v>
      </c>
      <c r="C617" s="39">
        <v>1</v>
      </c>
      <c r="D617" s="39"/>
      <c r="E617" s="39"/>
      <c r="F617" s="39"/>
      <c r="G617" s="39">
        <v>1</v>
      </c>
      <c r="H617" s="39">
        <v>36000010</v>
      </c>
      <c r="I617" s="21" t="s">
        <v>186</v>
      </c>
      <c r="J617" s="39">
        <v>13</v>
      </c>
      <c r="K617" s="46">
        <v>1400242</v>
      </c>
      <c r="L617" s="39">
        <f t="shared" si="57"/>
        <v>21</v>
      </c>
      <c r="M617" s="39" t="s">
        <v>883</v>
      </c>
      <c r="N617" s="39" t="s">
        <v>149</v>
      </c>
      <c r="O617" s="39" t="s">
        <v>296</v>
      </c>
    </row>
    <row r="618" spans="2:15" x14ac:dyDescent="0.2">
      <c r="B618" s="39">
        <f t="shared" si="58"/>
        <v>37000000</v>
      </c>
      <c r="C618" s="39">
        <v>1</v>
      </c>
      <c r="D618" s="39"/>
      <c r="E618" s="39"/>
      <c r="F618" s="39"/>
      <c r="G618" s="39">
        <v>1</v>
      </c>
      <c r="H618" s="39">
        <v>37000000</v>
      </c>
      <c r="I618" s="21" t="s">
        <v>184</v>
      </c>
      <c r="J618" s="39">
        <v>13</v>
      </c>
      <c r="K618" s="46">
        <v>1400243</v>
      </c>
      <c r="L618" s="39">
        <f t="shared" si="57"/>
        <v>5</v>
      </c>
      <c r="M618" s="39" t="s">
        <v>884</v>
      </c>
      <c r="N618" s="39" t="s">
        <v>541</v>
      </c>
      <c r="O618" s="39" t="s">
        <v>608</v>
      </c>
    </row>
    <row r="619" spans="2:15" ht="16.5" customHeight="1" x14ac:dyDescent="0.2">
      <c r="B619" s="39">
        <f t="shared" si="58"/>
        <v>37000001</v>
      </c>
      <c r="C619" s="39">
        <v>1</v>
      </c>
      <c r="D619" s="39"/>
      <c r="E619" s="39"/>
      <c r="F619" s="39"/>
      <c r="G619" s="39">
        <v>1</v>
      </c>
      <c r="H619" s="39">
        <v>37000001</v>
      </c>
      <c r="I619" s="21" t="s">
        <v>184</v>
      </c>
      <c r="J619" s="39">
        <v>13</v>
      </c>
      <c r="K619" s="46">
        <v>1400244</v>
      </c>
      <c r="L619" s="39">
        <f t="shared" si="57"/>
        <v>5</v>
      </c>
      <c r="M619" s="39" t="s">
        <v>885</v>
      </c>
      <c r="N619" s="39" t="s">
        <v>542</v>
      </c>
      <c r="O619" s="39" t="s">
        <v>609</v>
      </c>
    </row>
    <row r="620" spans="2:15" ht="16.5" customHeight="1" x14ac:dyDescent="0.3">
      <c r="B620" s="39">
        <f t="shared" si="58"/>
        <v>37000003</v>
      </c>
      <c r="C620" s="39">
        <v>1</v>
      </c>
      <c r="D620" s="39"/>
      <c r="E620" s="39"/>
      <c r="F620" s="39"/>
      <c r="G620" s="39">
        <v>1</v>
      </c>
      <c r="H620" s="39">
        <v>37000003</v>
      </c>
      <c r="I620" s="39" t="s">
        <v>187</v>
      </c>
      <c r="J620" s="39">
        <v>21</v>
      </c>
      <c r="K620" s="46">
        <v>1028125</v>
      </c>
      <c r="L620" s="39">
        <f t="shared" si="57"/>
        <v>21</v>
      </c>
      <c r="M620" s="39" t="s">
        <v>2213</v>
      </c>
      <c r="N620" s="39" t="s">
        <v>1053</v>
      </c>
      <c r="O620" s="39"/>
    </row>
    <row r="621" spans="2:15" ht="16.5" customHeight="1" x14ac:dyDescent="0.3">
      <c r="B621" s="39">
        <f t="shared" si="58"/>
        <v>37000004</v>
      </c>
      <c r="C621" s="39">
        <v>1</v>
      </c>
      <c r="D621" s="39"/>
      <c r="E621" s="39"/>
      <c r="F621" s="39"/>
      <c r="G621" s="39">
        <v>1</v>
      </c>
      <c r="H621" s="39">
        <v>37000004</v>
      </c>
      <c r="I621" s="39" t="s">
        <v>187</v>
      </c>
      <c r="J621" s="39">
        <v>21</v>
      </c>
      <c r="K621" s="46">
        <v>1028126</v>
      </c>
      <c r="L621" s="39">
        <f t="shared" si="57"/>
        <v>21</v>
      </c>
      <c r="M621" s="39" t="s">
        <v>2214</v>
      </c>
      <c r="N621" s="39" t="s">
        <v>1054</v>
      </c>
      <c r="O621" s="39"/>
    </row>
    <row r="622" spans="2:15" ht="16.5" customHeight="1" x14ac:dyDescent="0.3">
      <c r="B622" s="39">
        <f t="shared" si="58"/>
        <v>37000005</v>
      </c>
      <c r="C622" s="39">
        <v>1</v>
      </c>
      <c r="D622" s="39"/>
      <c r="E622" s="39"/>
      <c r="F622" s="39"/>
      <c r="G622" s="39">
        <v>1</v>
      </c>
      <c r="H622" s="39">
        <v>37000005</v>
      </c>
      <c r="I622" s="39" t="s">
        <v>187</v>
      </c>
      <c r="J622" s="39">
        <v>21</v>
      </c>
      <c r="K622" s="46">
        <v>1400586</v>
      </c>
      <c r="L622" s="39">
        <f t="shared" si="57"/>
        <v>21</v>
      </c>
      <c r="M622" s="39" t="s">
        <v>2215</v>
      </c>
      <c r="N622" s="39" t="s">
        <v>1884</v>
      </c>
      <c r="O622" s="39" t="s">
        <v>1888</v>
      </c>
    </row>
    <row r="623" spans="2:15" ht="16.5" customHeight="1" thickBot="1" x14ac:dyDescent="0.35">
      <c r="B623" s="44">
        <f t="shared" si="58"/>
        <v>37000006</v>
      </c>
      <c r="C623" s="39">
        <v>1</v>
      </c>
      <c r="D623" s="39"/>
      <c r="E623" s="39"/>
      <c r="F623" s="39"/>
      <c r="G623" s="39">
        <v>1</v>
      </c>
      <c r="H623" s="44">
        <v>37000006</v>
      </c>
      <c r="I623" s="44" t="s">
        <v>187</v>
      </c>
      <c r="J623" s="44">
        <v>21</v>
      </c>
      <c r="K623" s="54">
        <v>1400587</v>
      </c>
      <c r="L623" s="44">
        <f t="shared" si="57"/>
        <v>21</v>
      </c>
      <c r="M623" s="44" t="s">
        <v>2216</v>
      </c>
      <c r="N623" s="44" t="s">
        <v>1885</v>
      </c>
      <c r="O623" s="44" t="s">
        <v>1889</v>
      </c>
    </row>
    <row r="624" spans="2:15" ht="16.5" customHeight="1" thickBot="1" x14ac:dyDescent="0.35">
      <c r="B624" s="162">
        <f t="shared" si="58"/>
        <v>37000007</v>
      </c>
      <c r="C624" s="44">
        <v>1</v>
      </c>
      <c r="D624" s="44"/>
      <c r="E624" s="44"/>
      <c r="F624" s="44"/>
      <c r="G624" s="44">
        <v>1</v>
      </c>
      <c r="H624" s="164">
        <v>37000007</v>
      </c>
      <c r="I624" s="164" t="s">
        <v>187</v>
      </c>
      <c r="J624" s="164">
        <v>13</v>
      </c>
      <c r="K624" s="165">
        <v>1400588</v>
      </c>
      <c r="L624" s="164">
        <f t="shared" si="57"/>
        <v>21</v>
      </c>
      <c r="M624" s="164" t="s">
        <v>2217</v>
      </c>
      <c r="N624" s="164" t="s">
        <v>1886</v>
      </c>
      <c r="O624" s="260" t="s">
        <v>1890</v>
      </c>
    </row>
    <row r="625" spans="2:15" ht="16.5" customHeight="1" thickBot="1" x14ac:dyDescent="0.35">
      <c r="B625" s="240">
        <f>H625</f>
        <v>37000011</v>
      </c>
      <c r="C625" s="99">
        <v>1</v>
      </c>
      <c r="D625" s="99" t="s">
        <v>3399</v>
      </c>
      <c r="E625" s="99">
        <v>0</v>
      </c>
      <c r="F625" s="99" t="s">
        <v>3400</v>
      </c>
      <c r="G625" s="99">
        <v>1</v>
      </c>
      <c r="H625" s="99">
        <v>37000011</v>
      </c>
      <c r="I625" s="99" t="s">
        <v>186</v>
      </c>
      <c r="J625" s="99">
        <v>21</v>
      </c>
      <c r="K625" s="241">
        <v>2100236</v>
      </c>
      <c r="L625" s="99">
        <v>21</v>
      </c>
      <c r="M625" s="99" t="s">
        <v>3446</v>
      </c>
      <c r="N625" s="99" t="s">
        <v>3447</v>
      </c>
      <c r="O625" s="242" t="s">
        <v>3403</v>
      </c>
    </row>
    <row r="626" spans="2:15" ht="16.5" customHeight="1" thickBot="1" x14ac:dyDescent="0.35">
      <c r="B626" s="375">
        <f>H626</f>
        <v>37000013</v>
      </c>
      <c r="C626" s="376">
        <v>1</v>
      </c>
      <c r="D626" s="376" t="s">
        <v>3399</v>
      </c>
      <c r="E626" s="376">
        <v>0</v>
      </c>
      <c r="F626" s="376" t="s">
        <v>3451</v>
      </c>
      <c r="G626" s="376">
        <v>1</v>
      </c>
      <c r="H626" s="376">
        <v>37000013</v>
      </c>
      <c r="I626" s="376" t="s">
        <v>186</v>
      </c>
      <c r="J626" s="376">
        <v>21</v>
      </c>
      <c r="K626" s="377">
        <v>2100210</v>
      </c>
      <c r="L626" s="376">
        <v>21</v>
      </c>
      <c r="M626" s="376" t="s">
        <v>3452</v>
      </c>
      <c r="N626" s="376" t="s">
        <v>3453</v>
      </c>
      <c r="O626" s="136" t="s">
        <v>3454</v>
      </c>
    </row>
    <row r="627" spans="2:15" ht="16.5" customHeight="1" x14ac:dyDescent="0.3">
      <c r="B627" s="48">
        <f t="shared" si="58"/>
        <v>37000103</v>
      </c>
      <c r="C627" s="48">
        <v>1</v>
      </c>
      <c r="D627" s="48"/>
      <c r="E627" s="48"/>
      <c r="F627" s="48"/>
      <c r="G627" s="48">
        <v>1</v>
      </c>
      <c r="H627" s="48">
        <v>37000103</v>
      </c>
      <c r="I627" s="48" t="s">
        <v>186</v>
      </c>
      <c r="J627" s="48">
        <v>13</v>
      </c>
      <c r="K627" s="106">
        <v>2010079</v>
      </c>
      <c r="L627" s="48">
        <v>21</v>
      </c>
      <c r="M627" s="48" t="s">
        <v>2087</v>
      </c>
      <c r="N627" s="48" t="s">
        <v>2088</v>
      </c>
      <c r="O627" s="48" t="s">
        <v>2086</v>
      </c>
    </row>
    <row r="628" spans="2:15" x14ac:dyDescent="0.2">
      <c r="B628" s="39">
        <f t="shared" si="58"/>
        <v>38000001</v>
      </c>
      <c r="C628" s="39">
        <v>1</v>
      </c>
      <c r="D628" s="39"/>
      <c r="E628" s="39"/>
      <c r="F628" s="39"/>
      <c r="G628" s="39">
        <v>1</v>
      </c>
      <c r="H628" s="39">
        <v>38000001</v>
      </c>
      <c r="I628" s="21" t="s">
        <v>184</v>
      </c>
      <c r="J628" s="39">
        <v>13</v>
      </c>
      <c r="K628" s="46">
        <v>1400245</v>
      </c>
      <c r="L628" s="39">
        <f t="shared" ref="L628:L659" si="59">VLOOKUP(I628,error,2,FALSE)</f>
        <v>5</v>
      </c>
      <c r="M628" s="39" t="s">
        <v>886</v>
      </c>
      <c r="N628" s="39" t="s">
        <v>543</v>
      </c>
      <c r="O628" s="21" t="s">
        <v>690</v>
      </c>
    </row>
    <row r="629" spans="2:15" x14ac:dyDescent="0.2">
      <c r="B629" s="39">
        <f t="shared" si="58"/>
        <v>40000032</v>
      </c>
      <c r="C629" s="39">
        <v>1</v>
      </c>
      <c r="D629" s="39"/>
      <c r="E629" s="39"/>
      <c r="F629" s="39"/>
      <c r="G629" s="39">
        <v>1</v>
      </c>
      <c r="H629" s="39">
        <v>40000032</v>
      </c>
      <c r="I629" s="21" t="s">
        <v>187</v>
      </c>
      <c r="J629" s="39">
        <v>21</v>
      </c>
      <c r="K629" s="46">
        <v>1400539</v>
      </c>
      <c r="L629" s="39">
        <f t="shared" si="59"/>
        <v>21</v>
      </c>
      <c r="M629" s="39" t="s">
        <v>1905</v>
      </c>
      <c r="N629" s="39" t="s">
        <v>1909</v>
      </c>
      <c r="O629" s="39" t="s">
        <v>1910</v>
      </c>
    </row>
    <row r="630" spans="2:15" x14ac:dyDescent="0.2">
      <c r="B630" s="39">
        <f t="shared" si="58"/>
        <v>41000000</v>
      </c>
      <c r="C630" s="39">
        <v>1</v>
      </c>
      <c r="D630" s="39"/>
      <c r="E630" s="39"/>
      <c r="F630" s="39"/>
      <c r="G630" s="39">
        <v>1</v>
      </c>
      <c r="H630" s="39">
        <v>41000000</v>
      </c>
      <c r="I630" s="21" t="s">
        <v>184</v>
      </c>
      <c r="J630" s="39">
        <v>13</v>
      </c>
      <c r="K630" s="46">
        <v>1400246</v>
      </c>
      <c r="L630" s="39">
        <f t="shared" si="59"/>
        <v>5</v>
      </c>
      <c r="M630" s="39" t="s">
        <v>2218</v>
      </c>
      <c r="N630" s="39" t="s">
        <v>371</v>
      </c>
      <c r="O630" s="39" t="s">
        <v>432</v>
      </c>
    </row>
    <row r="631" spans="2:15" x14ac:dyDescent="0.2">
      <c r="B631" s="39">
        <f t="shared" si="58"/>
        <v>41000001</v>
      </c>
      <c r="C631" s="39">
        <v>1</v>
      </c>
      <c r="D631" s="39"/>
      <c r="E631" s="39"/>
      <c r="F631" s="39"/>
      <c r="G631" s="39">
        <v>1</v>
      </c>
      <c r="H631" s="39">
        <v>41000001</v>
      </c>
      <c r="I631" s="21" t="s">
        <v>184</v>
      </c>
      <c r="J631" s="39">
        <v>13</v>
      </c>
      <c r="K631" s="46">
        <v>1400247</v>
      </c>
      <c r="L631" s="39">
        <f t="shared" si="59"/>
        <v>5</v>
      </c>
      <c r="M631" s="39" t="s">
        <v>887</v>
      </c>
      <c r="N631" s="39" t="s">
        <v>372</v>
      </c>
      <c r="O631" s="39" t="s">
        <v>433</v>
      </c>
    </row>
    <row r="632" spans="2:15" x14ac:dyDescent="0.2">
      <c r="B632" s="39">
        <f t="shared" si="58"/>
        <v>41000002</v>
      </c>
      <c r="C632" s="39">
        <v>1</v>
      </c>
      <c r="D632" s="39"/>
      <c r="E632" s="39"/>
      <c r="F632" s="39"/>
      <c r="G632" s="39">
        <v>1</v>
      </c>
      <c r="H632" s="39">
        <v>41000002</v>
      </c>
      <c r="I632" s="21" t="s">
        <v>184</v>
      </c>
      <c r="J632" s="39">
        <v>13</v>
      </c>
      <c r="K632" s="46">
        <v>1400248</v>
      </c>
      <c r="L632" s="39">
        <f t="shared" si="59"/>
        <v>5</v>
      </c>
      <c r="M632" s="39" t="s">
        <v>888</v>
      </c>
      <c r="N632" s="39" t="s">
        <v>1906</v>
      </c>
      <c r="O632" s="39" t="s">
        <v>1907</v>
      </c>
    </row>
    <row r="633" spans="2:15" x14ac:dyDescent="0.2">
      <c r="B633" s="39">
        <f t="shared" si="58"/>
        <v>41000003</v>
      </c>
      <c r="C633" s="39">
        <v>1</v>
      </c>
      <c r="D633" s="39"/>
      <c r="E633" s="39"/>
      <c r="F633" s="39"/>
      <c r="G633" s="39">
        <v>1</v>
      </c>
      <c r="H633" s="39">
        <v>41000003</v>
      </c>
      <c r="I633" s="21" t="s">
        <v>184</v>
      </c>
      <c r="J633" s="39">
        <v>13</v>
      </c>
      <c r="K633" s="46">
        <v>1400249</v>
      </c>
      <c r="L633" s="39">
        <f t="shared" si="59"/>
        <v>5</v>
      </c>
      <c r="M633" s="39" t="s">
        <v>889</v>
      </c>
      <c r="N633" s="39" t="s">
        <v>1887</v>
      </c>
      <c r="O633" s="39" t="s">
        <v>1908</v>
      </c>
    </row>
    <row r="634" spans="2:15" x14ac:dyDescent="0.2">
      <c r="B634" s="39">
        <f t="shared" si="58"/>
        <v>45000000</v>
      </c>
      <c r="C634" s="39">
        <v>1</v>
      </c>
      <c r="D634" s="39"/>
      <c r="E634" s="39"/>
      <c r="F634" s="39"/>
      <c r="G634" s="39">
        <v>1</v>
      </c>
      <c r="H634" s="39">
        <v>45000000</v>
      </c>
      <c r="I634" s="21" t="s">
        <v>184</v>
      </c>
      <c r="J634" s="39">
        <v>13</v>
      </c>
      <c r="K634" s="46">
        <v>1400250</v>
      </c>
      <c r="L634" s="39">
        <f t="shared" si="59"/>
        <v>5</v>
      </c>
      <c r="M634" s="39" t="s">
        <v>890</v>
      </c>
      <c r="N634" s="39" t="s">
        <v>1911</v>
      </c>
      <c r="O634" s="39" t="s">
        <v>1912</v>
      </c>
    </row>
    <row r="635" spans="2:15" x14ac:dyDescent="0.2">
      <c r="B635" s="39">
        <f t="shared" si="58"/>
        <v>45000001</v>
      </c>
      <c r="C635" s="39">
        <v>1</v>
      </c>
      <c r="D635" s="39"/>
      <c r="E635" s="39"/>
      <c r="F635" s="39"/>
      <c r="G635" s="39">
        <v>1</v>
      </c>
      <c r="H635" s="39">
        <v>45000001</v>
      </c>
      <c r="I635" s="21" t="s">
        <v>184</v>
      </c>
      <c r="J635" s="39">
        <v>13</v>
      </c>
      <c r="K635" s="46">
        <v>1400251</v>
      </c>
      <c r="L635" s="39">
        <f t="shared" si="59"/>
        <v>5</v>
      </c>
      <c r="M635" s="39" t="s">
        <v>891</v>
      </c>
      <c r="N635" s="39" t="s">
        <v>1913</v>
      </c>
      <c r="O635" s="39" t="s">
        <v>1914</v>
      </c>
    </row>
    <row r="636" spans="2:15" x14ac:dyDescent="0.2">
      <c r="B636" s="39">
        <f t="shared" si="58"/>
        <v>45000002</v>
      </c>
      <c r="C636" s="39">
        <v>1</v>
      </c>
      <c r="D636" s="39"/>
      <c r="E636" s="39"/>
      <c r="F636" s="39"/>
      <c r="G636" s="39">
        <v>1</v>
      </c>
      <c r="H636" s="39">
        <v>45000002</v>
      </c>
      <c r="I636" s="21" t="s">
        <v>184</v>
      </c>
      <c r="J636" s="39">
        <v>13</v>
      </c>
      <c r="K636" s="46">
        <v>1400252</v>
      </c>
      <c r="L636" s="39">
        <f t="shared" si="59"/>
        <v>5</v>
      </c>
      <c r="M636" s="39" t="s">
        <v>892</v>
      </c>
      <c r="N636" s="39" t="s">
        <v>546</v>
      </c>
      <c r="O636" s="39" t="s">
        <v>611</v>
      </c>
    </row>
    <row r="637" spans="2:15" x14ac:dyDescent="0.2">
      <c r="B637" s="39">
        <f t="shared" si="58"/>
        <v>45000003</v>
      </c>
      <c r="C637" s="39">
        <v>1</v>
      </c>
      <c r="D637" s="39"/>
      <c r="E637" s="39"/>
      <c r="F637" s="39"/>
      <c r="G637" s="39">
        <v>1</v>
      </c>
      <c r="H637" s="39">
        <v>45000003</v>
      </c>
      <c r="I637" s="21" t="s">
        <v>184</v>
      </c>
      <c r="J637" s="39">
        <v>13</v>
      </c>
      <c r="K637" s="46">
        <v>1400253</v>
      </c>
      <c r="L637" s="39">
        <f t="shared" si="59"/>
        <v>5</v>
      </c>
      <c r="M637" s="39" t="s">
        <v>893</v>
      </c>
      <c r="N637" s="39" t="s">
        <v>547</v>
      </c>
      <c r="O637" s="39" t="s">
        <v>612</v>
      </c>
    </row>
    <row r="638" spans="2:15" x14ac:dyDescent="0.2">
      <c r="B638" s="39">
        <f t="shared" si="58"/>
        <v>45000004</v>
      </c>
      <c r="C638" s="39">
        <v>1</v>
      </c>
      <c r="D638" s="39"/>
      <c r="E638" s="39"/>
      <c r="F638" s="39"/>
      <c r="G638" s="39">
        <v>1</v>
      </c>
      <c r="H638" s="39">
        <v>45000004</v>
      </c>
      <c r="I638" s="21" t="s">
        <v>184</v>
      </c>
      <c r="J638" s="39">
        <v>13</v>
      </c>
      <c r="K638" s="46">
        <v>1400254</v>
      </c>
      <c r="L638" s="39">
        <f t="shared" si="59"/>
        <v>5</v>
      </c>
      <c r="M638" s="39" t="s">
        <v>894</v>
      </c>
      <c r="N638" s="39" t="s">
        <v>548</v>
      </c>
      <c r="O638" s="39" t="s">
        <v>613</v>
      </c>
    </row>
    <row r="639" spans="2:15" x14ac:dyDescent="0.2">
      <c r="B639" s="39">
        <f t="shared" si="58"/>
        <v>45000005</v>
      </c>
      <c r="C639" s="39">
        <v>1</v>
      </c>
      <c r="D639" s="39"/>
      <c r="E639" s="39"/>
      <c r="F639" s="39"/>
      <c r="G639" s="39">
        <v>1</v>
      </c>
      <c r="H639" s="39">
        <v>45000005</v>
      </c>
      <c r="I639" s="21" t="s">
        <v>184</v>
      </c>
      <c r="J639" s="39">
        <v>13</v>
      </c>
      <c r="K639" s="46">
        <v>1400255</v>
      </c>
      <c r="L639" s="39">
        <f t="shared" si="59"/>
        <v>5</v>
      </c>
      <c r="M639" s="39" t="s">
        <v>895</v>
      </c>
      <c r="N639" s="39" t="s">
        <v>549</v>
      </c>
      <c r="O639" s="39" t="s">
        <v>614</v>
      </c>
    </row>
    <row r="640" spans="2:15" x14ac:dyDescent="0.2">
      <c r="B640" s="39">
        <f t="shared" si="58"/>
        <v>45000006</v>
      </c>
      <c r="C640" s="39">
        <v>1</v>
      </c>
      <c r="D640" s="39"/>
      <c r="E640" s="39"/>
      <c r="F640" s="39"/>
      <c r="G640" s="39">
        <v>1</v>
      </c>
      <c r="H640" s="39">
        <v>45000006</v>
      </c>
      <c r="I640" s="21" t="s">
        <v>184</v>
      </c>
      <c r="J640" s="39">
        <v>13</v>
      </c>
      <c r="K640" s="46">
        <v>1400256</v>
      </c>
      <c r="L640" s="39">
        <f t="shared" si="59"/>
        <v>5</v>
      </c>
      <c r="M640" s="39" t="s">
        <v>896</v>
      </c>
      <c r="N640" s="39" t="s">
        <v>550</v>
      </c>
      <c r="O640" s="39" t="s">
        <v>615</v>
      </c>
    </row>
    <row r="641" spans="2:15" x14ac:dyDescent="0.2">
      <c r="B641" s="39">
        <f t="shared" si="58"/>
        <v>45000007</v>
      </c>
      <c r="C641" s="39">
        <v>1</v>
      </c>
      <c r="D641" s="39"/>
      <c r="E641" s="39"/>
      <c r="F641" s="39"/>
      <c r="G641" s="39">
        <v>1</v>
      </c>
      <c r="H641" s="39">
        <v>45000007</v>
      </c>
      <c r="I641" s="21" t="s">
        <v>184</v>
      </c>
      <c r="J641" s="39">
        <v>13</v>
      </c>
      <c r="K641" s="46">
        <v>1400257</v>
      </c>
      <c r="L641" s="39">
        <f t="shared" si="59"/>
        <v>5</v>
      </c>
      <c r="M641" s="39" t="s">
        <v>897</v>
      </c>
      <c r="N641" s="39" t="s">
        <v>551</v>
      </c>
      <c r="O641" s="39" t="s">
        <v>616</v>
      </c>
    </row>
    <row r="642" spans="2:15" x14ac:dyDescent="0.2">
      <c r="B642" s="39">
        <f t="shared" si="58"/>
        <v>45000008</v>
      </c>
      <c r="C642" s="39">
        <v>1</v>
      </c>
      <c r="D642" s="39"/>
      <c r="E642" s="39"/>
      <c r="F642" s="39"/>
      <c r="G642" s="39">
        <v>1</v>
      </c>
      <c r="H642" s="39">
        <v>45000008</v>
      </c>
      <c r="I642" s="21" t="s">
        <v>184</v>
      </c>
      <c r="J642" s="39">
        <v>13</v>
      </c>
      <c r="K642" s="46">
        <v>1400258</v>
      </c>
      <c r="L642" s="39">
        <f t="shared" si="59"/>
        <v>5</v>
      </c>
      <c r="M642" s="39" t="s">
        <v>898</v>
      </c>
      <c r="N642" s="39" t="s">
        <v>552</v>
      </c>
      <c r="O642" s="39" t="s">
        <v>617</v>
      </c>
    </row>
    <row r="643" spans="2:15" x14ac:dyDescent="0.2">
      <c r="B643" s="39">
        <f t="shared" si="58"/>
        <v>45000009</v>
      </c>
      <c r="C643" s="39">
        <v>1</v>
      </c>
      <c r="D643" s="39"/>
      <c r="E643" s="39"/>
      <c r="F643" s="39"/>
      <c r="G643" s="39">
        <v>1</v>
      </c>
      <c r="H643" s="39">
        <v>45000009</v>
      </c>
      <c r="I643" s="21" t="s">
        <v>184</v>
      </c>
      <c r="J643" s="39">
        <v>13</v>
      </c>
      <c r="K643" s="46">
        <v>1400259</v>
      </c>
      <c r="L643" s="39">
        <f t="shared" si="59"/>
        <v>5</v>
      </c>
      <c r="M643" s="39" t="s">
        <v>899</v>
      </c>
      <c r="N643" s="39" t="s">
        <v>553</v>
      </c>
      <c r="O643" s="39" t="s">
        <v>618</v>
      </c>
    </row>
    <row r="644" spans="2:15" x14ac:dyDescent="0.2">
      <c r="B644" s="39">
        <f t="shared" ref="B644:B675" si="60">H644</f>
        <v>45000010</v>
      </c>
      <c r="C644" s="39">
        <v>1</v>
      </c>
      <c r="D644" s="39"/>
      <c r="E644" s="39"/>
      <c r="F644" s="39"/>
      <c r="G644" s="39">
        <v>1</v>
      </c>
      <c r="H644" s="39">
        <v>45000010</v>
      </c>
      <c r="I644" s="21" t="s">
        <v>184</v>
      </c>
      <c r="J644" s="39">
        <v>13</v>
      </c>
      <c r="K644" s="46">
        <v>1400260</v>
      </c>
      <c r="L644" s="39">
        <f t="shared" si="59"/>
        <v>5</v>
      </c>
      <c r="M644" s="39" t="s">
        <v>900</v>
      </c>
      <c r="N644" s="39" t="s">
        <v>554</v>
      </c>
      <c r="O644" s="39" t="s">
        <v>619</v>
      </c>
    </row>
    <row r="645" spans="2:15" x14ac:dyDescent="0.2">
      <c r="B645" s="39">
        <f t="shared" si="60"/>
        <v>45000011</v>
      </c>
      <c r="C645" s="39">
        <v>1</v>
      </c>
      <c r="D645" s="39"/>
      <c r="E645" s="39"/>
      <c r="F645" s="39"/>
      <c r="G645" s="39">
        <v>1</v>
      </c>
      <c r="H645" s="39">
        <v>45000011</v>
      </c>
      <c r="I645" s="21" t="s">
        <v>184</v>
      </c>
      <c r="J645" s="39">
        <v>13</v>
      </c>
      <c r="K645" s="46">
        <v>1400261</v>
      </c>
      <c r="L645" s="39">
        <f t="shared" si="59"/>
        <v>5</v>
      </c>
      <c r="M645" s="39" t="s">
        <v>901</v>
      </c>
      <c r="N645" s="39" t="s">
        <v>555</v>
      </c>
      <c r="O645" s="39" t="s">
        <v>620</v>
      </c>
    </row>
    <row r="646" spans="2:15" x14ac:dyDescent="0.2">
      <c r="B646" s="39">
        <f t="shared" si="60"/>
        <v>45000012</v>
      </c>
      <c r="C646" s="39">
        <v>1</v>
      </c>
      <c r="D646" s="39"/>
      <c r="E646" s="39"/>
      <c r="F646" s="39"/>
      <c r="G646" s="39">
        <v>1</v>
      </c>
      <c r="H646" s="39">
        <v>45000012</v>
      </c>
      <c r="I646" s="21" t="s">
        <v>184</v>
      </c>
      <c r="J646" s="39">
        <v>13</v>
      </c>
      <c r="K646" s="46">
        <v>1400262</v>
      </c>
      <c r="L646" s="39">
        <f t="shared" si="59"/>
        <v>5</v>
      </c>
      <c r="M646" s="39" t="s">
        <v>902</v>
      </c>
      <c r="N646" s="39" t="s">
        <v>556</v>
      </c>
      <c r="O646" s="39" t="s">
        <v>621</v>
      </c>
    </row>
    <row r="647" spans="2:15" x14ac:dyDescent="0.2">
      <c r="B647" s="39">
        <f t="shared" si="60"/>
        <v>45000013</v>
      </c>
      <c r="C647" s="39">
        <v>1</v>
      </c>
      <c r="D647" s="39"/>
      <c r="E647" s="39"/>
      <c r="F647" s="39"/>
      <c r="G647" s="39">
        <v>1</v>
      </c>
      <c r="H647" s="39">
        <v>45000013</v>
      </c>
      <c r="I647" s="21" t="s">
        <v>184</v>
      </c>
      <c r="J647" s="39">
        <v>13</v>
      </c>
      <c r="K647" s="46">
        <v>1400263</v>
      </c>
      <c r="L647" s="39">
        <f t="shared" si="59"/>
        <v>5</v>
      </c>
      <c r="M647" s="39" t="s">
        <v>903</v>
      </c>
      <c r="N647" s="39" t="s">
        <v>557</v>
      </c>
      <c r="O647" s="39" t="s">
        <v>622</v>
      </c>
    </row>
    <row r="648" spans="2:15" x14ac:dyDescent="0.2">
      <c r="B648" s="39">
        <f t="shared" si="60"/>
        <v>45000014</v>
      </c>
      <c r="C648" s="39">
        <v>1</v>
      </c>
      <c r="D648" s="39"/>
      <c r="E648" s="39"/>
      <c r="F648" s="39"/>
      <c r="G648" s="39">
        <v>1</v>
      </c>
      <c r="H648" s="39">
        <v>45000014</v>
      </c>
      <c r="I648" s="21" t="s">
        <v>184</v>
      </c>
      <c r="J648" s="39">
        <v>13</v>
      </c>
      <c r="K648" s="46">
        <v>1400264</v>
      </c>
      <c r="L648" s="39">
        <f t="shared" si="59"/>
        <v>5</v>
      </c>
      <c r="M648" s="39" t="s">
        <v>904</v>
      </c>
      <c r="N648" s="39" t="s">
        <v>558</v>
      </c>
      <c r="O648" s="39" t="s">
        <v>623</v>
      </c>
    </row>
    <row r="649" spans="2:15" x14ac:dyDescent="0.2">
      <c r="B649" s="39">
        <f t="shared" si="60"/>
        <v>45000015</v>
      </c>
      <c r="C649" s="39">
        <v>1</v>
      </c>
      <c r="D649" s="39"/>
      <c r="E649" s="39"/>
      <c r="F649" s="39"/>
      <c r="G649" s="39">
        <v>1</v>
      </c>
      <c r="H649" s="39">
        <v>45000015</v>
      </c>
      <c r="I649" s="21" t="s">
        <v>184</v>
      </c>
      <c r="J649" s="39">
        <v>13</v>
      </c>
      <c r="K649" s="46">
        <v>1400265</v>
      </c>
      <c r="L649" s="39">
        <f t="shared" si="59"/>
        <v>5</v>
      </c>
      <c r="M649" s="39" t="s">
        <v>905</v>
      </c>
      <c r="N649" s="39" t="s">
        <v>559</v>
      </c>
      <c r="O649" s="39" t="s">
        <v>624</v>
      </c>
    </row>
    <row r="650" spans="2:15" x14ac:dyDescent="0.2">
      <c r="B650" s="39">
        <f t="shared" si="60"/>
        <v>45000016</v>
      </c>
      <c r="C650" s="39">
        <v>1</v>
      </c>
      <c r="D650" s="39"/>
      <c r="E650" s="39"/>
      <c r="F650" s="39"/>
      <c r="G650" s="39">
        <v>1</v>
      </c>
      <c r="H650" s="39">
        <v>45000016</v>
      </c>
      <c r="I650" s="21" t="s">
        <v>184</v>
      </c>
      <c r="J650" s="39">
        <v>13</v>
      </c>
      <c r="K650" s="46">
        <v>1400266</v>
      </c>
      <c r="L650" s="39">
        <f t="shared" si="59"/>
        <v>5</v>
      </c>
      <c r="M650" s="39" t="s">
        <v>906</v>
      </c>
      <c r="N650" s="39" t="s">
        <v>560</v>
      </c>
      <c r="O650" s="39" t="s">
        <v>625</v>
      </c>
    </row>
    <row r="651" spans="2:15" x14ac:dyDescent="0.2">
      <c r="B651" s="39">
        <f t="shared" si="60"/>
        <v>45000017</v>
      </c>
      <c r="C651" s="39">
        <v>1</v>
      </c>
      <c r="D651" s="39"/>
      <c r="E651" s="39"/>
      <c r="F651" s="39"/>
      <c r="G651" s="39">
        <v>1</v>
      </c>
      <c r="H651" s="39">
        <v>45000017</v>
      </c>
      <c r="I651" s="21" t="s">
        <v>184</v>
      </c>
      <c r="J651" s="39">
        <v>13</v>
      </c>
      <c r="K651" s="46">
        <v>1400330</v>
      </c>
      <c r="L651" s="39">
        <f t="shared" si="59"/>
        <v>5</v>
      </c>
      <c r="M651" s="39" t="s">
        <v>736</v>
      </c>
      <c r="N651" s="39" t="s">
        <v>737</v>
      </c>
      <c r="O651" s="39" t="s">
        <v>736</v>
      </c>
    </row>
    <row r="652" spans="2:15" ht="16.5" customHeight="1" x14ac:dyDescent="0.2">
      <c r="B652" s="42">
        <f t="shared" si="60"/>
        <v>45000018</v>
      </c>
      <c r="C652" s="39">
        <v>1</v>
      </c>
      <c r="D652" s="39"/>
      <c r="E652" s="39"/>
      <c r="F652" s="39"/>
      <c r="G652" s="39">
        <v>1</v>
      </c>
      <c r="H652" s="42">
        <v>45000018</v>
      </c>
      <c r="I652" s="36" t="s">
        <v>184</v>
      </c>
      <c r="J652" s="42">
        <v>13</v>
      </c>
      <c r="K652" s="159">
        <v>1400362</v>
      </c>
      <c r="L652" s="42">
        <f t="shared" si="59"/>
        <v>5</v>
      </c>
      <c r="M652" s="42" t="s">
        <v>2219</v>
      </c>
      <c r="N652" s="42" t="s">
        <v>975</v>
      </c>
      <c r="O652" s="42" t="s">
        <v>974</v>
      </c>
    </row>
    <row r="653" spans="2:15" ht="16.5" customHeight="1" x14ac:dyDescent="0.3">
      <c r="B653" s="39">
        <f t="shared" si="60"/>
        <v>45000019</v>
      </c>
      <c r="C653" s="39">
        <v>1</v>
      </c>
      <c r="D653" s="39"/>
      <c r="E653" s="39"/>
      <c r="F653" s="39"/>
      <c r="G653" s="39">
        <v>1</v>
      </c>
      <c r="H653" s="39">
        <v>45000019</v>
      </c>
      <c r="I653" s="39" t="s">
        <v>187</v>
      </c>
      <c r="J653" s="39">
        <v>21</v>
      </c>
      <c r="K653" s="46">
        <v>1400421</v>
      </c>
      <c r="L653" s="39">
        <f t="shared" si="59"/>
        <v>21</v>
      </c>
      <c r="M653" s="39" t="s">
        <v>2220</v>
      </c>
      <c r="N653" s="39" t="s">
        <v>1063</v>
      </c>
      <c r="O653" s="39"/>
    </row>
    <row r="654" spans="2:15" x14ac:dyDescent="0.2">
      <c r="B654" s="39">
        <f t="shared" si="60"/>
        <v>45000020</v>
      </c>
      <c r="C654" s="39">
        <v>1</v>
      </c>
      <c r="D654" s="39"/>
      <c r="E654" s="39"/>
      <c r="F654" s="39"/>
      <c r="G654" s="39">
        <v>1</v>
      </c>
      <c r="H654" s="39">
        <v>45000020</v>
      </c>
      <c r="I654" s="21" t="s">
        <v>184</v>
      </c>
      <c r="J654" s="39">
        <v>13</v>
      </c>
      <c r="K654" s="46">
        <v>1400267</v>
      </c>
      <c r="L654" s="39">
        <f t="shared" si="59"/>
        <v>5</v>
      </c>
      <c r="M654" s="39" t="s">
        <v>907</v>
      </c>
      <c r="N654" s="39" t="s">
        <v>561</v>
      </c>
      <c r="O654" s="39" t="s">
        <v>626</v>
      </c>
    </row>
    <row r="655" spans="2:15" x14ac:dyDescent="0.2">
      <c r="B655" s="39">
        <f t="shared" si="60"/>
        <v>45000021</v>
      </c>
      <c r="C655" s="39">
        <v>1</v>
      </c>
      <c r="D655" s="39"/>
      <c r="E655" s="39"/>
      <c r="F655" s="39"/>
      <c r="G655" s="39">
        <v>1</v>
      </c>
      <c r="H655" s="39">
        <v>45000021</v>
      </c>
      <c r="I655" s="21" t="s">
        <v>184</v>
      </c>
      <c r="J655" s="39">
        <v>13</v>
      </c>
      <c r="K655" s="46">
        <v>1400268</v>
      </c>
      <c r="L655" s="39">
        <f t="shared" si="59"/>
        <v>5</v>
      </c>
      <c r="M655" s="39" t="s">
        <v>908</v>
      </c>
      <c r="N655" s="39" t="s">
        <v>562</v>
      </c>
      <c r="O655" s="39" t="s">
        <v>627</v>
      </c>
    </row>
    <row r="656" spans="2:15" x14ac:dyDescent="0.2">
      <c r="B656" s="39">
        <f t="shared" si="60"/>
        <v>45000022</v>
      </c>
      <c r="C656" s="39">
        <v>1</v>
      </c>
      <c r="D656" s="39"/>
      <c r="E656" s="39"/>
      <c r="F656" s="39"/>
      <c r="G656" s="39">
        <v>1</v>
      </c>
      <c r="H656" s="39">
        <v>45000022</v>
      </c>
      <c r="I656" s="21" t="s">
        <v>184</v>
      </c>
      <c r="J656" s="39">
        <v>13</v>
      </c>
      <c r="K656" s="46">
        <v>1400269</v>
      </c>
      <c r="L656" s="39">
        <f t="shared" si="59"/>
        <v>5</v>
      </c>
      <c r="M656" s="39" t="s">
        <v>909</v>
      </c>
      <c r="N656" s="39" t="s">
        <v>563</v>
      </c>
      <c r="O656" s="39" t="s">
        <v>628</v>
      </c>
    </row>
    <row r="657" spans="2:15" x14ac:dyDescent="0.2">
      <c r="B657" s="39">
        <f t="shared" si="60"/>
        <v>45000023</v>
      </c>
      <c r="C657" s="39">
        <v>1</v>
      </c>
      <c r="D657" s="39"/>
      <c r="E657" s="39"/>
      <c r="F657" s="39"/>
      <c r="G657" s="39">
        <v>1</v>
      </c>
      <c r="H657" s="39">
        <v>45000023</v>
      </c>
      <c r="I657" s="21" t="s">
        <v>184</v>
      </c>
      <c r="J657" s="39">
        <v>13</v>
      </c>
      <c r="K657" s="46">
        <v>1400270</v>
      </c>
      <c r="L657" s="39">
        <f t="shared" si="59"/>
        <v>5</v>
      </c>
      <c r="M657" s="39" t="s">
        <v>910</v>
      </c>
      <c r="N657" s="39" t="s">
        <v>564</v>
      </c>
      <c r="O657" s="39" t="s">
        <v>629</v>
      </c>
    </row>
    <row r="658" spans="2:15" x14ac:dyDescent="0.2">
      <c r="B658" s="39">
        <f t="shared" si="60"/>
        <v>45000024</v>
      </c>
      <c r="C658" s="39">
        <v>1</v>
      </c>
      <c r="D658" s="39"/>
      <c r="E658" s="39"/>
      <c r="F658" s="39"/>
      <c r="G658" s="39">
        <v>1</v>
      </c>
      <c r="H658" s="39">
        <v>45000024</v>
      </c>
      <c r="I658" s="21" t="s">
        <v>184</v>
      </c>
      <c r="J658" s="39">
        <v>13</v>
      </c>
      <c r="K658" s="46">
        <v>1400271</v>
      </c>
      <c r="L658" s="39">
        <f t="shared" si="59"/>
        <v>5</v>
      </c>
      <c r="M658" s="39" t="s">
        <v>911</v>
      </c>
      <c r="N658" s="39" t="s">
        <v>565</v>
      </c>
      <c r="O658" s="39" t="s">
        <v>630</v>
      </c>
    </row>
    <row r="659" spans="2:15" x14ac:dyDescent="0.2">
      <c r="B659" s="39">
        <f t="shared" si="60"/>
        <v>45000025</v>
      </c>
      <c r="C659" s="39">
        <v>1</v>
      </c>
      <c r="D659" s="39"/>
      <c r="E659" s="39"/>
      <c r="F659" s="39"/>
      <c r="G659" s="39">
        <v>1</v>
      </c>
      <c r="H659" s="39">
        <v>45000025</v>
      </c>
      <c r="I659" s="21" t="s">
        <v>184</v>
      </c>
      <c r="J659" s="39">
        <v>13</v>
      </c>
      <c r="K659" s="46">
        <v>1400272</v>
      </c>
      <c r="L659" s="39">
        <f t="shared" si="59"/>
        <v>5</v>
      </c>
      <c r="M659" s="39" t="s">
        <v>912</v>
      </c>
      <c r="N659" s="39" t="s">
        <v>566</v>
      </c>
      <c r="O659" s="39" t="s">
        <v>631</v>
      </c>
    </row>
    <row r="660" spans="2:15" x14ac:dyDescent="0.2">
      <c r="B660" s="39">
        <f t="shared" si="60"/>
        <v>45000026</v>
      </c>
      <c r="C660" s="39">
        <v>1</v>
      </c>
      <c r="D660" s="39"/>
      <c r="E660" s="39"/>
      <c r="F660" s="39"/>
      <c r="G660" s="39">
        <v>1</v>
      </c>
      <c r="H660" s="39">
        <v>45000026</v>
      </c>
      <c r="I660" s="21" t="s">
        <v>184</v>
      </c>
      <c r="J660" s="39">
        <v>13</v>
      </c>
      <c r="K660" s="46">
        <v>1400273</v>
      </c>
      <c r="L660" s="39">
        <f t="shared" ref="L660:L678" si="61">VLOOKUP(I660,error,2,FALSE)</f>
        <v>5</v>
      </c>
      <c r="M660" s="39" t="s">
        <v>2221</v>
      </c>
      <c r="N660" s="39" t="s">
        <v>567</v>
      </c>
      <c r="O660" s="39" t="s">
        <v>632</v>
      </c>
    </row>
    <row r="661" spans="2:15" ht="16.5" customHeight="1" x14ac:dyDescent="0.2">
      <c r="B661" s="39">
        <f t="shared" si="60"/>
        <v>45000027</v>
      </c>
      <c r="C661" s="39">
        <v>1</v>
      </c>
      <c r="D661" s="39"/>
      <c r="E661" s="39"/>
      <c r="F661" s="39"/>
      <c r="G661" s="39">
        <v>1</v>
      </c>
      <c r="H661" s="39">
        <v>45000027</v>
      </c>
      <c r="I661" s="21" t="s">
        <v>184</v>
      </c>
      <c r="J661" s="39">
        <v>13</v>
      </c>
      <c r="K661" s="46">
        <v>1400331</v>
      </c>
      <c r="L661" s="39">
        <f t="shared" si="61"/>
        <v>5</v>
      </c>
      <c r="M661" s="39" t="s">
        <v>913</v>
      </c>
      <c r="N661" s="39" t="s">
        <v>729</v>
      </c>
      <c r="O661" s="39" t="s">
        <v>727</v>
      </c>
    </row>
    <row r="662" spans="2:15" ht="16.5" customHeight="1" x14ac:dyDescent="0.3">
      <c r="B662" s="39">
        <f t="shared" si="60"/>
        <v>45000028</v>
      </c>
      <c r="C662" s="39">
        <v>1</v>
      </c>
      <c r="D662" s="39"/>
      <c r="E662" s="39"/>
      <c r="F662" s="39"/>
      <c r="G662" s="39">
        <v>1</v>
      </c>
      <c r="H662" s="39">
        <v>45000028</v>
      </c>
      <c r="I662" s="39" t="s">
        <v>187</v>
      </c>
      <c r="J662" s="39">
        <v>21</v>
      </c>
      <c r="K662" s="46">
        <v>1400422</v>
      </c>
      <c r="L662" s="39">
        <f t="shared" si="61"/>
        <v>21</v>
      </c>
      <c r="M662" s="39" t="s">
        <v>2222</v>
      </c>
      <c r="N662" s="39" t="s">
        <v>1064</v>
      </c>
      <c r="O662" s="39"/>
    </row>
    <row r="663" spans="2:15" ht="16.5" customHeight="1" x14ac:dyDescent="0.3">
      <c r="B663" s="39">
        <f t="shared" si="60"/>
        <v>45000029</v>
      </c>
      <c r="C663" s="39">
        <v>1</v>
      </c>
      <c r="D663" s="39"/>
      <c r="E663" s="39"/>
      <c r="F663" s="39"/>
      <c r="G663" s="39">
        <v>1</v>
      </c>
      <c r="H663" s="39">
        <v>45000029</v>
      </c>
      <c r="I663" s="39" t="s">
        <v>187</v>
      </c>
      <c r="J663" s="39">
        <v>21</v>
      </c>
      <c r="K663" s="46">
        <v>1400423</v>
      </c>
      <c r="L663" s="39">
        <f t="shared" si="61"/>
        <v>21</v>
      </c>
      <c r="M663" s="39" t="s">
        <v>2223</v>
      </c>
      <c r="N663" s="39" t="s">
        <v>1065</v>
      </c>
      <c r="O663" s="39"/>
    </row>
    <row r="664" spans="2:15" x14ac:dyDescent="0.2">
      <c r="B664" s="39">
        <f t="shared" si="60"/>
        <v>45000030</v>
      </c>
      <c r="C664" s="39">
        <v>1</v>
      </c>
      <c r="D664" s="39"/>
      <c r="E664" s="39"/>
      <c r="F664" s="39"/>
      <c r="G664" s="39">
        <v>1</v>
      </c>
      <c r="H664" s="39">
        <v>45000030</v>
      </c>
      <c r="I664" s="21" t="s">
        <v>184</v>
      </c>
      <c r="J664" s="39">
        <v>13</v>
      </c>
      <c r="K664" s="46">
        <v>1400274</v>
      </c>
      <c r="L664" s="39">
        <f t="shared" si="61"/>
        <v>5</v>
      </c>
      <c r="M664" s="39" t="s">
        <v>914</v>
      </c>
      <c r="N664" s="39" t="s">
        <v>568</v>
      </c>
      <c r="O664" s="39" t="s">
        <v>633</v>
      </c>
    </row>
    <row r="665" spans="2:15" x14ac:dyDescent="0.2">
      <c r="B665" s="39">
        <f t="shared" si="60"/>
        <v>45000031</v>
      </c>
      <c r="C665" s="39">
        <v>1</v>
      </c>
      <c r="D665" s="39"/>
      <c r="E665" s="39"/>
      <c r="F665" s="39"/>
      <c r="G665" s="39">
        <v>1</v>
      </c>
      <c r="H665" s="39">
        <v>45000031</v>
      </c>
      <c r="I665" s="21" t="s">
        <v>184</v>
      </c>
      <c r="J665" s="39">
        <v>13</v>
      </c>
      <c r="K665" s="46">
        <v>1400275</v>
      </c>
      <c r="L665" s="39">
        <f t="shared" si="61"/>
        <v>5</v>
      </c>
      <c r="M665" s="39" t="s">
        <v>915</v>
      </c>
      <c r="N665" s="39" t="s">
        <v>569</v>
      </c>
      <c r="O665" s="39" t="s">
        <v>634</v>
      </c>
    </row>
    <row r="666" spans="2:15" x14ac:dyDescent="0.2">
      <c r="B666" s="39">
        <f t="shared" si="60"/>
        <v>45000032</v>
      </c>
      <c r="C666" s="39">
        <v>1</v>
      </c>
      <c r="D666" s="39"/>
      <c r="E666" s="39"/>
      <c r="F666" s="39"/>
      <c r="G666" s="39">
        <v>1</v>
      </c>
      <c r="H666" s="39">
        <v>45000032</v>
      </c>
      <c r="I666" s="21" t="s">
        <v>184</v>
      </c>
      <c r="J666" s="39">
        <v>13</v>
      </c>
      <c r="K666" s="46">
        <v>1400276</v>
      </c>
      <c r="L666" s="39">
        <f t="shared" si="61"/>
        <v>5</v>
      </c>
      <c r="M666" s="39" t="s">
        <v>916</v>
      </c>
      <c r="N666" s="39" t="s">
        <v>570</v>
      </c>
      <c r="O666" s="39" t="s">
        <v>635</v>
      </c>
    </row>
    <row r="667" spans="2:15" x14ac:dyDescent="0.2">
      <c r="B667" s="39">
        <f t="shared" si="60"/>
        <v>45000033</v>
      </c>
      <c r="C667" s="39">
        <v>1</v>
      </c>
      <c r="D667" s="39"/>
      <c r="E667" s="39"/>
      <c r="F667" s="39"/>
      <c r="G667" s="39">
        <v>1</v>
      </c>
      <c r="H667" s="39">
        <v>45000033</v>
      </c>
      <c r="I667" s="21" t="s">
        <v>184</v>
      </c>
      <c r="J667" s="39">
        <v>13</v>
      </c>
      <c r="K667" s="46">
        <v>1400277</v>
      </c>
      <c r="L667" s="39">
        <f t="shared" si="61"/>
        <v>5</v>
      </c>
      <c r="M667" s="39" t="s">
        <v>917</v>
      </c>
      <c r="N667" s="39" t="s">
        <v>571</v>
      </c>
      <c r="O667" s="39" t="s">
        <v>636</v>
      </c>
    </row>
    <row r="668" spans="2:15" x14ac:dyDescent="0.2">
      <c r="B668" s="39">
        <f t="shared" si="60"/>
        <v>45000034</v>
      </c>
      <c r="C668" s="39">
        <v>1</v>
      </c>
      <c r="D668" s="39"/>
      <c r="E668" s="39"/>
      <c r="F668" s="39"/>
      <c r="G668" s="39">
        <v>1</v>
      </c>
      <c r="H668" s="39">
        <v>45000034</v>
      </c>
      <c r="I668" s="21" t="s">
        <v>184</v>
      </c>
      <c r="J668" s="39">
        <v>13</v>
      </c>
      <c r="K668" s="46">
        <v>1400332</v>
      </c>
      <c r="L668" s="39">
        <f t="shared" si="61"/>
        <v>5</v>
      </c>
      <c r="M668" s="39" t="s">
        <v>918</v>
      </c>
      <c r="N668" s="39" t="s">
        <v>730</v>
      </c>
      <c r="O668" s="39" t="s">
        <v>726</v>
      </c>
    </row>
    <row r="669" spans="2:15" ht="16.5" customHeight="1" x14ac:dyDescent="0.2">
      <c r="B669" s="39">
        <f t="shared" si="60"/>
        <v>45000035</v>
      </c>
      <c r="C669" s="39">
        <v>1</v>
      </c>
      <c r="D669" s="39"/>
      <c r="E669" s="39"/>
      <c r="F669" s="39"/>
      <c r="G669" s="39">
        <v>1</v>
      </c>
      <c r="H669" s="39">
        <v>45000035</v>
      </c>
      <c r="I669" s="21" t="s">
        <v>184</v>
      </c>
      <c r="J669" s="39">
        <v>13</v>
      </c>
      <c r="K669" s="46">
        <v>1400333</v>
      </c>
      <c r="L669" s="39">
        <f t="shared" si="61"/>
        <v>5</v>
      </c>
      <c r="M669" s="39" t="s">
        <v>919</v>
      </c>
      <c r="N669" s="39" t="s">
        <v>731</v>
      </c>
      <c r="O669" s="39" t="s">
        <v>728</v>
      </c>
    </row>
    <row r="670" spans="2:15" ht="16.5" customHeight="1" x14ac:dyDescent="0.3">
      <c r="B670" s="39">
        <f t="shared" si="60"/>
        <v>45000038</v>
      </c>
      <c r="C670" s="39">
        <v>1</v>
      </c>
      <c r="D670" s="39"/>
      <c r="E670" s="39"/>
      <c r="F670" s="39"/>
      <c r="G670" s="39">
        <v>1</v>
      </c>
      <c r="H670" s="39">
        <v>45000038</v>
      </c>
      <c r="I670" s="39" t="s">
        <v>187</v>
      </c>
      <c r="J670" s="39">
        <v>21</v>
      </c>
      <c r="K670" s="46">
        <v>1400427</v>
      </c>
      <c r="L670" s="39">
        <f t="shared" si="61"/>
        <v>21</v>
      </c>
      <c r="M670" s="39" t="s">
        <v>2224</v>
      </c>
      <c r="N670" s="39" t="s">
        <v>1069</v>
      </c>
      <c r="O670" s="39"/>
    </row>
    <row r="671" spans="2:15" ht="16.5" customHeight="1" x14ac:dyDescent="0.3">
      <c r="B671" s="39">
        <f t="shared" si="60"/>
        <v>45000040</v>
      </c>
      <c r="C671" s="39">
        <v>1</v>
      </c>
      <c r="D671" s="39"/>
      <c r="E671" s="39"/>
      <c r="F671" s="39"/>
      <c r="G671" s="39">
        <v>1</v>
      </c>
      <c r="H671" s="39">
        <v>45000040</v>
      </c>
      <c r="I671" s="39" t="s">
        <v>187</v>
      </c>
      <c r="J671" s="39">
        <v>21</v>
      </c>
      <c r="K671" s="46">
        <v>1400429</v>
      </c>
      <c r="L671" s="39">
        <f t="shared" si="61"/>
        <v>21</v>
      </c>
      <c r="M671" s="39" t="s">
        <v>2225</v>
      </c>
      <c r="N671" s="39" t="s">
        <v>1071</v>
      </c>
      <c r="O671" s="39"/>
    </row>
    <row r="672" spans="2:15" ht="16.5" customHeight="1" x14ac:dyDescent="0.3">
      <c r="B672" s="39">
        <f t="shared" si="60"/>
        <v>45000041</v>
      </c>
      <c r="C672" s="39">
        <v>1</v>
      </c>
      <c r="D672" s="39"/>
      <c r="E672" s="39"/>
      <c r="F672" s="39"/>
      <c r="G672" s="39">
        <v>1</v>
      </c>
      <c r="H672" s="39">
        <v>45000041</v>
      </c>
      <c r="I672" s="39" t="s">
        <v>187</v>
      </c>
      <c r="J672" s="39">
        <v>21</v>
      </c>
      <c r="K672" s="46">
        <v>1400430</v>
      </c>
      <c r="L672" s="39">
        <f t="shared" si="61"/>
        <v>21</v>
      </c>
      <c r="M672" s="39" t="s">
        <v>2226</v>
      </c>
      <c r="N672" s="39" t="s">
        <v>1072</v>
      </c>
      <c r="O672" s="39"/>
    </row>
    <row r="673" spans="2:15" ht="16.5" customHeight="1" x14ac:dyDescent="0.3">
      <c r="B673" s="39">
        <f t="shared" si="60"/>
        <v>45000042</v>
      </c>
      <c r="C673" s="39">
        <v>1</v>
      </c>
      <c r="D673" s="39"/>
      <c r="E673" s="39"/>
      <c r="F673" s="39"/>
      <c r="G673" s="39">
        <v>1</v>
      </c>
      <c r="H673" s="39">
        <v>45000042</v>
      </c>
      <c r="I673" s="39" t="s">
        <v>187</v>
      </c>
      <c r="J673" s="39">
        <v>21</v>
      </c>
      <c r="K673" s="46">
        <v>1400431</v>
      </c>
      <c r="L673" s="39">
        <f t="shared" si="61"/>
        <v>21</v>
      </c>
      <c r="M673" s="39" t="s">
        <v>2227</v>
      </c>
      <c r="N673" s="39" t="s">
        <v>1073</v>
      </c>
      <c r="O673" s="39"/>
    </row>
    <row r="674" spans="2:15" ht="16.5" customHeight="1" x14ac:dyDescent="0.3">
      <c r="B674" s="39">
        <f t="shared" si="60"/>
        <v>45000043</v>
      </c>
      <c r="C674" s="39">
        <v>1</v>
      </c>
      <c r="D674" s="39"/>
      <c r="E674" s="39"/>
      <c r="F674" s="39"/>
      <c r="G674" s="39">
        <v>1</v>
      </c>
      <c r="H674" s="39">
        <v>45000043</v>
      </c>
      <c r="I674" s="39" t="s">
        <v>187</v>
      </c>
      <c r="J674" s="39">
        <v>21</v>
      </c>
      <c r="K674" s="46">
        <v>1400432</v>
      </c>
      <c r="L674" s="39">
        <f t="shared" si="61"/>
        <v>21</v>
      </c>
      <c r="M674" s="39" t="s">
        <v>2228</v>
      </c>
      <c r="N674" s="39" t="s">
        <v>1074</v>
      </c>
      <c r="O674" s="39"/>
    </row>
    <row r="675" spans="2:15" ht="16.5" customHeight="1" x14ac:dyDescent="0.3">
      <c r="B675" s="42">
        <f t="shared" si="60"/>
        <v>45000046</v>
      </c>
      <c r="C675" s="39">
        <v>1</v>
      </c>
      <c r="D675" s="39"/>
      <c r="E675" s="39"/>
      <c r="F675" s="39"/>
      <c r="G675" s="39">
        <v>1</v>
      </c>
      <c r="H675" s="42">
        <v>45000046</v>
      </c>
      <c r="I675" s="42" t="s">
        <v>187</v>
      </c>
      <c r="J675" s="42">
        <v>21</v>
      </c>
      <c r="K675" s="159">
        <v>1400461</v>
      </c>
      <c r="L675" s="42">
        <f t="shared" si="61"/>
        <v>21</v>
      </c>
      <c r="M675" s="42" t="s">
        <v>2229</v>
      </c>
      <c r="N675" s="42" t="s">
        <v>1190</v>
      </c>
      <c r="O675" s="39" t="s">
        <v>1304</v>
      </c>
    </row>
    <row r="676" spans="2:15" ht="16.5" customHeight="1" x14ac:dyDescent="0.3">
      <c r="B676" s="42">
        <f t="shared" ref="B676:B679" si="62">H676</f>
        <v>45000047</v>
      </c>
      <c r="C676" s="39">
        <v>1</v>
      </c>
      <c r="D676" s="39"/>
      <c r="E676" s="39"/>
      <c r="F676" s="39"/>
      <c r="G676" s="39">
        <v>1</v>
      </c>
      <c r="H676" s="42">
        <v>45000047</v>
      </c>
      <c r="I676" s="42" t="s">
        <v>187</v>
      </c>
      <c r="J676" s="42">
        <v>21</v>
      </c>
      <c r="K676" s="159">
        <v>1400462</v>
      </c>
      <c r="L676" s="42">
        <f t="shared" si="61"/>
        <v>21</v>
      </c>
      <c r="M676" s="42" t="s">
        <v>2230</v>
      </c>
      <c r="N676" s="42" t="s">
        <v>1191</v>
      </c>
      <c r="O676" s="39" t="s">
        <v>1307</v>
      </c>
    </row>
    <row r="677" spans="2:15" ht="16.5" customHeight="1" x14ac:dyDescent="0.3">
      <c r="B677" s="39">
        <f t="shared" si="62"/>
        <v>45000049</v>
      </c>
      <c r="C677" s="39">
        <v>1</v>
      </c>
      <c r="D677" s="39"/>
      <c r="E677" s="39"/>
      <c r="F677" s="39"/>
      <c r="G677" s="39">
        <v>1</v>
      </c>
      <c r="H677" s="39">
        <v>45000049</v>
      </c>
      <c r="I677" s="39" t="s">
        <v>186</v>
      </c>
      <c r="J677" s="39">
        <v>21</v>
      </c>
      <c r="K677" s="46">
        <v>1400479</v>
      </c>
      <c r="L677" s="39">
        <f t="shared" si="61"/>
        <v>21</v>
      </c>
      <c r="M677" s="39" t="s">
        <v>2231</v>
      </c>
      <c r="N677" s="39" t="s">
        <v>1256</v>
      </c>
      <c r="O677" s="39"/>
    </row>
    <row r="678" spans="2:15" ht="16.5" customHeight="1" x14ac:dyDescent="0.3">
      <c r="B678" s="39">
        <f t="shared" si="62"/>
        <v>45000050</v>
      </c>
      <c r="C678" s="39">
        <v>1</v>
      </c>
      <c r="D678" s="39"/>
      <c r="E678" s="39"/>
      <c r="F678" s="39"/>
      <c r="G678" s="39">
        <v>1</v>
      </c>
      <c r="H678" s="39">
        <v>45000050</v>
      </c>
      <c r="I678" s="39" t="s">
        <v>186</v>
      </c>
      <c r="J678" s="39">
        <v>21</v>
      </c>
      <c r="K678" s="46">
        <v>1400480</v>
      </c>
      <c r="L678" s="39">
        <f t="shared" si="61"/>
        <v>21</v>
      </c>
      <c r="M678" s="39" t="s">
        <v>2232</v>
      </c>
      <c r="N678" s="39" t="s">
        <v>1257</v>
      </c>
      <c r="O678" s="39"/>
    </row>
    <row r="679" spans="2:15" ht="16.5" customHeight="1" x14ac:dyDescent="0.3">
      <c r="B679" s="39">
        <f t="shared" si="62"/>
        <v>45000051</v>
      </c>
      <c r="C679" s="39">
        <v>1</v>
      </c>
      <c r="D679" s="39"/>
      <c r="E679" s="39"/>
      <c r="F679" s="39"/>
      <c r="G679" s="39">
        <v>1</v>
      </c>
      <c r="H679" s="39">
        <v>45000051</v>
      </c>
      <c r="I679" s="39" t="s">
        <v>186</v>
      </c>
      <c r="J679" s="39">
        <v>21</v>
      </c>
      <c r="K679" s="105">
        <v>1400571</v>
      </c>
      <c r="L679" s="39">
        <v>21</v>
      </c>
      <c r="M679" s="39" t="s">
        <v>2233</v>
      </c>
      <c r="N679" s="39" t="s">
        <v>1808</v>
      </c>
      <c r="O679" s="39"/>
    </row>
    <row r="680" spans="2:15" ht="16.5" customHeight="1" thickBot="1" x14ac:dyDescent="0.35">
      <c r="B680" s="44">
        <v>45000053</v>
      </c>
      <c r="C680" s="39">
        <v>1</v>
      </c>
      <c r="D680" s="39"/>
      <c r="E680" s="39"/>
      <c r="F680" s="39"/>
      <c r="G680" s="39">
        <v>1</v>
      </c>
      <c r="H680" s="44">
        <v>45000053</v>
      </c>
      <c r="I680" s="44" t="s">
        <v>186</v>
      </c>
      <c r="J680" s="44">
        <v>21</v>
      </c>
      <c r="K680" s="54">
        <v>1400594</v>
      </c>
      <c r="L680" s="44">
        <v>21</v>
      </c>
      <c r="M680" s="44" t="s">
        <v>2431</v>
      </c>
      <c r="N680" s="44" t="s">
        <v>2432</v>
      </c>
      <c r="O680" s="44"/>
    </row>
    <row r="681" spans="2:15" ht="16.5" customHeight="1" x14ac:dyDescent="0.3">
      <c r="B681" s="117">
        <f>H681</f>
        <v>45000054</v>
      </c>
      <c r="C681" s="39">
        <v>1</v>
      </c>
      <c r="D681" s="39"/>
      <c r="E681" s="39"/>
      <c r="F681" s="39"/>
      <c r="G681" s="39">
        <v>1</v>
      </c>
      <c r="H681" s="88">
        <v>45000054</v>
      </c>
      <c r="I681" s="88" t="s">
        <v>186</v>
      </c>
      <c r="J681" s="88">
        <v>21</v>
      </c>
      <c r="K681" s="118">
        <v>2100071</v>
      </c>
      <c r="L681" s="88">
        <v>21</v>
      </c>
      <c r="M681" s="88" t="s">
        <v>2580</v>
      </c>
      <c r="N681" s="88" t="s">
        <v>2581</v>
      </c>
      <c r="O681" s="119" t="s">
        <v>2582</v>
      </c>
    </row>
    <row r="682" spans="2:15" ht="16.5" customHeight="1" thickBot="1" x14ac:dyDescent="0.35">
      <c r="B682" s="120">
        <f>H682</f>
        <v>45000055</v>
      </c>
      <c r="C682" s="39">
        <v>1</v>
      </c>
      <c r="D682" s="39"/>
      <c r="E682" s="39"/>
      <c r="F682" s="39"/>
      <c r="G682" s="39">
        <v>1</v>
      </c>
      <c r="H682" s="89">
        <v>45000055</v>
      </c>
      <c r="I682" s="89" t="s">
        <v>186</v>
      </c>
      <c r="J682" s="89">
        <v>21</v>
      </c>
      <c r="K682" s="121">
        <v>2100072</v>
      </c>
      <c r="L682" s="89">
        <v>21</v>
      </c>
      <c r="M682" s="89" t="s">
        <v>2583</v>
      </c>
      <c r="N682" s="89" t="s">
        <v>2584</v>
      </c>
      <c r="O682" s="122" t="s">
        <v>2582</v>
      </c>
    </row>
    <row r="683" spans="2:15" x14ac:dyDescent="0.2">
      <c r="B683" s="48">
        <f t="shared" ref="B683:B720" si="63">H683</f>
        <v>45011001</v>
      </c>
      <c r="C683" s="39">
        <v>1</v>
      </c>
      <c r="D683" s="39"/>
      <c r="E683" s="39"/>
      <c r="F683" s="39"/>
      <c r="G683" s="39">
        <v>1</v>
      </c>
      <c r="H683" s="48">
        <v>45011001</v>
      </c>
      <c r="I683" s="64" t="s">
        <v>184</v>
      </c>
      <c r="J683" s="48">
        <v>13</v>
      </c>
      <c r="K683" s="106">
        <v>1400334</v>
      </c>
      <c r="L683" s="48">
        <f t="shared" ref="L683:L730" si="64">VLOOKUP(I683,error,2,FALSE)</f>
        <v>5</v>
      </c>
      <c r="M683" s="48" t="s">
        <v>920</v>
      </c>
      <c r="N683" s="48" t="s">
        <v>732</v>
      </c>
      <c r="O683" s="48" t="s">
        <v>734</v>
      </c>
    </row>
    <row r="684" spans="2:15" x14ac:dyDescent="0.2">
      <c r="B684" s="39">
        <f t="shared" si="63"/>
        <v>45011002</v>
      </c>
      <c r="C684" s="39">
        <v>1</v>
      </c>
      <c r="D684" s="39"/>
      <c r="E684" s="39"/>
      <c r="F684" s="39"/>
      <c r="G684" s="39">
        <v>1</v>
      </c>
      <c r="H684" s="39">
        <v>45011002</v>
      </c>
      <c r="I684" s="21" t="s">
        <v>184</v>
      </c>
      <c r="J684" s="39">
        <v>13</v>
      </c>
      <c r="K684" s="46">
        <v>1400335</v>
      </c>
      <c r="L684" s="39">
        <f t="shared" si="64"/>
        <v>5</v>
      </c>
      <c r="M684" s="39" t="s">
        <v>2234</v>
      </c>
      <c r="N684" s="39" t="s">
        <v>733</v>
      </c>
      <c r="O684" s="39" t="s">
        <v>735</v>
      </c>
    </row>
    <row r="685" spans="2:15" x14ac:dyDescent="0.2">
      <c r="B685" s="39">
        <f t="shared" si="63"/>
        <v>45011003</v>
      </c>
      <c r="C685" s="39">
        <v>1</v>
      </c>
      <c r="D685" s="39"/>
      <c r="E685" s="39"/>
      <c r="F685" s="39"/>
      <c r="G685" s="39">
        <v>1</v>
      </c>
      <c r="H685" s="39">
        <v>45011003</v>
      </c>
      <c r="I685" s="21" t="s">
        <v>184</v>
      </c>
      <c r="J685" s="39">
        <v>13</v>
      </c>
      <c r="K685" s="46">
        <v>1400355</v>
      </c>
      <c r="L685" s="39">
        <f t="shared" si="64"/>
        <v>5</v>
      </c>
      <c r="M685" s="39" t="s">
        <v>960</v>
      </c>
      <c r="N685" s="39" t="s">
        <v>959</v>
      </c>
      <c r="O685" s="39" t="s">
        <v>960</v>
      </c>
    </row>
    <row r="686" spans="2:15" x14ac:dyDescent="0.2">
      <c r="B686" s="39">
        <f t="shared" si="63"/>
        <v>45011004</v>
      </c>
      <c r="C686" s="39">
        <v>1</v>
      </c>
      <c r="D686" s="39"/>
      <c r="E686" s="39"/>
      <c r="F686" s="39"/>
      <c r="G686" s="39">
        <v>1</v>
      </c>
      <c r="H686" s="39">
        <v>45011004</v>
      </c>
      <c r="I686" s="21" t="s">
        <v>184</v>
      </c>
      <c r="J686" s="39">
        <v>13</v>
      </c>
      <c r="K686" s="46">
        <v>1400356</v>
      </c>
      <c r="L686" s="39">
        <f t="shared" si="64"/>
        <v>5</v>
      </c>
      <c r="M686" s="39" t="s">
        <v>961</v>
      </c>
      <c r="N686" s="39" t="s">
        <v>963</v>
      </c>
      <c r="O686" s="39" t="s">
        <v>961</v>
      </c>
    </row>
    <row r="687" spans="2:15" x14ac:dyDescent="0.2">
      <c r="B687" s="39">
        <f t="shared" si="63"/>
        <v>45011005</v>
      </c>
      <c r="C687" s="39">
        <v>1</v>
      </c>
      <c r="D687" s="39"/>
      <c r="E687" s="39"/>
      <c r="F687" s="39"/>
      <c r="G687" s="39">
        <v>1</v>
      </c>
      <c r="H687" s="39">
        <v>45011005</v>
      </c>
      <c r="I687" s="21" t="s">
        <v>184</v>
      </c>
      <c r="J687" s="39">
        <v>13</v>
      </c>
      <c r="K687" s="46">
        <v>1400357</v>
      </c>
      <c r="L687" s="39">
        <f t="shared" si="64"/>
        <v>5</v>
      </c>
      <c r="M687" s="39" t="s">
        <v>962</v>
      </c>
      <c r="N687" s="39" t="s">
        <v>964</v>
      </c>
      <c r="O687" s="39" t="s">
        <v>962</v>
      </c>
    </row>
    <row r="688" spans="2:15" ht="12.75" thickBot="1" x14ac:dyDescent="0.25">
      <c r="B688" s="44">
        <v>45011006</v>
      </c>
      <c r="C688" s="44">
        <v>1</v>
      </c>
      <c r="D688" s="44"/>
      <c r="E688" s="44"/>
      <c r="F688" s="44"/>
      <c r="G688" s="44">
        <v>1</v>
      </c>
      <c r="H688" s="44">
        <v>45011006</v>
      </c>
      <c r="I688" s="63" t="s">
        <v>184</v>
      </c>
      <c r="J688" s="44">
        <v>13</v>
      </c>
      <c r="K688" s="54">
        <v>1400602</v>
      </c>
      <c r="L688" s="44">
        <v>5</v>
      </c>
      <c r="M688" s="44" t="s">
        <v>2572</v>
      </c>
      <c r="N688" s="44" t="s">
        <v>2573</v>
      </c>
      <c r="O688" s="44"/>
    </row>
    <row r="689" spans="2:15" ht="12.75" thickBot="1" x14ac:dyDescent="0.25">
      <c r="B689" s="90">
        <f>H689</f>
        <v>45011007</v>
      </c>
      <c r="C689" s="91">
        <v>1</v>
      </c>
      <c r="D689" s="91" t="s">
        <v>3399</v>
      </c>
      <c r="E689" s="91">
        <v>0</v>
      </c>
      <c r="F689" s="91" t="s">
        <v>3451</v>
      </c>
      <c r="G689" s="91">
        <v>1</v>
      </c>
      <c r="H689" s="91">
        <v>45011007</v>
      </c>
      <c r="I689" s="170" t="s">
        <v>186</v>
      </c>
      <c r="J689" s="91">
        <v>21</v>
      </c>
      <c r="K689" s="92">
        <v>2100241</v>
      </c>
      <c r="L689" s="91">
        <v>21</v>
      </c>
      <c r="M689" s="91" t="s">
        <v>3467</v>
      </c>
      <c r="N689" s="91" t="s">
        <v>3468</v>
      </c>
      <c r="O689" s="187" t="s">
        <v>3469</v>
      </c>
    </row>
    <row r="690" spans="2:15" x14ac:dyDescent="0.2">
      <c r="B690" s="48">
        <f t="shared" si="63"/>
        <v>45050000</v>
      </c>
      <c r="C690" s="48">
        <v>1</v>
      </c>
      <c r="D690" s="48"/>
      <c r="E690" s="48"/>
      <c r="F690" s="48"/>
      <c r="G690" s="48">
        <v>1</v>
      </c>
      <c r="H690" s="48">
        <v>45050000</v>
      </c>
      <c r="I690" s="64" t="s">
        <v>184</v>
      </c>
      <c r="J690" s="48">
        <v>13</v>
      </c>
      <c r="K690" s="106">
        <v>1400278</v>
      </c>
      <c r="L690" s="48">
        <f t="shared" si="64"/>
        <v>5</v>
      </c>
      <c r="M690" s="48" t="s">
        <v>921</v>
      </c>
      <c r="N690" s="48" t="s">
        <v>572</v>
      </c>
      <c r="O690" s="48" t="s">
        <v>637</v>
      </c>
    </row>
    <row r="691" spans="2:15" x14ac:dyDescent="0.2">
      <c r="B691" s="39">
        <f t="shared" si="63"/>
        <v>45050001</v>
      </c>
      <c r="C691" s="39">
        <v>1</v>
      </c>
      <c r="D691" s="39"/>
      <c r="E691" s="39"/>
      <c r="F691" s="39"/>
      <c r="G691" s="39">
        <v>1</v>
      </c>
      <c r="H691" s="39">
        <v>45050001</v>
      </c>
      <c r="I691" s="21" t="s">
        <v>184</v>
      </c>
      <c r="J691" s="39">
        <v>13</v>
      </c>
      <c r="K691" s="46">
        <v>1400279</v>
      </c>
      <c r="L691" s="39">
        <f t="shared" si="64"/>
        <v>5</v>
      </c>
      <c r="M691" s="39" t="s">
        <v>922</v>
      </c>
      <c r="N691" s="39" t="s">
        <v>573</v>
      </c>
      <c r="O691" s="39" t="s">
        <v>638</v>
      </c>
    </row>
    <row r="692" spans="2:15" x14ac:dyDescent="0.2">
      <c r="B692" s="39">
        <f t="shared" si="63"/>
        <v>45050002</v>
      </c>
      <c r="C692" s="39">
        <v>1</v>
      </c>
      <c r="D692" s="39"/>
      <c r="E692" s="39"/>
      <c r="F692" s="39"/>
      <c r="G692" s="39">
        <v>1</v>
      </c>
      <c r="H692" s="39">
        <v>45050002</v>
      </c>
      <c r="I692" s="21" t="s">
        <v>184</v>
      </c>
      <c r="J692" s="39">
        <v>13</v>
      </c>
      <c r="K692" s="46">
        <v>1400280</v>
      </c>
      <c r="L692" s="39">
        <f t="shared" si="64"/>
        <v>5</v>
      </c>
      <c r="M692" s="39" t="s">
        <v>923</v>
      </c>
      <c r="N692" s="39" t="s">
        <v>574</v>
      </c>
      <c r="O692" s="39" t="s">
        <v>639</v>
      </c>
    </row>
    <row r="693" spans="2:15" x14ac:dyDescent="0.2">
      <c r="B693" s="39">
        <f t="shared" si="63"/>
        <v>45050003</v>
      </c>
      <c r="C693" s="39">
        <v>1</v>
      </c>
      <c r="D693" s="39"/>
      <c r="E693" s="39"/>
      <c r="F693" s="39"/>
      <c r="G693" s="39">
        <v>1</v>
      </c>
      <c r="H693" s="39">
        <v>45050003</v>
      </c>
      <c r="I693" s="21" t="s">
        <v>185</v>
      </c>
      <c r="J693" s="39">
        <v>13</v>
      </c>
      <c r="K693" s="46">
        <v>1400281</v>
      </c>
      <c r="L693" s="39">
        <f t="shared" si="64"/>
        <v>5</v>
      </c>
      <c r="M693" s="39" t="s">
        <v>924</v>
      </c>
      <c r="N693" s="39" t="s">
        <v>679</v>
      </c>
      <c r="O693" s="39"/>
    </row>
    <row r="694" spans="2:15" ht="16.5" customHeight="1" x14ac:dyDescent="0.2">
      <c r="B694" s="39">
        <f t="shared" si="63"/>
        <v>45050004</v>
      </c>
      <c r="C694" s="39">
        <v>1</v>
      </c>
      <c r="D694" s="39"/>
      <c r="E694" s="39"/>
      <c r="F694" s="39"/>
      <c r="G694" s="39">
        <v>1</v>
      </c>
      <c r="H694" s="39">
        <v>45050004</v>
      </c>
      <c r="I694" s="21" t="s">
        <v>185</v>
      </c>
      <c r="J694" s="39">
        <v>13</v>
      </c>
      <c r="K694" s="46">
        <v>1400365</v>
      </c>
      <c r="L694" s="39">
        <f t="shared" si="64"/>
        <v>5</v>
      </c>
      <c r="M694" s="39" t="s">
        <v>2235</v>
      </c>
      <c r="N694" s="39" t="s">
        <v>980</v>
      </c>
      <c r="O694" s="39" t="s">
        <v>979</v>
      </c>
    </row>
    <row r="695" spans="2:15" ht="16.5" customHeight="1" x14ac:dyDescent="0.3">
      <c r="B695" s="39">
        <f t="shared" si="63"/>
        <v>45050005</v>
      </c>
      <c r="C695" s="39">
        <v>1</v>
      </c>
      <c r="D695" s="39"/>
      <c r="E695" s="39"/>
      <c r="F695" s="39"/>
      <c r="G695" s="39">
        <v>1</v>
      </c>
      <c r="H695" s="39">
        <v>45050005</v>
      </c>
      <c r="I695" s="39" t="s">
        <v>187</v>
      </c>
      <c r="J695" s="39">
        <v>21</v>
      </c>
      <c r="K695" s="46">
        <v>1400424</v>
      </c>
      <c r="L695" s="39">
        <f t="shared" si="64"/>
        <v>21</v>
      </c>
      <c r="M695" s="39" t="s">
        <v>2236</v>
      </c>
      <c r="N695" s="39" t="s">
        <v>1066</v>
      </c>
      <c r="O695" s="39"/>
    </row>
    <row r="696" spans="2:15" ht="16.5" customHeight="1" x14ac:dyDescent="0.3">
      <c r="B696" s="39">
        <f t="shared" si="63"/>
        <v>45050006</v>
      </c>
      <c r="C696" s="39">
        <v>1</v>
      </c>
      <c r="D696" s="39"/>
      <c r="E696" s="39"/>
      <c r="F696" s="39"/>
      <c r="G696" s="39">
        <v>1</v>
      </c>
      <c r="H696" s="39">
        <v>45050006</v>
      </c>
      <c r="I696" s="39" t="s">
        <v>187</v>
      </c>
      <c r="J696" s="39">
        <v>21</v>
      </c>
      <c r="K696" s="46">
        <v>1400437</v>
      </c>
      <c r="L696" s="39">
        <f t="shared" si="64"/>
        <v>21</v>
      </c>
      <c r="M696" s="39" t="s">
        <v>2237</v>
      </c>
      <c r="N696" s="39" t="s">
        <v>1117</v>
      </c>
      <c r="O696" s="39"/>
    </row>
    <row r="697" spans="2:15" x14ac:dyDescent="0.2">
      <c r="B697" s="42">
        <f t="shared" si="63"/>
        <v>45080000</v>
      </c>
      <c r="C697" s="39">
        <v>1</v>
      </c>
      <c r="D697" s="39"/>
      <c r="E697" s="39"/>
      <c r="F697" s="39"/>
      <c r="G697" s="39">
        <v>1</v>
      </c>
      <c r="H697" s="42">
        <v>45080000</v>
      </c>
      <c r="I697" s="36" t="s">
        <v>184</v>
      </c>
      <c r="J697" s="42">
        <v>13</v>
      </c>
      <c r="K697" s="159">
        <v>1400363</v>
      </c>
      <c r="L697" s="42">
        <f t="shared" si="64"/>
        <v>5</v>
      </c>
      <c r="M697" s="42" t="s">
        <v>2238</v>
      </c>
      <c r="N697" s="42" t="s">
        <v>977</v>
      </c>
      <c r="O697" s="42" t="s">
        <v>976</v>
      </c>
    </row>
    <row r="698" spans="2:15" ht="12.75" thickBot="1" x14ac:dyDescent="0.25">
      <c r="B698" s="188">
        <v>45080001</v>
      </c>
      <c r="C698" s="39">
        <v>1</v>
      </c>
      <c r="D698" s="39"/>
      <c r="E698" s="39"/>
      <c r="F698" s="39"/>
      <c r="G698" s="39">
        <v>1</v>
      </c>
      <c r="H698" s="188">
        <v>45080001</v>
      </c>
      <c r="I698" s="189" t="s">
        <v>184</v>
      </c>
      <c r="J698" s="188">
        <v>13</v>
      </c>
      <c r="K698" s="190">
        <v>1400603</v>
      </c>
      <c r="L698" s="188">
        <v>5</v>
      </c>
      <c r="M698" s="188" t="s">
        <v>2574</v>
      </c>
      <c r="N698" s="188" t="s">
        <v>2575</v>
      </c>
      <c r="O698" s="188"/>
    </row>
    <row r="699" spans="2:15" ht="12.75" thickBot="1" x14ac:dyDescent="0.35">
      <c r="B699" s="308">
        <f>H699</f>
        <v>45080002</v>
      </c>
      <c r="C699" s="44">
        <v>1</v>
      </c>
      <c r="D699" s="44"/>
      <c r="E699" s="44"/>
      <c r="F699" s="44"/>
      <c r="G699" s="44">
        <v>1</v>
      </c>
      <c r="H699" s="309">
        <v>45080002</v>
      </c>
      <c r="I699" s="309" t="s">
        <v>186</v>
      </c>
      <c r="J699" s="309">
        <v>21</v>
      </c>
      <c r="K699" s="310">
        <v>2100080</v>
      </c>
      <c r="L699" s="309">
        <v>21</v>
      </c>
      <c r="M699" s="309" t="s">
        <v>2615</v>
      </c>
      <c r="N699" s="309" t="s">
        <v>2616</v>
      </c>
      <c r="O699" s="311" t="s">
        <v>2617</v>
      </c>
    </row>
    <row r="700" spans="2:15" x14ac:dyDescent="0.3">
      <c r="B700" s="308">
        <f>H700</f>
        <v>45080003</v>
      </c>
      <c r="C700" s="88">
        <v>1</v>
      </c>
      <c r="D700" s="88" t="s">
        <v>3399</v>
      </c>
      <c r="E700" s="88">
        <v>0</v>
      </c>
      <c r="F700" s="88" t="s">
        <v>3451</v>
      </c>
      <c r="G700" s="88">
        <v>1</v>
      </c>
      <c r="H700" s="309">
        <v>45080003</v>
      </c>
      <c r="I700" s="309" t="s">
        <v>186</v>
      </c>
      <c r="J700" s="309">
        <v>21</v>
      </c>
      <c r="K700" s="310">
        <v>2100242</v>
      </c>
      <c r="L700" s="309">
        <v>21</v>
      </c>
      <c r="M700" s="309" t="s">
        <v>3470</v>
      </c>
      <c r="N700" s="309" t="s">
        <v>3471</v>
      </c>
      <c r="O700" s="311" t="s">
        <v>3469</v>
      </c>
    </row>
    <row r="701" spans="2:15" ht="12.75" thickBot="1" x14ac:dyDescent="0.35">
      <c r="B701" s="312">
        <f>H701</f>
        <v>45080004</v>
      </c>
      <c r="C701" s="89">
        <v>1</v>
      </c>
      <c r="D701" s="89" t="s">
        <v>3399</v>
      </c>
      <c r="E701" s="89">
        <v>0</v>
      </c>
      <c r="F701" s="89" t="s">
        <v>3451</v>
      </c>
      <c r="G701" s="89">
        <v>1</v>
      </c>
      <c r="H701" s="266">
        <v>45080004</v>
      </c>
      <c r="I701" s="266" t="s">
        <v>186</v>
      </c>
      <c r="J701" s="266">
        <v>21</v>
      </c>
      <c r="K701" s="267">
        <v>2100243</v>
      </c>
      <c r="L701" s="266">
        <v>21</v>
      </c>
      <c r="M701" s="266" t="s">
        <v>3472</v>
      </c>
      <c r="N701" s="266" t="s">
        <v>3473</v>
      </c>
      <c r="O701" s="313" t="s">
        <v>3469</v>
      </c>
    </row>
    <row r="702" spans="2:15" x14ac:dyDescent="0.2">
      <c r="B702" s="48">
        <f t="shared" si="63"/>
        <v>45100001</v>
      </c>
      <c r="C702" s="48">
        <v>1</v>
      </c>
      <c r="D702" s="48"/>
      <c r="E702" s="48"/>
      <c r="F702" s="48"/>
      <c r="G702" s="48">
        <v>1</v>
      </c>
      <c r="H702" s="48">
        <v>45100001</v>
      </c>
      <c r="I702" s="64" t="s">
        <v>184</v>
      </c>
      <c r="J702" s="48">
        <v>13</v>
      </c>
      <c r="K702" s="106">
        <v>1400282</v>
      </c>
      <c r="L702" s="48">
        <f t="shared" si="64"/>
        <v>5</v>
      </c>
      <c r="M702" s="48" t="s">
        <v>925</v>
      </c>
      <c r="N702" s="191" t="s">
        <v>765</v>
      </c>
      <c r="O702" s="48" t="s">
        <v>766</v>
      </c>
    </row>
    <row r="703" spans="2:15" x14ac:dyDescent="0.2">
      <c r="B703" s="39">
        <f t="shared" si="63"/>
        <v>45100002</v>
      </c>
      <c r="C703" s="39">
        <v>1</v>
      </c>
      <c r="D703" s="39"/>
      <c r="E703" s="39"/>
      <c r="F703" s="39"/>
      <c r="G703" s="39">
        <v>1</v>
      </c>
      <c r="H703" s="39">
        <v>45100002</v>
      </c>
      <c r="I703" s="21" t="s">
        <v>184</v>
      </c>
      <c r="J703" s="39">
        <v>13</v>
      </c>
      <c r="K703" s="46">
        <v>1400336</v>
      </c>
      <c r="L703" s="39">
        <f t="shared" si="64"/>
        <v>5</v>
      </c>
      <c r="M703" s="39" t="s">
        <v>738</v>
      </c>
      <c r="N703" s="39" t="s">
        <v>739</v>
      </c>
      <c r="O703" s="39" t="s">
        <v>973</v>
      </c>
    </row>
    <row r="704" spans="2:15" x14ac:dyDescent="0.2">
      <c r="B704" s="39">
        <f t="shared" si="63"/>
        <v>45100003</v>
      </c>
      <c r="C704" s="39">
        <v>1</v>
      </c>
      <c r="D704" s="39"/>
      <c r="E704" s="39"/>
      <c r="F704" s="39"/>
      <c r="G704" s="39">
        <v>1</v>
      </c>
      <c r="H704" s="39">
        <v>45100003</v>
      </c>
      <c r="I704" s="21" t="s">
        <v>184</v>
      </c>
      <c r="J704" s="39">
        <v>13</v>
      </c>
      <c r="K704" s="46">
        <v>1400358</v>
      </c>
      <c r="L704" s="39">
        <f t="shared" si="64"/>
        <v>5</v>
      </c>
      <c r="M704" s="39" t="s">
        <v>2239</v>
      </c>
      <c r="N704" s="39" t="s">
        <v>966</v>
      </c>
      <c r="O704" s="39" t="s">
        <v>965</v>
      </c>
    </row>
    <row r="705" spans="2:15" x14ac:dyDescent="0.2">
      <c r="B705" s="39">
        <f t="shared" si="63"/>
        <v>45100004</v>
      </c>
      <c r="C705" s="39">
        <v>1</v>
      </c>
      <c r="D705" s="39"/>
      <c r="E705" s="39"/>
      <c r="F705" s="39"/>
      <c r="G705" s="39">
        <v>1</v>
      </c>
      <c r="H705" s="39">
        <v>45100004</v>
      </c>
      <c r="I705" s="21" t="s">
        <v>184</v>
      </c>
      <c r="J705" s="39">
        <v>13</v>
      </c>
      <c r="K705" s="46">
        <v>1400359</v>
      </c>
      <c r="L705" s="39">
        <f t="shared" si="64"/>
        <v>5</v>
      </c>
      <c r="M705" s="39" t="s">
        <v>967</v>
      </c>
      <c r="N705" s="39" t="s">
        <v>969</v>
      </c>
      <c r="O705" s="39" t="s">
        <v>967</v>
      </c>
    </row>
    <row r="706" spans="2:15" ht="16.5" customHeight="1" x14ac:dyDescent="0.2">
      <c r="B706" s="39">
        <f t="shared" si="63"/>
        <v>45100005</v>
      </c>
      <c r="C706" s="39">
        <v>1</v>
      </c>
      <c r="D706" s="39"/>
      <c r="E706" s="39"/>
      <c r="F706" s="39"/>
      <c r="G706" s="39">
        <v>1</v>
      </c>
      <c r="H706" s="39">
        <v>45100005</v>
      </c>
      <c r="I706" s="21" t="s">
        <v>184</v>
      </c>
      <c r="J706" s="39">
        <v>13</v>
      </c>
      <c r="K706" s="46">
        <v>1400360</v>
      </c>
      <c r="L706" s="39">
        <f t="shared" si="64"/>
        <v>5</v>
      </c>
      <c r="M706" s="39" t="s">
        <v>968</v>
      </c>
      <c r="N706" s="39" t="s">
        <v>970</v>
      </c>
      <c r="O706" s="39" t="s">
        <v>968</v>
      </c>
    </row>
    <row r="707" spans="2:15" ht="16.5" customHeight="1" x14ac:dyDescent="0.3">
      <c r="B707" s="39">
        <f t="shared" si="63"/>
        <v>45100006</v>
      </c>
      <c r="C707" s="39">
        <v>1</v>
      </c>
      <c r="D707" s="39"/>
      <c r="E707" s="39"/>
      <c r="F707" s="39"/>
      <c r="G707" s="39">
        <v>1</v>
      </c>
      <c r="H707" s="39">
        <v>45100006</v>
      </c>
      <c r="I707" s="39" t="s">
        <v>187</v>
      </c>
      <c r="J707" s="39">
        <v>21</v>
      </c>
      <c r="K707" s="46">
        <v>1400455</v>
      </c>
      <c r="L707" s="39">
        <f t="shared" si="64"/>
        <v>21</v>
      </c>
      <c r="M707" s="39" t="s">
        <v>2240</v>
      </c>
      <c r="N707" s="39" t="s">
        <v>1178</v>
      </c>
      <c r="O707" s="39"/>
    </row>
    <row r="708" spans="2:15" ht="16.5" customHeight="1" x14ac:dyDescent="0.3">
      <c r="B708" s="39">
        <f t="shared" si="63"/>
        <v>45100007</v>
      </c>
      <c r="C708" s="39">
        <v>1</v>
      </c>
      <c r="D708" s="39"/>
      <c r="E708" s="39"/>
      <c r="F708" s="39"/>
      <c r="G708" s="39">
        <v>1</v>
      </c>
      <c r="H708" s="39">
        <v>45100007</v>
      </c>
      <c r="I708" s="39" t="s">
        <v>187</v>
      </c>
      <c r="J708" s="39">
        <v>21</v>
      </c>
      <c r="K708" s="46">
        <v>1400456</v>
      </c>
      <c r="L708" s="39">
        <f t="shared" si="64"/>
        <v>21</v>
      </c>
      <c r="M708" s="39" t="s">
        <v>2241</v>
      </c>
      <c r="N708" s="39" t="s">
        <v>1179</v>
      </c>
      <c r="O708" s="39"/>
    </row>
    <row r="709" spans="2:15" ht="16.5" customHeight="1" x14ac:dyDescent="0.3">
      <c r="B709" s="39">
        <f t="shared" si="63"/>
        <v>45128001</v>
      </c>
      <c r="C709" s="39">
        <v>1</v>
      </c>
      <c r="D709" s="39"/>
      <c r="E709" s="39"/>
      <c r="F709" s="39"/>
      <c r="G709" s="39">
        <v>1</v>
      </c>
      <c r="H709" s="39">
        <v>45128001</v>
      </c>
      <c r="I709" s="39" t="s">
        <v>187</v>
      </c>
      <c r="J709" s="39">
        <v>21</v>
      </c>
      <c r="K709" s="46">
        <v>1400453</v>
      </c>
      <c r="L709" s="39">
        <f t="shared" si="64"/>
        <v>21</v>
      </c>
      <c r="M709" s="39" t="s">
        <v>2242</v>
      </c>
      <c r="N709" s="39" t="s">
        <v>1176</v>
      </c>
      <c r="O709" s="39"/>
    </row>
    <row r="710" spans="2:15" ht="16.5" customHeight="1" x14ac:dyDescent="0.3">
      <c r="B710" s="39">
        <f t="shared" si="63"/>
        <v>45128002</v>
      </c>
      <c r="C710" s="39">
        <v>1</v>
      </c>
      <c r="D710" s="39"/>
      <c r="E710" s="39"/>
      <c r="F710" s="39"/>
      <c r="G710" s="39">
        <v>1</v>
      </c>
      <c r="H710" s="39">
        <v>45128002</v>
      </c>
      <c r="I710" s="39" t="s">
        <v>187</v>
      </c>
      <c r="J710" s="39">
        <v>21</v>
      </c>
      <c r="K710" s="46">
        <v>1400454</v>
      </c>
      <c r="L710" s="39">
        <f t="shared" si="64"/>
        <v>21</v>
      </c>
      <c r="M710" s="39" t="s">
        <v>2243</v>
      </c>
      <c r="N710" s="39" t="s">
        <v>1177</v>
      </c>
      <c r="O710" s="39"/>
    </row>
    <row r="711" spans="2:15" ht="16.5" customHeight="1" x14ac:dyDescent="0.2">
      <c r="B711" s="39">
        <f t="shared" si="63"/>
        <v>45130001</v>
      </c>
      <c r="C711" s="39">
        <v>1</v>
      </c>
      <c r="D711" s="39"/>
      <c r="E711" s="39"/>
      <c r="F711" s="39"/>
      <c r="G711" s="39">
        <v>1</v>
      </c>
      <c r="H711" s="39">
        <v>45130001</v>
      </c>
      <c r="I711" s="21" t="s">
        <v>184</v>
      </c>
      <c r="J711" s="39">
        <v>13</v>
      </c>
      <c r="K711" s="46">
        <v>1400337</v>
      </c>
      <c r="L711" s="39">
        <f t="shared" si="64"/>
        <v>5</v>
      </c>
      <c r="M711" s="39" t="s">
        <v>721</v>
      </c>
      <c r="N711" s="39" t="s">
        <v>575</v>
      </c>
      <c r="O711" s="21" t="s">
        <v>721</v>
      </c>
    </row>
    <row r="712" spans="2:15" ht="16.5" customHeight="1" x14ac:dyDescent="0.3">
      <c r="B712" s="39">
        <f t="shared" si="63"/>
        <v>45130002</v>
      </c>
      <c r="C712" s="39">
        <v>1</v>
      </c>
      <c r="D712" s="39"/>
      <c r="E712" s="39"/>
      <c r="F712" s="39"/>
      <c r="G712" s="39">
        <v>1</v>
      </c>
      <c r="H712" s="39">
        <v>45130002</v>
      </c>
      <c r="I712" s="39" t="s">
        <v>187</v>
      </c>
      <c r="J712" s="39">
        <v>21</v>
      </c>
      <c r="K712" s="46">
        <v>1400426</v>
      </c>
      <c r="L712" s="39">
        <f t="shared" si="64"/>
        <v>21</v>
      </c>
      <c r="M712" s="39" t="s">
        <v>2244</v>
      </c>
      <c r="N712" s="39" t="s">
        <v>1068</v>
      </c>
      <c r="O712" s="39"/>
    </row>
    <row r="713" spans="2:15" ht="16.5" customHeight="1" x14ac:dyDescent="0.3">
      <c r="B713" s="41">
        <f t="shared" si="63"/>
        <v>45130003</v>
      </c>
      <c r="C713" s="39">
        <v>1</v>
      </c>
      <c r="D713" s="39"/>
      <c r="E713" s="39"/>
      <c r="F713" s="39"/>
      <c r="G713" s="39">
        <v>1</v>
      </c>
      <c r="H713" s="41">
        <v>45130003</v>
      </c>
      <c r="I713" s="41" t="s">
        <v>187</v>
      </c>
      <c r="J713" s="41">
        <v>21</v>
      </c>
      <c r="K713" s="192">
        <v>1400442</v>
      </c>
      <c r="L713" s="41">
        <f t="shared" si="64"/>
        <v>21</v>
      </c>
      <c r="M713" s="41" t="s">
        <v>2245</v>
      </c>
      <c r="N713" s="41" t="s">
        <v>1167</v>
      </c>
      <c r="O713" s="39"/>
    </row>
    <row r="714" spans="2:15" x14ac:dyDescent="0.2">
      <c r="B714" s="39">
        <f t="shared" si="63"/>
        <v>45131001</v>
      </c>
      <c r="C714" s="39">
        <v>1</v>
      </c>
      <c r="D714" s="39"/>
      <c r="E714" s="39"/>
      <c r="F714" s="39"/>
      <c r="G714" s="39">
        <v>1</v>
      </c>
      <c r="H714" s="39">
        <v>45131001</v>
      </c>
      <c r="I714" s="21" t="s">
        <v>184</v>
      </c>
      <c r="J714" s="39">
        <v>13</v>
      </c>
      <c r="K714" s="46">
        <v>1400338</v>
      </c>
      <c r="L714" s="39">
        <f t="shared" si="64"/>
        <v>5</v>
      </c>
      <c r="M714" s="39" t="s">
        <v>926</v>
      </c>
      <c r="N714" s="39" t="s">
        <v>740</v>
      </c>
      <c r="O714" s="21" t="s">
        <v>742</v>
      </c>
    </row>
    <row r="715" spans="2:15" ht="16.5" customHeight="1" x14ac:dyDescent="0.2">
      <c r="B715" s="39">
        <f t="shared" si="63"/>
        <v>45131002</v>
      </c>
      <c r="C715" s="39">
        <v>1</v>
      </c>
      <c r="D715" s="39"/>
      <c r="E715" s="39"/>
      <c r="F715" s="39"/>
      <c r="G715" s="39">
        <v>1</v>
      </c>
      <c r="H715" s="39">
        <v>45131002</v>
      </c>
      <c r="I715" s="21" t="s">
        <v>184</v>
      </c>
      <c r="J715" s="39">
        <v>13</v>
      </c>
      <c r="K715" s="46">
        <v>1400339</v>
      </c>
      <c r="L715" s="39">
        <f t="shared" si="64"/>
        <v>5</v>
      </c>
      <c r="M715" s="39" t="s">
        <v>743</v>
      </c>
      <c r="N715" s="39" t="s">
        <v>741</v>
      </c>
      <c r="O715" s="21" t="s">
        <v>743</v>
      </c>
    </row>
    <row r="716" spans="2:15" ht="16.5" customHeight="1" x14ac:dyDescent="0.3">
      <c r="B716" s="39">
        <f t="shared" si="63"/>
        <v>45131005</v>
      </c>
      <c r="C716" s="39">
        <v>1</v>
      </c>
      <c r="D716" s="39"/>
      <c r="E716" s="39"/>
      <c r="F716" s="39"/>
      <c r="G716" s="39">
        <v>1</v>
      </c>
      <c r="H716" s="39">
        <v>45131005</v>
      </c>
      <c r="I716" s="39" t="s">
        <v>187</v>
      </c>
      <c r="J716" s="39">
        <v>21</v>
      </c>
      <c r="K716" s="46">
        <v>1400428</v>
      </c>
      <c r="L716" s="39">
        <f t="shared" si="64"/>
        <v>21</v>
      </c>
      <c r="M716" s="39" t="s">
        <v>1948</v>
      </c>
      <c r="N716" s="39" t="s">
        <v>1070</v>
      </c>
      <c r="O716" s="39"/>
    </row>
    <row r="717" spans="2:15" ht="16.5" customHeight="1" x14ac:dyDescent="0.3">
      <c r="B717" s="39">
        <f t="shared" si="63"/>
        <v>45131006</v>
      </c>
      <c r="C717" s="39">
        <v>1</v>
      </c>
      <c r="D717" s="39"/>
      <c r="E717" s="39"/>
      <c r="F717" s="39"/>
      <c r="G717" s="39">
        <v>1</v>
      </c>
      <c r="H717" s="39">
        <v>45131006</v>
      </c>
      <c r="I717" s="39" t="s">
        <v>187</v>
      </c>
      <c r="J717" s="39">
        <v>21</v>
      </c>
      <c r="K717" s="46">
        <v>1400441</v>
      </c>
      <c r="L717" s="39">
        <f t="shared" si="64"/>
        <v>21</v>
      </c>
      <c r="M717" s="39" t="s">
        <v>2246</v>
      </c>
      <c r="N717" s="39" t="s">
        <v>1166</v>
      </c>
      <c r="O717" s="39"/>
    </row>
    <row r="718" spans="2:15" ht="16.5" customHeight="1" x14ac:dyDescent="0.3">
      <c r="B718" s="39">
        <f t="shared" si="63"/>
        <v>45140001</v>
      </c>
      <c r="C718" s="39">
        <v>1</v>
      </c>
      <c r="D718" s="39"/>
      <c r="E718" s="39"/>
      <c r="F718" s="39"/>
      <c r="G718" s="39">
        <v>1</v>
      </c>
      <c r="H718" s="39">
        <v>45140001</v>
      </c>
      <c r="I718" s="39" t="s">
        <v>187</v>
      </c>
      <c r="J718" s="39">
        <v>21</v>
      </c>
      <c r="K718" s="46">
        <v>1400433</v>
      </c>
      <c r="L718" s="39">
        <f t="shared" si="64"/>
        <v>21</v>
      </c>
      <c r="M718" s="39" t="s">
        <v>2247</v>
      </c>
      <c r="N718" s="39" t="s">
        <v>1075</v>
      </c>
      <c r="O718" s="39"/>
    </row>
    <row r="719" spans="2:15" ht="16.5" customHeight="1" x14ac:dyDescent="0.3">
      <c r="B719" s="39">
        <f t="shared" si="63"/>
        <v>45140002</v>
      </c>
      <c r="C719" s="39">
        <v>1</v>
      </c>
      <c r="D719" s="39"/>
      <c r="E719" s="39"/>
      <c r="F719" s="39"/>
      <c r="G719" s="39">
        <v>1</v>
      </c>
      <c r="H719" s="39">
        <v>45140002</v>
      </c>
      <c r="I719" s="39" t="s">
        <v>187</v>
      </c>
      <c r="J719" s="39">
        <v>21</v>
      </c>
      <c r="K719" s="46">
        <v>1400434</v>
      </c>
      <c r="L719" s="39">
        <f t="shared" si="64"/>
        <v>21</v>
      </c>
      <c r="M719" s="39" t="s">
        <v>2248</v>
      </c>
      <c r="N719" s="39" t="s">
        <v>1076</v>
      </c>
      <c r="O719" s="39"/>
    </row>
    <row r="720" spans="2:15" x14ac:dyDescent="0.2">
      <c r="B720" s="39">
        <f t="shared" si="63"/>
        <v>45154001</v>
      </c>
      <c r="C720" s="39">
        <v>1</v>
      </c>
      <c r="D720" s="39"/>
      <c r="E720" s="39"/>
      <c r="F720" s="39"/>
      <c r="G720" s="39">
        <v>1</v>
      </c>
      <c r="H720" s="39">
        <v>45154001</v>
      </c>
      <c r="I720" s="21" t="s">
        <v>184</v>
      </c>
      <c r="J720" s="39">
        <v>13</v>
      </c>
      <c r="K720" s="46">
        <v>1400340</v>
      </c>
      <c r="L720" s="39">
        <f t="shared" si="64"/>
        <v>5</v>
      </c>
      <c r="M720" s="39" t="s">
        <v>767</v>
      </c>
      <c r="N720" s="39" t="s">
        <v>744</v>
      </c>
      <c r="O720" s="21" t="s">
        <v>767</v>
      </c>
    </row>
    <row r="721" spans="2:15" x14ac:dyDescent="0.2">
      <c r="B721" s="39">
        <f t="shared" ref="B721:B747" si="65">H721</f>
        <v>45154002</v>
      </c>
      <c r="C721" s="39">
        <v>1</v>
      </c>
      <c r="D721" s="39"/>
      <c r="E721" s="39"/>
      <c r="F721" s="39"/>
      <c r="G721" s="39">
        <v>1</v>
      </c>
      <c r="H721" s="39">
        <v>45154002</v>
      </c>
      <c r="I721" s="21" t="s">
        <v>184</v>
      </c>
      <c r="J721" s="39">
        <v>13</v>
      </c>
      <c r="K721" s="46">
        <v>1400341</v>
      </c>
      <c r="L721" s="39">
        <f t="shared" si="64"/>
        <v>5</v>
      </c>
      <c r="M721" s="39" t="s">
        <v>927</v>
      </c>
      <c r="N721" s="39" t="s">
        <v>745</v>
      </c>
      <c r="O721" s="21" t="s">
        <v>748</v>
      </c>
    </row>
    <row r="722" spans="2:15" x14ac:dyDescent="0.2">
      <c r="B722" s="39">
        <f t="shared" si="65"/>
        <v>45154003</v>
      </c>
      <c r="C722" s="39">
        <v>1</v>
      </c>
      <c r="D722" s="39"/>
      <c r="E722" s="39"/>
      <c r="F722" s="39"/>
      <c r="G722" s="39">
        <v>1</v>
      </c>
      <c r="H722" s="39">
        <v>45154003</v>
      </c>
      <c r="I722" s="21" t="s">
        <v>184</v>
      </c>
      <c r="J722" s="39">
        <v>13</v>
      </c>
      <c r="K722" s="46">
        <v>1400342</v>
      </c>
      <c r="L722" s="39">
        <f t="shared" si="64"/>
        <v>5</v>
      </c>
      <c r="M722" s="39" t="s">
        <v>928</v>
      </c>
      <c r="N722" s="39" t="s">
        <v>746</v>
      </c>
      <c r="O722" s="21" t="s">
        <v>747</v>
      </c>
    </row>
    <row r="723" spans="2:15" x14ac:dyDescent="0.2">
      <c r="B723" s="39">
        <f t="shared" si="65"/>
        <v>45154004</v>
      </c>
      <c r="C723" s="39">
        <v>1</v>
      </c>
      <c r="D723" s="39"/>
      <c r="E723" s="39"/>
      <c r="F723" s="39"/>
      <c r="G723" s="39">
        <v>1</v>
      </c>
      <c r="H723" s="39">
        <v>45154004</v>
      </c>
      <c r="I723" s="21" t="s">
        <v>184</v>
      </c>
      <c r="J723" s="39">
        <v>13</v>
      </c>
      <c r="K723" s="46">
        <v>1400343</v>
      </c>
      <c r="L723" s="39">
        <f t="shared" si="64"/>
        <v>5</v>
      </c>
      <c r="M723" s="39" t="s">
        <v>929</v>
      </c>
      <c r="N723" s="39" t="s">
        <v>749</v>
      </c>
      <c r="O723" s="21" t="s">
        <v>750</v>
      </c>
    </row>
    <row r="724" spans="2:15" x14ac:dyDescent="0.2">
      <c r="B724" s="39">
        <f t="shared" si="65"/>
        <v>45154005</v>
      </c>
      <c r="C724" s="39">
        <v>1</v>
      </c>
      <c r="D724" s="39"/>
      <c r="E724" s="39"/>
      <c r="F724" s="39"/>
      <c r="G724" s="39">
        <v>1</v>
      </c>
      <c r="H724" s="39">
        <v>45154005</v>
      </c>
      <c r="I724" s="21" t="s">
        <v>184</v>
      </c>
      <c r="J724" s="39">
        <v>13</v>
      </c>
      <c r="K724" s="46">
        <v>1400344</v>
      </c>
      <c r="L724" s="39">
        <f t="shared" si="64"/>
        <v>5</v>
      </c>
      <c r="M724" s="39" t="s">
        <v>751</v>
      </c>
      <c r="N724" s="39" t="s">
        <v>764</v>
      </c>
      <c r="O724" s="21" t="s">
        <v>751</v>
      </c>
    </row>
    <row r="725" spans="2:15" x14ac:dyDescent="0.2">
      <c r="B725" s="39">
        <f t="shared" si="65"/>
        <v>45154006</v>
      </c>
      <c r="C725" s="39">
        <v>1</v>
      </c>
      <c r="D725" s="39"/>
      <c r="E725" s="39"/>
      <c r="F725" s="39"/>
      <c r="G725" s="39">
        <v>1</v>
      </c>
      <c r="H725" s="39">
        <v>45154006</v>
      </c>
      <c r="I725" s="21" t="s">
        <v>184</v>
      </c>
      <c r="J725" s="39">
        <v>13</v>
      </c>
      <c r="K725" s="46">
        <v>1400345</v>
      </c>
      <c r="L725" s="39">
        <f t="shared" si="64"/>
        <v>5</v>
      </c>
      <c r="M725" s="39" t="s">
        <v>752</v>
      </c>
      <c r="N725" s="39" t="s">
        <v>763</v>
      </c>
      <c r="O725" s="21" t="s">
        <v>752</v>
      </c>
    </row>
    <row r="726" spans="2:15" x14ac:dyDescent="0.2">
      <c r="B726" s="39">
        <f t="shared" si="65"/>
        <v>45154007</v>
      </c>
      <c r="C726" s="39">
        <v>1</v>
      </c>
      <c r="D726" s="39"/>
      <c r="E726" s="39"/>
      <c r="F726" s="39"/>
      <c r="G726" s="39">
        <v>1</v>
      </c>
      <c r="H726" s="39">
        <v>45154007</v>
      </c>
      <c r="I726" s="21" t="s">
        <v>184</v>
      </c>
      <c r="J726" s="39">
        <v>13</v>
      </c>
      <c r="K726" s="46">
        <v>1400346</v>
      </c>
      <c r="L726" s="39">
        <f t="shared" si="64"/>
        <v>5</v>
      </c>
      <c r="M726" s="39" t="s">
        <v>753</v>
      </c>
      <c r="N726" s="39" t="s">
        <v>762</v>
      </c>
      <c r="O726" s="21" t="s">
        <v>753</v>
      </c>
    </row>
    <row r="727" spans="2:15" x14ac:dyDescent="0.2">
      <c r="B727" s="39">
        <f t="shared" si="65"/>
        <v>45154008</v>
      </c>
      <c r="C727" s="39">
        <v>1</v>
      </c>
      <c r="D727" s="39"/>
      <c r="E727" s="39"/>
      <c r="F727" s="39"/>
      <c r="G727" s="39">
        <v>1</v>
      </c>
      <c r="H727" s="39">
        <v>45154008</v>
      </c>
      <c r="I727" s="21" t="s">
        <v>184</v>
      </c>
      <c r="J727" s="39">
        <v>13</v>
      </c>
      <c r="K727" s="46">
        <v>1400347</v>
      </c>
      <c r="L727" s="39">
        <f t="shared" si="64"/>
        <v>5</v>
      </c>
      <c r="M727" s="39" t="s">
        <v>754</v>
      </c>
      <c r="N727" s="39" t="s">
        <v>761</v>
      </c>
      <c r="O727" s="21" t="s">
        <v>754</v>
      </c>
    </row>
    <row r="728" spans="2:15" x14ac:dyDescent="0.2">
      <c r="B728" s="39">
        <f t="shared" si="65"/>
        <v>45154009</v>
      </c>
      <c r="C728" s="39">
        <v>1</v>
      </c>
      <c r="D728" s="39"/>
      <c r="E728" s="39"/>
      <c r="F728" s="39"/>
      <c r="G728" s="39">
        <v>1</v>
      </c>
      <c r="H728" s="39">
        <v>45154009</v>
      </c>
      <c r="I728" s="21" t="s">
        <v>184</v>
      </c>
      <c r="J728" s="39">
        <v>13</v>
      </c>
      <c r="K728" s="46">
        <v>1400348</v>
      </c>
      <c r="L728" s="39">
        <f t="shared" si="64"/>
        <v>5</v>
      </c>
      <c r="M728" s="39" t="s">
        <v>755</v>
      </c>
      <c r="N728" s="39" t="s">
        <v>760</v>
      </c>
      <c r="O728" s="21" t="s">
        <v>755</v>
      </c>
    </row>
    <row r="729" spans="2:15" x14ac:dyDescent="0.2">
      <c r="B729" s="39">
        <f t="shared" si="65"/>
        <v>45154010</v>
      </c>
      <c r="C729" s="39">
        <v>1</v>
      </c>
      <c r="D729" s="39"/>
      <c r="E729" s="39"/>
      <c r="F729" s="39"/>
      <c r="G729" s="39">
        <v>1</v>
      </c>
      <c r="H729" s="39">
        <v>45154010</v>
      </c>
      <c r="I729" s="21" t="s">
        <v>184</v>
      </c>
      <c r="J729" s="39">
        <v>13</v>
      </c>
      <c r="K729" s="46">
        <v>1400349</v>
      </c>
      <c r="L729" s="39">
        <f t="shared" si="64"/>
        <v>5</v>
      </c>
      <c r="M729" s="39" t="s">
        <v>756</v>
      </c>
      <c r="N729" s="39" t="s">
        <v>759</v>
      </c>
      <c r="O729" s="21" t="s">
        <v>756</v>
      </c>
    </row>
    <row r="730" spans="2:15" ht="16.5" customHeight="1" x14ac:dyDescent="0.2">
      <c r="B730" s="39">
        <f t="shared" si="65"/>
        <v>45154011</v>
      </c>
      <c r="C730" s="39">
        <v>1</v>
      </c>
      <c r="D730" s="39"/>
      <c r="E730" s="39"/>
      <c r="F730" s="39"/>
      <c r="G730" s="39">
        <v>1</v>
      </c>
      <c r="H730" s="39">
        <v>45154011</v>
      </c>
      <c r="I730" s="21" t="s">
        <v>184</v>
      </c>
      <c r="J730" s="39">
        <v>13</v>
      </c>
      <c r="K730" s="46">
        <v>1400350</v>
      </c>
      <c r="L730" s="39">
        <f t="shared" si="64"/>
        <v>5</v>
      </c>
      <c r="M730" s="39" t="s">
        <v>757</v>
      </c>
      <c r="N730" s="39" t="s">
        <v>758</v>
      </c>
      <c r="O730" s="21" t="s">
        <v>757</v>
      </c>
    </row>
    <row r="731" spans="2:15" x14ac:dyDescent="0.2">
      <c r="B731" s="39">
        <f t="shared" si="65"/>
        <v>45154012</v>
      </c>
      <c r="C731" s="39">
        <v>1</v>
      </c>
      <c r="D731" s="39"/>
      <c r="E731" s="39"/>
      <c r="F731" s="39"/>
      <c r="G731" s="39">
        <v>1</v>
      </c>
      <c r="H731" s="39">
        <v>45154012</v>
      </c>
      <c r="I731" s="39" t="s">
        <v>186</v>
      </c>
      <c r="J731" s="39">
        <v>21</v>
      </c>
      <c r="K731" s="46">
        <v>1400572</v>
      </c>
      <c r="L731" s="39">
        <v>21</v>
      </c>
      <c r="M731" s="39" t="s">
        <v>2249</v>
      </c>
      <c r="N731" s="39" t="s">
        <v>1809</v>
      </c>
      <c r="O731" s="21"/>
    </row>
    <row r="732" spans="2:15" x14ac:dyDescent="0.2">
      <c r="B732" s="39">
        <f t="shared" si="65"/>
        <v>45154013</v>
      </c>
      <c r="C732" s="39">
        <v>1</v>
      </c>
      <c r="D732" s="39"/>
      <c r="E732" s="39"/>
      <c r="F732" s="39"/>
      <c r="G732" s="39">
        <v>1</v>
      </c>
      <c r="H732" s="39">
        <v>45154013</v>
      </c>
      <c r="I732" s="39" t="s">
        <v>186</v>
      </c>
      <c r="J732" s="39">
        <v>21</v>
      </c>
      <c r="K732" s="46">
        <v>1400573</v>
      </c>
      <c r="L732" s="39">
        <v>21</v>
      </c>
      <c r="M732" s="39" t="s">
        <v>2250</v>
      </c>
      <c r="N732" s="39" t="s">
        <v>1810</v>
      </c>
      <c r="O732" s="21"/>
    </row>
    <row r="733" spans="2:15" ht="16.5" customHeight="1" x14ac:dyDescent="0.2">
      <c r="B733" s="39">
        <f t="shared" si="65"/>
        <v>45154014</v>
      </c>
      <c r="C733" s="39">
        <v>1</v>
      </c>
      <c r="D733" s="39"/>
      <c r="E733" s="39"/>
      <c r="F733" s="39"/>
      <c r="G733" s="39">
        <v>1</v>
      </c>
      <c r="H733" s="39">
        <v>45154014</v>
      </c>
      <c r="I733" s="39" t="s">
        <v>186</v>
      </c>
      <c r="J733" s="39">
        <v>21</v>
      </c>
      <c r="K733" s="46">
        <v>1400591</v>
      </c>
      <c r="L733" s="39">
        <v>21</v>
      </c>
      <c r="M733" s="39" t="s">
        <v>2251</v>
      </c>
      <c r="N733" s="39" t="s">
        <v>1918</v>
      </c>
      <c r="O733" s="21"/>
    </row>
    <row r="734" spans="2:15" ht="16.5" customHeight="1" x14ac:dyDescent="0.2">
      <c r="B734" s="39">
        <v>45154015</v>
      </c>
      <c r="C734" s="39">
        <v>1</v>
      </c>
      <c r="D734" s="39"/>
      <c r="E734" s="39"/>
      <c r="F734" s="39"/>
      <c r="G734" s="39">
        <v>1</v>
      </c>
      <c r="H734" s="39">
        <v>45154015</v>
      </c>
      <c r="I734" s="39" t="s">
        <v>186</v>
      </c>
      <c r="J734" s="39">
        <v>21</v>
      </c>
      <c r="K734" s="46">
        <v>1400605</v>
      </c>
      <c r="L734" s="39">
        <v>21</v>
      </c>
      <c r="M734" s="39" t="s">
        <v>2576</v>
      </c>
      <c r="N734" s="39" t="s">
        <v>2577</v>
      </c>
      <c r="O734" s="21"/>
    </row>
    <row r="735" spans="2:15" ht="16.5" customHeight="1" x14ac:dyDescent="0.2">
      <c r="B735" s="39">
        <v>45154016</v>
      </c>
      <c r="C735" s="39">
        <v>1</v>
      </c>
      <c r="D735" s="39"/>
      <c r="E735" s="39"/>
      <c r="F735" s="39"/>
      <c r="G735" s="39">
        <v>1</v>
      </c>
      <c r="H735" s="39">
        <v>45154016</v>
      </c>
      <c r="I735" s="39" t="s">
        <v>186</v>
      </c>
      <c r="J735" s="39">
        <v>21</v>
      </c>
      <c r="K735" s="46">
        <v>1063919</v>
      </c>
      <c r="L735" s="39">
        <v>21</v>
      </c>
      <c r="M735" s="39" t="s">
        <v>2744</v>
      </c>
      <c r="N735" s="39" t="s">
        <v>2745</v>
      </c>
      <c r="O735" s="21"/>
    </row>
    <row r="736" spans="2:15" ht="16.5" customHeight="1" x14ac:dyDescent="0.3">
      <c r="B736" s="39">
        <f t="shared" si="65"/>
        <v>45190030</v>
      </c>
      <c r="C736" s="39">
        <v>1</v>
      </c>
      <c r="D736" s="39"/>
      <c r="E736" s="39"/>
      <c r="F736" s="39"/>
      <c r="G736" s="39">
        <v>1</v>
      </c>
      <c r="H736" s="39">
        <v>45190030</v>
      </c>
      <c r="I736" s="39" t="s">
        <v>186</v>
      </c>
      <c r="J736" s="39">
        <v>23</v>
      </c>
      <c r="K736" s="46">
        <v>1063020</v>
      </c>
      <c r="L736" s="39">
        <f t="shared" ref="L736:L747" si="66">VLOOKUP(I736,error,2,FALSE)</f>
        <v>21</v>
      </c>
      <c r="M736" s="39" t="s">
        <v>2252</v>
      </c>
      <c r="N736" s="39" t="s">
        <v>1260</v>
      </c>
      <c r="O736" s="39"/>
    </row>
    <row r="737" spans="2:15" ht="16.5" customHeight="1" x14ac:dyDescent="0.3">
      <c r="B737" s="39">
        <f t="shared" si="65"/>
        <v>45190031</v>
      </c>
      <c r="C737" s="39">
        <v>1</v>
      </c>
      <c r="D737" s="39"/>
      <c r="E737" s="39"/>
      <c r="F737" s="39"/>
      <c r="G737" s="39">
        <v>1</v>
      </c>
      <c r="H737" s="39">
        <v>45190031</v>
      </c>
      <c r="I737" s="39" t="s">
        <v>186</v>
      </c>
      <c r="J737" s="39">
        <v>23</v>
      </c>
      <c r="K737" s="46">
        <v>1400485</v>
      </c>
      <c r="L737" s="39">
        <f t="shared" si="66"/>
        <v>21</v>
      </c>
      <c r="M737" s="39" t="s">
        <v>1275</v>
      </c>
      <c r="N737" s="39" t="s">
        <v>1264</v>
      </c>
      <c r="O737" s="39" t="s">
        <v>1275</v>
      </c>
    </row>
    <row r="738" spans="2:15" ht="16.5" customHeight="1" x14ac:dyDescent="0.3">
      <c r="B738" s="39">
        <f t="shared" si="65"/>
        <v>45190032</v>
      </c>
      <c r="C738" s="39">
        <v>1</v>
      </c>
      <c r="D738" s="39"/>
      <c r="E738" s="39"/>
      <c r="F738" s="39"/>
      <c r="G738" s="39">
        <v>1</v>
      </c>
      <c r="H738" s="39">
        <v>45190032</v>
      </c>
      <c r="I738" s="39" t="s">
        <v>186</v>
      </c>
      <c r="J738" s="39">
        <v>23</v>
      </c>
      <c r="K738" s="46">
        <v>1400486</v>
      </c>
      <c r="L738" s="39">
        <f t="shared" si="66"/>
        <v>21</v>
      </c>
      <c r="M738" s="39" t="s">
        <v>1272</v>
      </c>
      <c r="N738" s="39" t="s">
        <v>1265</v>
      </c>
      <c r="O738" s="39" t="s">
        <v>1272</v>
      </c>
    </row>
    <row r="739" spans="2:15" ht="16.5" customHeight="1" x14ac:dyDescent="0.3">
      <c r="B739" s="39">
        <f t="shared" si="65"/>
        <v>45190033</v>
      </c>
      <c r="C739" s="39">
        <v>1</v>
      </c>
      <c r="D739" s="39"/>
      <c r="E739" s="39"/>
      <c r="F739" s="39"/>
      <c r="G739" s="39">
        <v>1</v>
      </c>
      <c r="H739" s="39">
        <v>45190033</v>
      </c>
      <c r="I739" s="39" t="s">
        <v>186</v>
      </c>
      <c r="J739" s="39">
        <v>23</v>
      </c>
      <c r="K739" s="46">
        <v>1400487</v>
      </c>
      <c r="L739" s="39">
        <f t="shared" si="66"/>
        <v>21</v>
      </c>
      <c r="M739" s="39" t="s">
        <v>1273</v>
      </c>
      <c r="N739" s="39" t="s">
        <v>1266</v>
      </c>
      <c r="O739" s="39" t="s">
        <v>1273</v>
      </c>
    </row>
    <row r="740" spans="2:15" ht="16.5" customHeight="1" x14ac:dyDescent="0.3">
      <c r="B740" s="39">
        <f t="shared" si="65"/>
        <v>45190034</v>
      </c>
      <c r="C740" s="39">
        <v>1</v>
      </c>
      <c r="D740" s="39"/>
      <c r="E740" s="39"/>
      <c r="F740" s="39"/>
      <c r="G740" s="39">
        <v>1</v>
      </c>
      <c r="H740" s="39">
        <v>45190034</v>
      </c>
      <c r="I740" s="39" t="s">
        <v>186</v>
      </c>
      <c r="J740" s="39">
        <v>23</v>
      </c>
      <c r="K740" s="46">
        <v>1400488</v>
      </c>
      <c r="L740" s="39">
        <f t="shared" si="66"/>
        <v>21</v>
      </c>
      <c r="M740" s="39" t="s">
        <v>1274</v>
      </c>
      <c r="N740" s="39" t="s">
        <v>1267</v>
      </c>
      <c r="O740" s="39" t="s">
        <v>1274</v>
      </c>
    </row>
    <row r="741" spans="2:15" ht="16.5" customHeight="1" x14ac:dyDescent="0.3">
      <c r="B741" s="39">
        <f t="shared" si="65"/>
        <v>45190035</v>
      </c>
      <c r="C741" s="39">
        <v>1</v>
      </c>
      <c r="D741" s="39"/>
      <c r="E741" s="39"/>
      <c r="F741" s="39"/>
      <c r="G741" s="39">
        <v>1</v>
      </c>
      <c r="H741" s="39">
        <v>45190035</v>
      </c>
      <c r="I741" s="39" t="s">
        <v>186</v>
      </c>
      <c r="J741" s="39">
        <v>23</v>
      </c>
      <c r="K741" s="46">
        <v>1400489</v>
      </c>
      <c r="L741" s="39">
        <f t="shared" si="66"/>
        <v>21</v>
      </c>
      <c r="M741" s="39" t="s">
        <v>1276</v>
      </c>
      <c r="N741" s="39" t="s">
        <v>1268</v>
      </c>
      <c r="O741" s="39" t="s">
        <v>1276</v>
      </c>
    </row>
    <row r="742" spans="2:15" ht="16.5" customHeight="1" x14ac:dyDescent="0.3">
      <c r="B742" s="39">
        <f t="shared" si="65"/>
        <v>45190036</v>
      </c>
      <c r="C742" s="39">
        <v>1</v>
      </c>
      <c r="D742" s="39"/>
      <c r="E742" s="39"/>
      <c r="F742" s="39"/>
      <c r="G742" s="39">
        <v>1</v>
      </c>
      <c r="H742" s="39">
        <v>45190036</v>
      </c>
      <c r="I742" s="39" t="s">
        <v>186</v>
      </c>
      <c r="J742" s="39">
        <v>23</v>
      </c>
      <c r="K742" s="46">
        <v>1400490</v>
      </c>
      <c r="L742" s="39">
        <f t="shared" si="66"/>
        <v>21</v>
      </c>
      <c r="M742" s="39" t="s">
        <v>1276</v>
      </c>
      <c r="N742" s="39" t="s">
        <v>1269</v>
      </c>
      <c r="O742" s="39" t="s">
        <v>1276</v>
      </c>
    </row>
    <row r="743" spans="2:15" x14ac:dyDescent="0.3">
      <c r="B743" s="39">
        <f t="shared" si="65"/>
        <v>45190037</v>
      </c>
      <c r="C743" s="39">
        <v>1</v>
      </c>
      <c r="D743" s="39"/>
      <c r="E743" s="39"/>
      <c r="F743" s="39"/>
      <c r="G743" s="39">
        <v>1</v>
      </c>
      <c r="H743" s="39">
        <v>45190037</v>
      </c>
      <c r="I743" s="39" t="s">
        <v>186</v>
      </c>
      <c r="J743" s="39">
        <v>23</v>
      </c>
      <c r="K743" s="46">
        <v>1400491</v>
      </c>
      <c r="L743" s="39">
        <f t="shared" si="66"/>
        <v>21</v>
      </c>
      <c r="M743" s="39" t="s">
        <v>1277</v>
      </c>
      <c r="N743" s="39" t="s">
        <v>1270</v>
      </c>
      <c r="O743" s="39" t="s">
        <v>1277</v>
      </c>
    </row>
    <row r="744" spans="2:15" ht="16.5" customHeight="1" x14ac:dyDescent="0.3">
      <c r="B744" s="39">
        <f t="shared" si="65"/>
        <v>45190038</v>
      </c>
      <c r="C744" s="39">
        <v>1</v>
      </c>
      <c r="D744" s="39"/>
      <c r="E744" s="39"/>
      <c r="F744" s="39"/>
      <c r="G744" s="39">
        <v>1</v>
      </c>
      <c r="H744" s="39">
        <v>45190038</v>
      </c>
      <c r="I744" s="39" t="s">
        <v>186</v>
      </c>
      <c r="J744" s="39">
        <v>23</v>
      </c>
      <c r="K744" s="46">
        <v>1400492</v>
      </c>
      <c r="L744" s="39">
        <f t="shared" si="66"/>
        <v>21</v>
      </c>
      <c r="M744" s="39" t="s">
        <v>1278</v>
      </c>
      <c r="N744" s="39" t="s">
        <v>1271</v>
      </c>
      <c r="O744" s="39" t="s">
        <v>1278</v>
      </c>
    </row>
    <row r="745" spans="2:15" ht="16.5" customHeight="1" x14ac:dyDescent="0.2">
      <c r="B745" s="42">
        <f t="shared" si="65"/>
        <v>45190039</v>
      </c>
      <c r="C745" s="39">
        <v>1</v>
      </c>
      <c r="D745" s="39"/>
      <c r="E745" s="39"/>
      <c r="F745" s="39"/>
      <c r="G745" s="39">
        <v>1</v>
      </c>
      <c r="H745" s="42">
        <v>45190039</v>
      </c>
      <c r="I745" s="36" t="s">
        <v>184</v>
      </c>
      <c r="J745" s="42">
        <v>13</v>
      </c>
      <c r="K745" s="159">
        <v>1400364</v>
      </c>
      <c r="L745" s="42">
        <f t="shared" si="66"/>
        <v>5</v>
      </c>
      <c r="M745" s="42" t="s">
        <v>978</v>
      </c>
      <c r="N745" s="42" t="s">
        <v>1279</v>
      </c>
      <c r="O745" s="36" t="s">
        <v>1280</v>
      </c>
    </row>
    <row r="746" spans="2:15" ht="16.5" customHeight="1" x14ac:dyDescent="0.2">
      <c r="B746" s="42">
        <f t="shared" si="65"/>
        <v>45190040</v>
      </c>
      <c r="C746" s="39">
        <v>1</v>
      </c>
      <c r="D746" s="39"/>
      <c r="E746" s="39" t="s">
        <v>3030</v>
      </c>
      <c r="F746" s="39" t="s">
        <v>3031</v>
      </c>
      <c r="G746" s="39">
        <v>1</v>
      </c>
      <c r="H746" s="42">
        <v>45190040</v>
      </c>
      <c r="I746" s="36" t="s">
        <v>184</v>
      </c>
      <c r="J746" s="42">
        <v>13</v>
      </c>
      <c r="K746" s="159">
        <v>1400361</v>
      </c>
      <c r="L746" s="42">
        <f t="shared" si="66"/>
        <v>5</v>
      </c>
      <c r="M746" s="42" t="s">
        <v>971</v>
      </c>
      <c r="N746" s="42" t="s">
        <v>972</v>
      </c>
      <c r="O746" s="42" t="s">
        <v>3032</v>
      </c>
    </row>
    <row r="747" spans="2:15" x14ac:dyDescent="0.3">
      <c r="B747" s="39">
        <f t="shared" si="65"/>
        <v>45190042</v>
      </c>
      <c r="C747" s="39">
        <v>1</v>
      </c>
      <c r="D747" s="39"/>
      <c r="E747" s="39"/>
      <c r="F747" s="39"/>
      <c r="G747" s="39">
        <v>1</v>
      </c>
      <c r="H747" s="39">
        <v>45190042</v>
      </c>
      <c r="I747" s="39" t="s">
        <v>187</v>
      </c>
      <c r="J747" s="39">
        <v>21</v>
      </c>
      <c r="K747" s="46">
        <v>1400425</v>
      </c>
      <c r="L747" s="39">
        <f t="shared" si="66"/>
        <v>21</v>
      </c>
      <c r="M747" s="39" t="s">
        <v>2253</v>
      </c>
      <c r="N747" s="39" t="s">
        <v>1067</v>
      </c>
      <c r="O747" s="39"/>
    </row>
    <row r="748" spans="2:15" x14ac:dyDescent="0.3">
      <c r="B748" s="39">
        <v>45190043</v>
      </c>
      <c r="C748" s="39">
        <v>1</v>
      </c>
      <c r="D748" s="39"/>
      <c r="E748" s="39"/>
      <c r="F748" s="39"/>
      <c r="G748" s="39">
        <v>1</v>
      </c>
      <c r="H748" s="39">
        <v>45190043</v>
      </c>
      <c r="I748" s="39" t="s">
        <v>186</v>
      </c>
      <c r="J748" s="39">
        <v>21</v>
      </c>
      <c r="K748" s="46">
        <v>1400592</v>
      </c>
      <c r="L748" s="39">
        <v>21</v>
      </c>
      <c r="M748" s="39" t="s">
        <v>2093</v>
      </c>
      <c r="N748" s="39" t="s">
        <v>2094</v>
      </c>
      <c r="O748" s="39"/>
    </row>
    <row r="749" spans="2:15" ht="12.75" thickBot="1" x14ac:dyDescent="0.35">
      <c r="B749" s="98">
        <v>45190044</v>
      </c>
      <c r="C749" s="39">
        <v>1</v>
      </c>
      <c r="D749" s="39"/>
      <c r="E749" s="39"/>
      <c r="F749" s="39"/>
      <c r="G749" s="39">
        <v>1</v>
      </c>
      <c r="H749" s="98">
        <v>45190044</v>
      </c>
      <c r="I749" s="98" t="s">
        <v>186</v>
      </c>
      <c r="J749" s="98">
        <v>21</v>
      </c>
      <c r="K749" s="193">
        <v>1042862</v>
      </c>
      <c r="L749" s="98">
        <v>21</v>
      </c>
      <c r="M749" s="98" t="s">
        <v>2412</v>
      </c>
      <c r="N749" s="98" t="s">
        <v>2413</v>
      </c>
      <c r="O749" s="98" t="s">
        <v>2414</v>
      </c>
    </row>
    <row r="750" spans="2:15" ht="16.5" customHeight="1" thickTop="1" x14ac:dyDescent="0.3">
      <c r="B750" s="48">
        <v>45190045</v>
      </c>
      <c r="C750" s="39">
        <v>1</v>
      </c>
      <c r="D750" s="39"/>
      <c r="E750" s="39"/>
      <c r="F750" s="39"/>
      <c r="G750" s="39">
        <v>1</v>
      </c>
      <c r="H750" s="48">
        <v>45190045</v>
      </c>
      <c r="I750" s="48" t="s">
        <v>186</v>
      </c>
      <c r="J750" s="48">
        <v>21</v>
      </c>
      <c r="K750" s="106">
        <v>1042863</v>
      </c>
      <c r="L750" s="48">
        <v>21</v>
      </c>
      <c r="M750" s="48" t="s">
        <v>2415</v>
      </c>
      <c r="N750" s="48" t="s">
        <v>2416</v>
      </c>
      <c r="O750" s="48" t="s">
        <v>2417</v>
      </c>
    </row>
    <row r="751" spans="2:15" ht="16.5" customHeight="1" x14ac:dyDescent="0.2">
      <c r="B751" s="39">
        <f t="shared" ref="B751:B785" si="67">H751</f>
        <v>45200001</v>
      </c>
      <c r="C751" s="39">
        <v>1</v>
      </c>
      <c r="D751" s="39"/>
      <c r="E751" s="39"/>
      <c r="F751" s="39"/>
      <c r="G751" s="39">
        <v>1</v>
      </c>
      <c r="H751" s="39">
        <v>45200001</v>
      </c>
      <c r="I751" s="21" t="s">
        <v>186</v>
      </c>
      <c r="J751" s="39">
        <v>13</v>
      </c>
      <c r="K751" s="46">
        <v>1400391</v>
      </c>
      <c r="L751" s="39">
        <f t="shared" ref="L751:L770" si="68">VLOOKUP(I751,error,2,FALSE)</f>
        <v>21</v>
      </c>
      <c r="M751" s="39" t="s">
        <v>2254</v>
      </c>
      <c r="N751" s="50" t="s">
        <v>1055</v>
      </c>
      <c r="O751" s="39" t="s">
        <v>1059</v>
      </c>
    </row>
    <row r="752" spans="2:15" ht="16.5" customHeight="1" x14ac:dyDescent="0.2">
      <c r="B752" s="39">
        <f t="shared" si="67"/>
        <v>45200002</v>
      </c>
      <c r="C752" s="39">
        <v>1</v>
      </c>
      <c r="D752" s="39"/>
      <c r="E752" s="39"/>
      <c r="F752" s="39"/>
      <c r="G752" s="39">
        <v>1</v>
      </c>
      <c r="H752" s="39">
        <v>45200002</v>
      </c>
      <c r="I752" s="21" t="s">
        <v>186</v>
      </c>
      <c r="J752" s="39">
        <v>13</v>
      </c>
      <c r="K752" s="46">
        <v>1400392</v>
      </c>
      <c r="L752" s="39">
        <f t="shared" si="68"/>
        <v>21</v>
      </c>
      <c r="M752" s="39" t="s">
        <v>2255</v>
      </c>
      <c r="N752" s="50" t="s">
        <v>1056</v>
      </c>
      <c r="O752" s="40" t="s">
        <v>1060</v>
      </c>
    </row>
    <row r="753" spans="2:15" ht="16.5" customHeight="1" x14ac:dyDescent="0.2">
      <c r="B753" s="39">
        <f t="shared" si="67"/>
        <v>45200003</v>
      </c>
      <c r="C753" s="39">
        <v>1</v>
      </c>
      <c r="D753" s="39"/>
      <c r="E753" s="39"/>
      <c r="F753" s="39"/>
      <c r="G753" s="39">
        <v>1</v>
      </c>
      <c r="H753" s="39">
        <v>45200003</v>
      </c>
      <c r="I753" s="21" t="s">
        <v>186</v>
      </c>
      <c r="J753" s="39">
        <v>13</v>
      </c>
      <c r="K753" s="46">
        <v>1400393</v>
      </c>
      <c r="L753" s="39">
        <f t="shared" si="68"/>
        <v>21</v>
      </c>
      <c r="M753" s="39" t="s">
        <v>2256</v>
      </c>
      <c r="N753" s="39" t="s">
        <v>1057</v>
      </c>
      <c r="O753" s="40" t="s">
        <v>1061</v>
      </c>
    </row>
    <row r="754" spans="2:15" ht="16.5" customHeight="1" x14ac:dyDescent="0.2">
      <c r="B754" s="39">
        <f t="shared" si="67"/>
        <v>45200004</v>
      </c>
      <c r="C754" s="39">
        <v>1</v>
      </c>
      <c r="D754" s="39"/>
      <c r="E754" s="39"/>
      <c r="F754" s="39"/>
      <c r="G754" s="39">
        <v>1</v>
      </c>
      <c r="H754" s="39">
        <v>45200004</v>
      </c>
      <c r="I754" s="21" t="s">
        <v>186</v>
      </c>
      <c r="J754" s="39">
        <v>13</v>
      </c>
      <c r="K754" s="46">
        <v>1400394</v>
      </c>
      <c r="L754" s="39">
        <f t="shared" si="68"/>
        <v>21</v>
      </c>
      <c r="M754" s="39" t="s">
        <v>2257</v>
      </c>
      <c r="N754" s="39" t="s">
        <v>1058</v>
      </c>
      <c r="O754" s="40" t="s">
        <v>1062</v>
      </c>
    </row>
    <row r="755" spans="2:15" ht="16.5" customHeight="1" x14ac:dyDescent="0.2">
      <c r="B755" s="39">
        <v>45200005</v>
      </c>
      <c r="C755" s="39">
        <v>1</v>
      </c>
      <c r="D755" s="39"/>
      <c r="E755" s="39"/>
      <c r="F755" s="39"/>
      <c r="G755" s="39">
        <v>1</v>
      </c>
      <c r="H755" s="39">
        <v>45200005</v>
      </c>
      <c r="I755" s="21" t="s">
        <v>186</v>
      </c>
      <c r="J755" s="39">
        <v>13</v>
      </c>
      <c r="K755" s="46">
        <v>1400596</v>
      </c>
      <c r="L755" s="39">
        <v>21</v>
      </c>
      <c r="M755" s="39" t="s">
        <v>2535</v>
      </c>
      <c r="N755" s="39" t="s">
        <v>2536</v>
      </c>
      <c r="O755" s="40" t="s">
        <v>2537</v>
      </c>
    </row>
    <row r="756" spans="2:15" ht="16.5" customHeight="1" x14ac:dyDescent="0.2">
      <c r="B756" s="39">
        <v>45200006</v>
      </c>
      <c r="C756" s="39">
        <v>1</v>
      </c>
      <c r="D756" s="39"/>
      <c r="E756" s="39"/>
      <c r="F756" s="39"/>
      <c r="G756" s="39">
        <v>1</v>
      </c>
      <c r="H756" s="39">
        <v>45200006</v>
      </c>
      <c r="I756" s="21" t="s">
        <v>186</v>
      </c>
      <c r="J756" s="39">
        <v>13</v>
      </c>
      <c r="K756" s="46">
        <v>1400596</v>
      </c>
      <c r="L756" s="39">
        <v>21</v>
      </c>
      <c r="M756" s="39" t="s">
        <v>2535</v>
      </c>
      <c r="N756" s="39" t="s">
        <v>2538</v>
      </c>
      <c r="O756" s="40" t="s">
        <v>2539</v>
      </c>
    </row>
    <row r="757" spans="2:15" x14ac:dyDescent="0.3">
      <c r="B757" s="39">
        <f t="shared" si="67"/>
        <v>45220001</v>
      </c>
      <c r="C757" s="39">
        <v>1</v>
      </c>
      <c r="D757" s="39"/>
      <c r="E757" s="39"/>
      <c r="F757" s="39"/>
      <c r="G757" s="39">
        <v>1</v>
      </c>
      <c r="H757" s="39">
        <v>45220001</v>
      </c>
      <c r="I757" s="39" t="s">
        <v>187</v>
      </c>
      <c r="J757" s="39">
        <v>21</v>
      </c>
      <c r="K757" s="46">
        <v>1400395</v>
      </c>
      <c r="L757" s="39">
        <f t="shared" si="68"/>
        <v>21</v>
      </c>
      <c r="M757" s="39" t="s">
        <v>2258</v>
      </c>
      <c r="N757" s="39" t="s">
        <v>1077</v>
      </c>
      <c r="O757" s="39"/>
    </row>
    <row r="758" spans="2:15" x14ac:dyDescent="0.3">
      <c r="B758" s="39">
        <f t="shared" si="67"/>
        <v>45220002</v>
      </c>
      <c r="C758" s="39">
        <v>1</v>
      </c>
      <c r="D758" s="39"/>
      <c r="E758" s="39"/>
      <c r="F758" s="39"/>
      <c r="G758" s="39">
        <v>1</v>
      </c>
      <c r="H758" s="39">
        <v>45220002</v>
      </c>
      <c r="I758" s="39" t="s">
        <v>187</v>
      </c>
      <c r="J758" s="39">
        <v>21</v>
      </c>
      <c r="K758" s="46">
        <v>1400396</v>
      </c>
      <c r="L758" s="39">
        <f t="shared" si="68"/>
        <v>21</v>
      </c>
      <c r="M758" s="39" t="s">
        <v>2259</v>
      </c>
      <c r="N758" s="39" t="s">
        <v>1078</v>
      </c>
      <c r="O758" s="39"/>
    </row>
    <row r="759" spans="2:15" x14ac:dyDescent="0.3">
      <c r="B759" s="39">
        <f t="shared" si="67"/>
        <v>45230001</v>
      </c>
      <c r="C759" s="39">
        <v>1</v>
      </c>
      <c r="D759" s="39"/>
      <c r="E759" s="39"/>
      <c r="F759" s="39"/>
      <c r="G759" s="39">
        <v>1</v>
      </c>
      <c r="H759" s="39">
        <v>45230001</v>
      </c>
      <c r="I759" s="39" t="s">
        <v>186</v>
      </c>
      <c r="J759" s="39">
        <v>23</v>
      </c>
      <c r="K759" s="46">
        <v>1400493</v>
      </c>
      <c r="L759" s="39">
        <f t="shared" si="68"/>
        <v>21</v>
      </c>
      <c r="M759" s="39" t="s">
        <v>1281</v>
      </c>
      <c r="N759" s="39" t="s">
        <v>1288</v>
      </c>
      <c r="O759" s="39" t="s">
        <v>1295</v>
      </c>
    </row>
    <row r="760" spans="2:15" x14ac:dyDescent="0.3">
      <c r="B760" s="39">
        <f t="shared" si="67"/>
        <v>45230002</v>
      </c>
      <c r="C760" s="39">
        <v>1</v>
      </c>
      <c r="D760" s="39"/>
      <c r="E760" s="39"/>
      <c r="F760" s="39"/>
      <c r="G760" s="39">
        <v>1</v>
      </c>
      <c r="H760" s="39">
        <v>45230002</v>
      </c>
      <c r="I760" s="39" t="s">
        <v>186</v>
      </c>
      <c r="J760" s="39">
        <v>23</v>
      </c>
      <c r="K760" s="46">
        <v>1400494</v>
      </c>
      <c r="L760" s="39">
        <f t="shared" si="68"/>
        <v>21</v>
      </c>
      <c r="M760" s="39" t="s">
        <v>1282</v>
      </c>
      <c r="N760" s="39" t="s">
        <v>1289</v>
      </c>
      <c r="O760" s="39" t="s">
        <v>1296</v>
      </c>
    </row>
    <row r="761" spans="2:15" x14ac:dyDescent="0.3">
      <c r="B761" s="39">
        <f t="shared" si="67"/>
        <v>45230003</v>
      </c>
      <c r="C761" s="39">
        <v>1</v>
      </c>
      <c r="D761" s="39"/>
      <c r="E761" s="39"/>
      <c r="F761" s="39"/>
      <c r="G761" s="39">
        <v>1</v>
      </c>
      <c r="H761" s="39">
        <v>45230003</v>
      </c>
      <c r="I761" s="39" t="s">
        <v>186</v>
      </c>
      <c r="J761" s="39">
        <v>23</v>
      </c>
      <c r="K761" s="46">
        <v>1400495</v>
      </c>
      <c r="L761" s="39">
        <f t="shared" si="68"/>
        <v>21</v>
      </c>
      <c r="M761" s="39" t="s">
        <v>1283</v>
      </c>
      <c r="N761" s="39" t="s">
        <v>1290</v>
      </c>
      <c r="O761" s="39" t="s">
        <v>1297</v>
      </c>
    </row>
    <row r="762" spans="2:15" x14ac:dyDescent="0.3">
      <c r="B762" s="39">
        <f t="shared" si="67"/>
        <v>45230004</v>
      </c>
      <c r="C762" s="39">
        <v>1</v>
      </c>
      <c r="D762" s="39"/>
      <c r="E762" s="39"/>
      <c r="F762" s="39"/>
      <c r="G762" s="39">
        <v>1</v>
      </c>
      <c r="H762" s="39">
        <v>45230004</v>
      </c>
      <c r="I762" s="39" t="s">
        <v>186</v>
      </c>
      <c r="J762" s="39">
        <v>23</v>
      </c>
      <c r="K762" s="46">
        <v>1400496</v>
      </c>
      <c r="L762" s="39">
        <f t="shared" si="68"/>
        <v>21</v>
      </c>
      <c r="M762" s="39" t="s">
        <v>1284</v>
      </c>
      <c r="N762" s="39" t="s">
        <v>1291</v>
      </c>
      <c r="O762" s="39" t="s">
        <v>1298</v>
      </c>
    </row>
    <row r="763" spans="2:15" x14ac:dyDescent="0.3">
      <c r="B763" s="39">
        <f t="shared" si="67"/>
        <v>45230005</v>
      </c>
      <c r="C763" s="39">
        <v>1</v>
      </c>
      <c r="D763" s="39"/>
      <c r="E763" s="39"/>
      <c r="F763" s="39"/>
      <c r="G763" s="39">
        <v>1</v>
      </c>
      <c r="H763" s="39">
        <v>45230005</v>
      </c>
      <c r="I763" s="39" t="s">
        <v>186</v>
      </c>
      <c r="J763" s="39">
        <v>23</v>
      </c>
      <c r="K763" s="46">
        <v>1400497</v>
      </c>
      <c r="L763" s="39">
        <f t="shared" si="68"/>
        <v>21</v>
      </c>
      <c r="M763" s="39" t="s">
        <v>1285</v>
      </c>
      <c r="N763" s="39" t="s">
        <v>1292</v>
      </c>
      <c r="O763" s="39" t="s">
        <v>1299</v>
      </c>
    </row>
    <row r="764" spans="2:15" x14ac:dyDescent="0.3">
      <c r="B764" s="39">
        <f t="shared" si="67"/>
        <v>45230006</v>
      </c>
      <c r="C764" s="39">
        <v>1</v>
      </c>
      <c r="D764" s="39"/>
      <c r="E764" s="39"/>
      <c r="F764" s="39"/>
      <c r="G764" s="39">
        <v>1</v>
      </c>
      <c r="H764" s="39">
        <v>45230006</v>
      </c>
      <c r="I764" s="39" t="s">
        <v>186</v>
      </c>
      <c r="J764" s="39">
        <v>23</v>
      </c>
      <c r="K764" s="46">
        <v>1400498</v>
      </c>
      <c r="L764" s="39">
        <f t="shared" si="68"/>
        <v>21</v>
      </c>
      <c r="M764" s="39" t="s">
        <v>1286</v>
      </c>
      <c r="N764" s="39" t="s">
        <v>1293</v>
      </c>
      <c r="O764" s="39" t="s">
        <v>1300</v>
      </c>
    </row>
    <row r="765" spans="2:15" ht="16.5" customHeight="1" x14ac:dyDescent="0.3">
      <c r="B765" s="39">
        <f t="shared" si="67"/>
        <v>45230007</v>
      </c>
      <c r="C765" s="39">
        <v>1</v>
      </c>
      <c r="D765" s="39"/>
      <c r="E765" s="39"/>
      <c r="F765" s="39"/>
      <c r="G765" s="39">
        <v>1</v>
      </c>
      <c r="H765" s="39">
        <v>45230007</v>
      </c>
      <c r="I765" s="39" t="s">
        <v>186</v>
      </c>
      <c r="J765" s="39">
        <v>23</v>
      </c>
      <c r="K765" s="46">
        <v>1400499</v>
      </c>
      <c r="L765" s="39">
        <f t="shared" si="68"/>
        <v>21</v>
      </c>
      <c r="M765" s="39" t="s">
        <v>1287</v>
      </c>
      <c r="N765" s="39" t="s">
        <v>1294</v>
      </c>
      <c r="O765" s="39" t="s">
        <v>1301</v>
      </c>
    </row>
    <row r="766" spans="2:15" ht="16.5" customHeight="1" x14ac:dyDescent="0.2">
      <c r="B766" s="42">
        <f t="shared" si="67"/>
        <v>45230008</v>
      </c>
      <c r="C766" s="39">
        <v>1</v>
      </c>
      <c r="D766" s="39"/>
      <c r="E766" s="39"/>
      <c r="F766" s="39"/>
      <c r="G766" s="39">
        <v>1</v>
      </c>
      <c r="H766" s="42">
        <v>45230008</v>
      </c>
      <c r="I766" s="36" t="s">
        <v>186</v>
      </c>
      <c r="J766" s="42">
        <v>13</v>
      </c>
      <c r="K766" s="159">
        <v>0</v>
      </c>
      <c r="L766" s="42">
        <f t="shared" si="68"/>
        <v>21</v>
      </c>
      <c r="M766" s="42" t="s">
        <v>2260</v>
      </c>
      <c r="N766" s="42" t="s">
        <v>1105</v>
      </c>
      <c r="O766" s="43" t="s">
        <v>1302</v>
      </c>
    </row>
    <row r="767" spans="2:15" x14ac:dyDescent="0.3">
      <c r="B767" s="39">
        <f t="shared" si="67"/>
        <v>45230010</v>
      </c>
      <c r="C767" s="39">
        <v>1</v>
      </c>
      <c r="D767" s="39"/>
      <c r="E767" s="39"/>
      <c r="F767" s="39"/>
      <c r="G767" s="39">
        <v>1</v>
      </c>
      <c r="H767" s="39">
        <v>45230010</v>
      </c>
      <c r="I767" s="39" t="s">
        <v>186</v>
      </c>
      <c r="J767" s="39">
        <v>23</v>
      </c>
      <c r="K767" s="46">
        <v>1400500</v>
      </c>
      <c r="L767" s="39">
        <f t="shared" si="68"/>
        <v>21</v>
      </c>
      <c r="M767" s="39" t="s">
        <v>2261</v>
      </c>
      <c r="N767" s="39" t="s">
        <v>1308</v>
      </c>
      <c r="O767" s="39" t="s">
        <v>1309</v>
      </c>
    </row>
    <row r="768" spans="2:15" x14ac:dyDescent="0.3">
      <c r="B768" s="39">
        <f t="shared" si="67"/>
        <v>45230011</v>
      </c>
      <c r="C768" s="39">
        <v>1</v>
      </c>
      <c r="D768" s="39"/>
      <c r="E768" s="39"/>
      <c r="F768" s="39"/>
      <c r="G768" s="39">
        <v>1</v>
      </c>
      <c r="H768" s="39">
        <v>45230011</v>
      </c>
      <c r="I768" s="45" t="s">
        <v>186</v>
      </c>
      <c r="J768" s="45">
        <v>13</v>
      </c>
      <c r="K768" s="46">
        <v>1400523</v>
      </c>
      <c r="L768" s="45">
        <f t="shared" si="68"/>
        <v>21</v>
      </c>
      <c r="M768" s="39" t="s">
        <v>2262</v>
      </c>
      <c r="N768" s="39" t="s">
        <v>1467</v>
      </c>
      <c r="O768" s="39"/>
    </row>
    <row r="769" spans="2:15" x14ac:dyDescent="0.3">
      <c r="B769" s="39">
        <f t="shared" si="67"/>
        <v>45230012</v>
      </c>
      <c r="C769" s="39">
        <v>1</v>
      </c>
      <c r="D769" s="39"/>
      <c r="E769" s="39"/>
      <c r="F769" s="39"/>
      <c r="G769" s="39">
        <v>1</v>
      </c>
      <c r="H769" s="39">
        <v>45230012</v>
      </c>
      <c r="I769" s="39" t="s">
        <v>186</v>
      </c>
      <c r="J769" s="39">
        <v>21</v>
      </c>
      <c r="K769" s="46">
        <v>1400574</v>
      </c>
      <c r="L769" s="39">
        <f t="shared" si="68"/>
        <v>21</v>
      </c>
      <c r="M769" s="39" t="s">
        <v>2263</v>
      </c>
      <c r="N769" s="39" t="s">
        <v>1811</v>
      </c>
      <c r="O769" s="39"/>
    </row>
    <row r="770" spans="2:15" x14ac:dyDescent="0.3">
      <c r="B770" s="39">
        <f t="shared" si="67"/>
        <v>45230013</v>
      </c>
      <c r="C770" s="39">
        <v>1</v>
      </c>
      <c r="D770" s="39"/>
      <c r="E770" s="39"/>
      <c r="F770" s="39"/>
      <c r="G770" s="39">
        <v>1</v>
      </c>
      <c r="H770" s="39">
        <v>45230013</v>
      </c>
      <c r="I770" s="39" t="s">
        <v>186</v>
      </c>
      <c r="J770" s="39">
        <v>21</v>
      </c>
      <c r="K770" s="46">
        <v>1400575</v>
      </c>
      <c r="L770" s="39">
        <f t="shared" si="68"/>
        <v>21</v>
      </c>
      <c r="M770" s="39" t="s">
        <v>2264</v>
      </c>
      <c r="N770" s="39" t="s">
        <v>1812</v>
      </c>
      <c r="O770" s="39"/>
    </row>
    <row r="771" spans="2:15" x14ac:dyDescent="0.3">
      <c r="B771" s="39">
        <f t="shared" si="67"/>
        <v>45230014</v>
      </c>
      <c r="C771" s="39">
        <v>1</v>
      </c>
      <c r="D771" s="39"/>
      <c r="E771" s="39"/>
      <c r="F771" s="39"/>
      <c r="G771" s="39">
        <v>1</v>
      </c>
      <c r="H771" s="39">
        <v>45230014</v>
      </c>
      <c r="I771" s="45" t="s">
        <v>186</v>
      </c>
      <c r="J771" s="45">
        <v>13</v>
      </c>
      <c r="K771" s="57">
        <v>1400533</v>
      </c>
      <c r="L771" s="45">
        <v>21</v>
      </c>
      <c r="M771" s="39" t="s">
        <v>2265</v>
      </c>
      <c r="N771" s="39" t="s">
        <v>1537</v>
      </c>
      <c r="O771" s="39" t="s">
        <v>1538</v>
      </c>
    </row>
    <row r="772" spans="2:15" x14ac:dyDescent="0.3">
      <c r="B772" s="42">
        <f t="shared" si="67"/>
        <v>45290001</v>
      </c>
      <c r="C772" s="39">
        <v>1</v>
      </c>
      <c r="D772" s="39"/>
      <c r="E772" s="39"/>
      <c r="F772" s="39"/>
      <c r="G772" s="39">
        <v>1</v>
      </c>
      <c r="H772" s="42">
        <v>45290001</v>
      </c>
      <c r="I772" s="42" t="s">
        <v>187</v>
      </c>
      <c r="J772" s="42">
        <v>21</v>
      </c>
      <c r="K772" s="159">
        <v>1400457</v>
      </c>
      <c r="L772" s="42">
        <f t="shared" ref="L772:L813" si="69">VLOOKUP(I772,error,2,FALSE)</f>
        <v>21</v>
      </c>
      <c r="M772" s="42" t="s">
        <v>2266</v>
      </c>
      <c r="N772" s="42" t="s">
        <v>1186</v>
      </c>
      <c r="O772" s="39" t="s">
        <v>1303</v>
      </c>
    </row>
    <row r="773" spans="2:15" x14ac:dyDescent="0.3">
      <c r="B773" s="42">
        <f t="shared" si="67"/>
        <v>45290002</v>
      </c>
      <c r="C773" s="39">
        <v>1</v>
      </c>
      <c r="D773" s="39"/>
      <c r="E773" s="39"/>
      <c r="F773" s="39"/>
      <c r="G773" s="39">
        <v>1</v>
      </c>
      <c r="H773" s="42">
        <v>45290002</v>
      </c>
      <c r="I773" s="42" t="s">
        <v>187</v>
      </c>
      <c r="J773" s="42">
        <v>21</v>
      </c>
      <c r="K773" s="159">
        <v>1400458</v>
      </c>
      <c r="L773" s="42">
        <f t="shared" si="69"/>
        <v>21</v>
      </c>
      <c r="M773" s="42" t="s">
        <v>2267</v>
      </c>
      <c r="N773" s="42" t="s">
        <v>1187</v>
      </c>
      <c r="O773" s="39" t="s">
        <v>1304</v>
      </c>
    </row>
    <row r="774" spans="2:15" x14ac:dyDescent="0.3">
      <c r="B774" s="42">
        <f t="shared" si="67"/>
        <v>45290003</v>
      </c>
      <c r="C774" s="39">
        <v>1</v>
      </c>
      <c r="D774" s="39"/>
      <c r="E774" s="39"/>
      <c r="F774" s="39"/>
      <c r="G774" s="39">
        <v>1</v>
      </c>
      <c r="H774" s="42">
        <v>45290003</v>
      </c>
      <c r="I774" s="42" t="s">
        <v>187</v>
      </c>
      <c r="J774" s="42">
        <v>21</v>
      </c>
      <c r="K774" s="159">
        <v>1400459</v>
      </c>
      <c r="L774" s="42">
        <f t="shared" si="69"/>
        <v>21</v>
      </c>
      <c r="M774" s="42" t="s">
        <v>2268</v>
      </c>
      <c r="N774" s="42" t="s">
        <v>1188</v>
      </c>
      <c r="O774" s="39" t="s">
        <v>1305</v>
      </c>
    </row>
    <row r="775" spans="2:15" ht="16.5" customHeight="1" x14ac:dyDescent="0.3">
      <c r="B775" s="42">
        <f t="shared" si="67"/>
        <v>45290004</v>
      </c>
      <c r="C775" s="39">
        <v>1</v>
      </c>
      <c r="D775" s="39"/>
      <c r="E775" s="39"/>
      <c r="F775" s="39"/>
      <c r="G775" s="39">
        <v>1</v>
      </c>
      <c r="H775" s="42">
        <v>45290004</v>
      </c>
      <c r="I775" s="42" t="s">
        <v>187</v>
      </c>
      <c r="J775" s="42">
        <v>21</v>
      </c>
      <c r="K775" s="159">
        <v>1400460</v>
      </c>
      <c r="L775" s="42">
        <f t="shared" si="69"/>
        <v>21</v>
      </c>
      <c r="M775" s="42" t="s">
        <v>2269</v>
      </c>
      <c r="N775" s="42" t="s">
        <v>1189</v>
      </c>
      <c r="O775" s="39" t="s">
        <v>1306</v>
      </c>
    </row>
    <row r="776" spans="2:15" ht="16.5" customHeight="1" thickBot="1" x14ac:dyDescent="0.25">
      <c r="B776" s="44">
        <f t="shared" si="67"/>
        <v>45290005</v>
      </c>
      <c r="C776" s="39">
        <v>1</v>
      </c>
      <c r="D776" s="39"/>
      <c r="E776" s="39"/>
      <c r="F776" s="39"/>
      <c r="G776" s="39">
        <v>1</v>
      </c>
      <c r="H776" s="44">
        <v>45290005</v>
      </c>
      <c r="I776" s="63" t="s">
        <v>186</v>
      </c>
      <c r="J776" s="44">
        <v>13</v>
      </c>
      <c r="K776" s="54">
        <v>1400589</v>
      </c>
      <c r="L776" s="44">
        <f t="shared" si="69"/>
        <v>21</v>
      </c>
      <c r="M776" s="44" t="s">
        <v>2270</v>
      </c>
      <c r="N776" s="44" t="s">
        <v>1891</v>
      </c>
      <c r="O776" s="115"/>
    </row>
    <row r="777" spans="2:15" ht="16.5" customHeight="1" x14ac:dyDescent="0.2">
      <c r="B777" s="162">
        <f>H777</f>
        <v>45290006</v>
      </c>
      <c r="C777" s="44">
        <v>1</v>
      </c>
      <c r="D777" s="44"/>
      <c r="E777" s="44"/>
      <c r="F777" s="44"/>
      <c r="G777" s="44">
        <v>1</v>
      </c>
      <c r="H777" s="164">
        <v>45290006</v>
      </c>
      <c r="I777" s="163" t="s">
        <v>186</v>
      </c>
      <c r="J777" s="164">
        <v>21</v>
      </c>
      <c r="K777" s="165">
        <v>2100073</v>
      </c>
      <c r="L777" s="164">
        <v>21</v>
      </c>
      <c r="M777" s="164" t="s">
        <v>2585</v>
      </c>
      <c r="N777" s="164" t="s">
        <v>2586</v>
      </c>
      <c r="O777" s="319" t="s">
        <v>2582</v>
      </c>
    </row>
    <row r="778" spans="2:15" x14ac:dyDescent="0.3">
      <c r="B778" s="48">
        <f t="shared" si="67"/>
        <v>45300001</v>
      </c>
      <c r="C778" s="48">
        <v>1</v>
      </c>
      <c r="D778" s="48"/>
      <c r="E778" s="48"/>
      <c r="F778" s="48"/>
      <c r="G778" s="48">
        <v>1</v>
      </c>
      <c r="H778" s="48">
        <v>45300001</v>
      </c>
      <c r="I778" s="48" t="s">
        <v>187</v>
      </c>
      <c r="J778" s="48">
        <v>21</v>
      </c>
      <c r="K778" s="106">
        <v>1400538</v>
      </c>
      <c r="L778" s="48">
        <f t="shared" si="69"/>
        <v>21</v>
      </c>
      <c r="M778" s="48" t="s">
        <v>2271</v>
      </c>
      <c r="N778" s="48" t="s">
        <v>1601</v>
      </c>
      <c r="O778" s="48"/>
    </row>
    <row r="779" spans="2:15" x14ac:dyDescent="0.3">
      <c r="B779" s="39">
        <f t="shared" si="67"/>
        <v>45400001</v>
      </c>
      <c r="C779" s="39">
        <v>1</v>
      </c>
      <c r="D779" s="39"/>
      <c r="E779" s="39"/>
      <c r="F779" s="39"/>
      <c r="G779" s="39">
        <v>1</v>
      </c>
      <c r="H779" s="39">
        <v>45400001</v>
      </c>
      <c r="I779" s="45" t="s">
        <v>186</v>
      </c>
      <c r="J779" s="45">
        <v>13</v>
      </c>
      <c r="K779" s="46">
        <v>1400501</v>
      </c>
      <c r="L779" s="45">
        <f t="shared" si="69"/>
        <v>21</v>
      </c>
      <c r="M779" s="39" t="s">
        <v>2272</v>
      </c>
      <c r="N779" s="39" t="s">
        <v>1450</v>
      </c>
      <c r="O779" s="39"/>
    </row>
    <row r="780" spans="2:15" x14ac:dyDescent="0.3">
      <c r="B780" s="39">
        <f t="shared" si="67"/>
        <v>45400002</v>
      </c>
      <c r="C780" s="39">
        <v>1</v>
      </c>
      <c r="D780" s="39"/>
      <c r="E780" s="39"/>
      <c r="F780" s="39"/>
      <c r="G780" s="39">
        <v>1</v>
      </c>
      <c r="H780" s="39">
        <v>45400002</v>
      </c>
      <c r="I780" s="45" t="s">
        <v>186</v>
      </c>
      <c r="J780" s="45">
        <v>13</v>
      </c>
      <c r="K780" s="46">
        <v>1400502</v>
      </c>
      <c r="L780" s="45">
        <f t="shared" si="69"/>
        <v>21</v>
      </c>
      <c r="M780" s="39" t="s">
        <v>2273</v>
      </c>
      <c r="N780" s="39" t="s">
        <v>1451</v>
      </c>
      <c r="O780" s="39"/>
    </row>
    <row r="781" spans="2:15" x14ac:dyDescent="0.3">
      <c r="B781" s="39">
        <f t="shared" si="67"/>
        <v>45400003</v>
      </c>
      <c r="C781" s="39">
        <v>1</v>
      </c>
      <c r="D781" s="39"/>
      <c r="E781" s="39"/>
      <c r="F781" s="39"/>
      <c r="G781" s="39">
        <v>1</v>
      </c>
      <c r="H781" s="39">
        <v>45400003</v>
      </c>
      <c r="I781" s="45" t="s">
        <v>186</v>
      </c>
      <c r="J781" s="45">
        <v>13</v>
      </c>
      <c r="K781" s="46">
        <v>1400503</v>
      </c>
      <c r="L781" s="45">
        <f t="shared" si="69"/>
        <v>21</v>
      </c>
      <c r="M781" s="39" t="s">
        <v>2274</v>
      </c>
      <c r="N781" s="39" t="s">
        <v>1452</v>
      </c>
      <c r="O781" s="39"/>
    </row>
    <row r="782" spans="2:15" x14ac:dyDescent="0.3">
      <c r="B782" s="39">
        <f t="shared" si="67"/>
        <v>45400004</v>
      </c>
      <c r="C782" s="39">
        <v>1</v>
      </c>
      <c r="D782" s="39"/>
      <c r="E782" s="39"/>
      <c r="F782" s="39"/>
      <c r="G782" s="39">
        <v>1</v>
      </c>
      <c r="H782" s="39">
        <v>45400004</v>
      </c>
      <c r="I782" s="45" t="s">
        <v>186</v>
      </c>
      <c r="J782" s="45">
        <v>13</v>
      </c>
      <c r="K782" s="46">
        <v>1400504</v>
      </c>
      <c r="L782" s="45">
        <f t="shared" si="69"/>
        <v>21</v>
      </c>
      <c r="M782" s="39" t="s">
        <v>2275</v>
      </c>
      <c r="N782" s="39" t="s">
        <v>1453</v>
      </c>
      <c r="O782" s="39"/>
    </row>
    <row r="783" spans="2:15" x14ac:dyDescent="0.3">
      <c r="B783" s="39">
        <f t="shared" si="67"/>
        <v>45400005</v>
      </c>
      <c r="C783" s="39">
        <v>1</v>
      </c>
      <c r="D783" s="39"/>
      <c r="E783" s="39"/>
      <c r="F783" s="39"/>
      <c r="G783" s="39">
        <v>1</v>
      </c>
      <c r="H783" s="39">
        <v>45400005</v>
      </c>
      <c r="I783" s="45" t="s">
        <v>186</v>
      </c>
      <c r="J783" s="45">
        <v>13</v>
      </c>
      <c r="K783" s="46">
        <v>1400505</v>
      </c>
      <c r="L783" s="45">
        <f t="shared" si="69"/>
        <v>21</v>
      </c>
      <c r="M783" s="39" t="s">
        <v>2276</v>
      </c>
      <c r="N783" s="39" t="s">
        <v>1454</v>
      </c>
      <c r="O783" s="39"/>
    </row>
    <row r="784" spans="2:15" x14ac:dyDescent="0.3">
      <c r="B784" s="39">
        <f t="shared" si="67"/>
        <v>45400006</v>
      </c>
      <c r="C784" s="39">
        <v>1</v>
      </c>
      <c r="D784" s="39"/>
      <c r="E784" s="39"/>
      <c r="F784" s="39"/>
      <c r="G784" s="39">
        <v>1</v>
      </c>
      <c r="H784" s="39">
        <v>45400006</v>
      </c>
      <c r="I784" s="45" t="s">
        <v>186</v>
      </c>
      <c r="J784" s="45">
        <v>13</v>
      </c>
      <c r="K784" s="46">
        <v>1400506</v>
      </c>
      <c r="L784" s="45">
        <f t="shared" si="69"/>
        <v>21</v>
      </c>
      <c r="M784" s="39" t="s">
        <v>2277</v>
      </c>
      <c r="N784" s="39" t="s">
        <v>1455</v>
      </c>
      <c r="O784" s="39"/>
    </row>
    <row r="785" spans="2:15" x14ac:dyDescent="0.3">
      <c r="B785" s="39">
        <f t="shared" si="67"/>
        <v>45400007</v>
      </c>
      <c r="C785" s="39">
        <v>1</v>
      </c>
      <c r="D785" s="39"/>
      <c r="E785" s="39"/>
      <c r="F785" s="39"/>
      <c r="G785" s="39">
        <v>1</v>
      </c>
      <c r="H785" s="39">
        <v>45400007</v>
      </c>
      <c r="I785" s="45" t="s">
        <v>186</v>
      </c>
      <c r="J785" s="45">
        <v>13</v>
      </c>
      <c r="K785" s="46">
        <v>1400507</v>
      </c>
      <c r="L785" s="45">
        <f t="shared" si="69"/>
        <v>21</v>
      </c>
      <c r="M785" s="39" t="s">
        <v>2278</v>
      </c>
      <c r="N785" s="39" t="s">
        <v>1456</v>
      </c>
      <c r="O785" s="39"/>
    </row>
    <row r="786" spans="2:15" x14ac:dyDescent="0.3">
      <c r="B786" s="39">
        <f t="shared" ref="B786:B814" si="70">H786</f>
        <v>45400008</v>
      </c>
      <c r="C786" s="39">
        <v>1</v>
      </c>
      <c r="D786" s="39"/>
      <c r="E786" s="39"/>
      <c r="F786" s="39"/>
      <c r="G786" s="39">
        <v>1</v>
      </c>
      <c r="H786" s="39">
        <v>45400008</v>
      </c>
      <c r="I786" s="45" t="s">
        <v>186</v>
      </c>
      <c r="J786" s="45">
        <v>13</v>
      </c>
      <c r="K786" s="46">
        <v>1400508</v>
      </c>
      <c r="L786" s="45">
        <f t="shared" si="69"/>
        <v>21</v>
      </c>
      <c r="M786" s="39" t="s">
        <v>2279</v>
      </c>
      <c r="N786" s="39" t="s">
        <v>1457</v>
      </c>
      <c r="O786" s="39"/>
    </row>
    <row r="787" spans="2:15" x14ac:dyDescent="0.3">
      <c r="B787" s="39">
        <f t="shared" si="70"/>
        <v>45400009</v>
      </c>
      <c r="C787" s="39">
        <v>1</v>
      </c>
      <c r="D787" s="39"/>
      <c r="E787" s="39"/>
      <c r="F787" s="39"/>
      <c r="G787" s="39">
        <v>1</v>
      </c>
      <c r="H787" s="39">
        <v>45400009</v>
      </c>
      <c r="I787" s="45" t="s">
        <v>186</v>
      </c>
      <c r="J787" s="45">
        <v>13</v>
      </c>
      <c r="K787" s="46">
        <v>1400509</v>
      </c>
      <c r="L787" s="45">
        <f t="shared" si="69"/>
        <v>21</v>
      </c>
      <c r="M787" s="39" t="s">
        <v>2280</v>
      </c>
      <c r="N787" s="39" t="s">
        <v>1458</v>
      </c>
      <c r="O787" s="39"/>
    </row>
    <row r="788" spans="2:15" x14ac:dyDescent="0.3">
      <c r="B788" s="39">
        <f t="shared" si="70"/>
        <v>45400010</v>
      </c>
      <c r="C788" s="39">
        <v>1</v>
      </c>
      <c r="D788" s="39"/>
      <c r="E788" s="39"/>
      <c r="F788" s="39"/>
      <c r="G788" s="39">
        <v>1</v>
      </c>
      <c r="H788" s="39">
        <v>45400010</v>
      </c>
      <c r="I788" s="45" t="s">
        <v>186</v>
      </c>
      <c r="J788" s="45">
        <v>13</v>
      </c>
      <c r="K788" s="46">
        <v>1400510</v>
      </c>
      <c r="L788" s="45">
        <f t="shared" si="69"/>
        <v>21</v>
      </c>
      <c r="M788" s="39" t="s">
        <v>2281</v>
      </c>
      <c r="N788" s="39" t="s">
        <v>1459</v>
      </c>
      <c r="O788" s="39"/>
    </row>
    <row r="789" spans="2:15" x14ac:dyDescent="0.3">
      <c r="B789" s="39">
        <f t="shared" si="70"/>
        <v>45400011</v>
      </c>
      <c r="C789" s="39">
        <v>1</v>
      </c>
      <c r="D789" s="39"/>
      <c r="E789" s="39"/>
      <c r="F789" s="39"/>
      <c r="G789" s="39">
        <v>1</v>
      </c>
      <c r="H789" s="39">
        <v>45400011</v>
      </c>
      <c r="I789" s="45" t="s">
        <v>186</v>
      </c>
      <c r="J789" s="45">
        <v>13</v>
      </c>
      <c r="K789" s="46">
        <v>1400511</v>
      </c>
      <c r="L789" s="45">
        <f t="shared" si="69"/>
        <v>21</v>
      </c>
      <c r="M789" s="39" t="s">
        <v>2282</v>
      </c>
      <c r="N789" s="39" t="s">
        <v>1460</v>
      </c>
      <c r="O789" s="39"/>
    </row>
    <row r="790" spans="2:15" x14ac:dyDescent="0.3">
      <c r="B790" s="39">
        <f t="shared" si="70"/>
        <v>45400012</v>
      </c>
      <c r="C790" s="39">
        <v>1</v>
      </c>
      <c r="D790" s="39"/>
      <c r="E790" s="39"/>
      <c r="F790" s="39"/>
      <c r="G790" s="39">
        <v>1</v>
      </c>
      <c r="H790" s="39">
        <v>45400012</v>
      </c>
      <c r="I790" s="45" t="s">
        <v>186</v>
      </c>
      <c r="J790" s="45">
        <v>13</v>
      </c>
      <c r="K790" s="46">
        <v>1400512</v>
      </c>
      <c r="L790" s="45">
        <f t="shared" si="69"/>
        <v>21</v>
      </c>
      <c r="M790" s="39" t="s">
        <v>2283</v>
      </c>
      <c r="N790" s="39" t="s">
        <v>1461</v>
      </c>
      <c r="O790" s="39"/>
    </row>
    <row r="791" spans="2:15" x14ac:dyDescent="0.3">
      <c r="B791" s="39">
        <f t="shared" si="70"/>
        <v>45400013</v>
      </c>
      <c r="C791" s="39">
        <v>1</v>
      </c>
      <c r="D791" s="39"/>
      <c r="E791" s="39"/>
      <c r="F791" s="39"/>
      <c r="G791" s="39">
        <v>1</v>
      </c>
      <c r="H791" s="39">
        <v>45400013</v>
      </c>
      <c r="I791" s="45" t="s">
        <v>186</v>
      </c>
      <c r="J791" s="45">
        <v>13</v>
      </c>
      <c r="K791" s="46">
        <v>1400513</v>
      </c>
      <c r="L791" s="45">
        <f t="shared" si="69"/>
        <v>21</v>
      </c>
      <c r="M791" s="39" t="s">
        <v>2283</v>
      </c>
      <c r="N791" s="39" t="s">
        <v>1462</v>
      </c>
    </row>
    <row r="792" spans="2:15" x14ac:dyDescent="0.3">
      <c r="B792" s="39">
        <f t="shared" si="70"/>
        <v>45400015</v>
      </c>
      <c r="C792" s="39">
        <v>1</v>
      </c>
      <c r="D792" s="39"/>
      <c r="E792" s="39"/>
      <c r="F792" s="39"/>
      <c r="G792" s="39">
        <v>1</v>
      </c>
      <c r="H792" s="39">
        <v>45400015</v>
      </c>
      <c r="I792" s="45" t="s">
        <v>186</v>
      </c>
      <c r="J792" s="45">
        <v>13</v>
      </c>
      <c r="K792" s="46">
        <v>1400516</v>
      </c>
      <c r="L792" s="45">
        <f t="shared" si="69"/>
        <v>21</v>
      </c>
      <c r="M792" s="39" t="s">
        <v>1928</v>
      </c>
      <c r="N792" s="39" t="s">
        <v>1929</v>
      </c>
    </row>
    <row r="793" spans="2:15" x14ac:dyDescent="0.3">
      <c r="B793" s="39">
        <f t="shared" si="70"/>
        <v>45400016</v>
      </c>
      <c r="C793" s="39">
        <v>1</v>
      </c>
      <c r="D793" s="39"/>
      <c r="E793" s="39"/>
      <c r="F793" s="39"/>
      <c r="G793" s="39">
        <v>1</v>
      </c>
      <c r="H793" s="39">
        <v>45400016</v>
      </c>
      <c r="I793" s="45" t="s">
        <v>186</v>
      </c>
      <c r="J793" s="45">
        <v>13</v>
      </c>
      <c r="K793" s="46">
        <v>1400517</v>
      </c>
      <c r="L793" s="45">
        <f t="shared" si="69"/>
        <v>21</v>
      </c>
      <c r="M793" s="39" t="s">
        <v>1930</v>
      </c>
      <c r="N793" s="39" t="s">
        <v>1931</v>
      </c>
    </row>
    <row r="794" spans="2:15" x14ac:dyDescent="0.3">
      <c r="B794" s="39">
        <f t="shared" si="70"/>
        <v>45400017</v>
      </c>
      <c r="C794" s="39">
        <v>1</v>
      </c>
      <c r="D794" s="39"/>
      <c r="E794" s="39"/>
      <c r="F794" s="39"/>
      <c r="G794" s="39">
        <v>1</v>
      </c>
      <c r="H794" s="39">
        <v>45400017</v>
      </c>
      <c r="I794" s="45" t="s">
        <v>186</v>
      </c>
      <c r="J794" s="45">
        <v>13</v>
      </c>
      <c r="K794" s="46">
        <v>1400518</v>
      </c>
      <c r="L794" s="45">
        <f t="shared" si="69"/>
        <v>21</v>
      </c>
      <c r="M794" s="39" t="s">
        <v>1932</v>
      </c>
      <c r="N794" s="39" t="s">
        <v>1933</v>
      </c>
    </row>
    <row r="795" spans="2:15" x14ac:dyDescent="0.3">
      <c r="B795" s="39">
        <f t="shared" si="70"/>
        <v>45400018</v>
      </c>
      <c r="C795" s="39">
        <v>1</v>
      </c>
      <c r="D795" s="39"/>
      <c r="E795" s="39"/>
      <c r="F795" s="39"/>
      <c r="G795" s="39">
        <v>1</v>
      </c>
      <c r="H795" s="39">
        <v>45400018</v>
      </c>
      <c r="I795" s="45" t="s">
        <v>186</v>
      </c>
      <c r="J795" s="45">
        <v>13</v>
      </c>
      <c r="K795" s="46">
        <v>1400519</v>
      </c>
      <c r="L795" s="45">
        <f t="shared" si="69"/>
        <v>21</v>
      </c>
      <c r="M795" s="39" t="s">
        <v>1934</v>
      </c>
      <c r="N795" s="39" t="s">
        <v>1935</v>
      </c>
    </row>
    <row r="796" spans="2:15" x14ac:dyDescent="0.3">
      <c r="B796" s="39">
        <f t="shared" si="70"/>
        <v>45400019</v>
      </c>
      <c r="C796" s="39">
        <v>1</v>
      </c>
      <c r="D796" s="39"/>
      <c r="E796" s="39"/>
      <c r="F796" s="39"/>
      <c r="G796" s="39">
        <v>1</v>
      </c>
      <c r="H796" s="39">
        <v>45400019</v>
      </c>
      <c r="I796" s="45" t="s">
        <v>186</v>
      </c>
      <c r="J796" s="45">
        <v>13</v>
      </c>
      <c r="K796" s="46">
        <v>1400520</v>
      </c>
      <c r="L796" s="45">
        <f t="shared" si="69"/>
        <v>21</v>
      </c>
      <c r="M796" s="39" t="s">
        <v>1936</v>
      </c>
      <c r="N796" s="39" t="s">
        <v>1937</v>
      </c>
    </row>
    <row r="797" spans="2:15" ht="12.75" thickBot="1" x14ac:dyDescent="0.35">
      <c r="B797" s="44">
        <f t="shared" si="70"/>
        <v>45400020</v>
      </c>
      <c r="C797" s="39">
        <v>1</v>
      </c>
      <c r="D797" s="39"/>
      <c r="E797" s="39"/>
      <c r="F797" s="39"/>
      <c r="G797" s="39">
        <v>1</v>
      </c>
      <c r="H797" s="44">
        <v>45400020</v>
      </c>
      <c r="I797" s="53" t="s">
        <v>186</v>
      </c>
      <c r="J797" s="53">
        <v>13</v>
      </c>
      <c r="K797" s="54">
        <v>1400521</v>
      </c>
      <c r="L797" s="53">
        <f t="shared" si="69"/>
        <v>21</v>
      </c>
      <c r="M797" s="44" t="s">
        <v>1938</v>
      </c>
      <c r="N797" s="44" t="s">
        <v>1939</v>
      </c>
    </row>
    <row r="798" spans="2:15" ht="16.5" customHeight="1" x14ac:dyDescent="0.3">
      <c r="B798" s="127">
        <f t="shared" si="70"/>
        <v>45400021</v>
      </c>
      <c r="C798" s="39">
        <v>1</v>
      </c>
      <c r="D798" s="39"/>
      <c r="E798" s="39"/>
      <c r="F798" s="39"/>
      <c r="G798" s="39">
        <v>1</v>
      </c>
      <c r="H798" s="127">
        <v>45400021</v>
      </c>
      <c r="I798" s="101" t="s">
        <v>186</v>
      </c>
      <c r="J798" s="101">
        <v>13</v>
      </c>
      <c r="K798" s="104">
        <v>1400522</v>
      </c>
      <c r="L798" s="101">
        <f t="shared" si="69"/>
        <v>21</v>
      </c>
      <c r="M798" s="127" t="s">
        <v>1940</v>
      </c>
      <c r="N798" s="127" t="s">
        <v>1941</v>
      </c>
      <c r="O798" s="194"/>
    </row>
    <row r="799" spans="2:15" ht="16.5" customHeight="1" x14ac:dyDescent="0.3">
      <c r="B799" s="195">
        <v>45400022</v>
      </c>
      <c r="C799" s="39">
        <v>1</v>
      </c>
      <c r="D799" s="39"/>
      <c r="E799" s="39"/>
      <c r="F799" s="39"/>
      <c r="G799" s="39">
        <v>1</v>
      </c>
      <c r="H799" s="195">
        <v>45400022</v>
      </c>
      <c r="I799" s="113" t="s">
        <v>186</v>
      </c>
      <c r="J799" s="113">
        <v>13</v>
      </c>
      <c r="K799" s="114">
        <v>1400604</v>
      </c>
      <c r="L799" s="113">
        <v>21</v>
      </c>
      <c r="M799" s="195" t="s">
        <v>2578</v>
      </c>
      <c r="N799" s="195" t="s">
        <v>2579</v>
      </c>
      <c r="O799" s="196"/>
    </row>
    <row r="800" spans="2:15" ht="16.5" customHeight="1" x14ac:dyDescent="0.2">
      <c r="B800" s="47">
        <f t="shared" si="70"/>
        <v>46000000</v>
      </c>
      <c r="C800" s="39">
        <v>1</v>
      </c>
      <c r="D800" s="39"/>
      <c r="E800" s="39"/>
      <c r="F800" s="39"/>
      <c r="G800" s="39">
        <v>1</v>
      </c>
      <c r="H800" s="47">
        <v>46000000</v>
      </c>
      <c r="I800" s="197" t="s">
        <v>186</v>
      </c>
      <c r="J800" s="47">
        <v>13</v>
      </c>
      <c r="K800" s="198">
        <v>1400283</v>
      </c>
      <c r="L800" s="47">
        <f t="shared" si="69"/>
        <v>21</v>
      </c>
      <c r="M800" s="47" t="s">
        <v>661</v>
      </c>
      <c r="N800" s="47" t="s">
        <v>454</v>
      </c>
      <c r="O800" s="141" t="s">
        <v>661</v>
      </c>
    </row>
    <row r="801" spans="1:15" ht="16.5" customHeight="1" x14ac:dyDescent="0.2">
      <c r="B801" s="47">
        <f t="shared" si="70"/>
        <v>46000001</v>
      </c>
      <c r="C801" s="39">
        <v>1</v>
      </c>
      <c r="D801" s="39"/>
      <c r="E801" s="39"/>
      <c r="F801" s="39"/>
      <c r="G801" s="39">
        <v>1</v>
      </c>
      <c r="H801" s="47">
        <v>46000001</v>
      </c>
      <c r="I801" s="197" t="s">
        <v>186</v>
      </c>
      <c r="J801" s="47">
        <v>13</v>
      </c>
      <c r="K801" s="198">
        <v>1400284</v>
      </c>
      <c r="L801" s="47">
        <f t="shared" si="69"/>
        <v>21</v>
      </c>
      <c r="M801" s="47" t="s">
        <v>662</v>
      </c>
      <c r="N801" s="47" t="s">
        <v>455</v>
      </c>
      <c r="O801" s="141" t="s">
        <v>662</v>
      </c>
    </row>
    <row r="802" spans="1:15" ht="16.5" customHeight="1" x14ac:dyDescent="0.2">
      <c r="B802" s="47">
        <f t="shared" si="70"/>
        <v>46000002</v>
      </c>
      <c r="C802" s="39">
        <v>1</v>
      </c>
      <c r="D802" s="39"/>
      <c r="E802" s="39"/>
      <c r="F802" s="39"/>
      <c r="G802" s="39">
        <v>1</v>
      </c>
      <c r="H802" s="47">
        <v>46000002</v>
      </c>
      <c r="I802" s="197" t="s">
        <v>186</v>
      </c>
      <c r="J802" s="47">
        <v>13</v>
      </c>
      <c r="K802" s="198">
        <v>1400285</v>
      </c>
      <c r="L802" s="47">
        <f t="shared" si="69"/>
        <v>21</v>
      </c>
      <c r="M802" s="47" t="s">
        <v>663</v>
      </c>
      <c r="N802" s="47" t="s">
        <v>456</v>
      </c>
      <c r="O802" s="141" t="s">
        <v>663</v>
      </c>
    </row>
    <row r="803" spans="1:15" ht="16.5" customHeight="1" x14ac:dyDescent="0.2">
      <c r="B803" s="47">
        <f t="shared" si="70"/>
        <v>46000003</v>
      </c>
      <c r="C803" s="39">
        <v>1</v>
      </c>
      <c r="D803" s="39"/>
      <c r="E803" s="39"/>
      <c r="F803" s="39"/>
      <c r="G803" s="39">
        <v>1</v>
      </c>
      <c r="H803" s="47">
        <v>46000003</v>
      </c>
      <c r="I803" s="197" t="s">
        <v>186</v>
      </c>
      <c r="J803" s="47">
        <v>13</v>
      </c>
      <c r="K803" s="198">
        <v>1400286</v>
      </c>
      <c r="L803" s="47">
        <f t="shared" si="69"/>
        <v>21</v>
      </c>
      <c r="M803" s="47" t="s">
        <v>1507</v>
      </c>
      <c r="N803" s="47" t="s">
        <v>457</v>
      </c>
      <c r="O803" s="141" t="s">
        <v>664</v>
      </c>
    </row>
    <row r="804" spans="1:15" ht="16.5" customHeight="1" x14ac:dyDescent="0.2">
      <c r="B804" s="47">
        <f t="shared" si="70"/>
        <v>46000004</v>
      </c>
      <c r="C804" s="39">
        <v>1</v>
      </c>
      <c r="D804" s="39"/>
      <c r="E804" s="39"/>
      <c r="F804" s="39"/>
      <c r="G804" s="39">
        <v>1</v>
      </c>
      <c r="H804" s="47">
        <v>46000004</v>
      </c>
      <c r="I804" s="197" t="s">
        <v>186</v>
      </c>
      <c r="J804" s="47">
        <v>13</v>
      </c>
      <c r="K804" s="198">
        <v>1400287</v>
      </c>
      <c r="L804" s="47">
        <f t="shared" si="69"/>
        <v>21</v>
      </c>
      <c r="M804" s="47" t="s">
        <v>1506</v>
      </c>
      <c r="N804" s="47" t="s">
        <v>576</v>
      </c>
      <c r="O804" s="96" t="s">
        <v>722</v>
      </c>
    </row>
    <row r="805" spans="1:15" x14ac:dyDescent="0.3">
      <c r="A805" s="199"/>
      <c r="B805" s="97">
        <f t="shared" si="70"/>
        <v>46000008</v>
      </c>
      <c r="C805" s="39">
        <v>1</v>
      </c>
      <c r="D805" s="39"/>
      <c r="E805" s="39"/>
      <c r="F805" s="39"/>
      <c r="G805" s="39">
        <v>1</v>
      </c>
      <c r="H805" s="97">
        <v>46000008</v>
      </c>
      <c r="I805" s="97" t="s">
        <v>187</v>
      </c>
      <c r="J805" s="97">
        <v>21</v>
      </c>
      <c r="K805" s="200">
        <v>1400467</v>
      </c>
      <c r="L805" s="97">
        <f t="shared" si="69"/>
        <v>21</v>
      </c>
      <c r="M805" s="97" t="s">
        <v>1496</v>
      </c>
      <c r="N805" s="97" t="s">
        <v>1224</v>
      </c>
      <c r="O805" s="201" t="s">
        <v>1481</v>
      </c>
    </row>
    <row r="806" spans="1:15" x14ac:dyDescent="0.3">
      <c r="A806" s="199"/>
      <c r="B806" s="97">
        <f t="shared" si="70"/>
        <v>46000009</v>
      </c>
      <c r="C806" s="39">
        <v>1</v>
      </c>
      <c r="D806" s="39"/>
      <c r="E806" s="39"/>
      <c r="F806" s="39"/>
      <c r="G806" s="39">
        <v>1</v>
      </c>
      <c r="H806" s="97">
        <v>46000009</v>
      </c>
      <c r="I806" s="97" t="s">
        <v>187</v>
      </c>
      <c r="J806" s="97">
        <v>21</v>
      </c>
      <c r="K806" s="200">
        <v>1400468</v>
      </c>
      <c r="L806" s="97">
        <f t="shared" si="69"/>
        <v>21</v>
      </c>
      <c r="M806" s="97" t="s">
        <v>1497</v>
      </c>
      <c r="N806" s="97" t="s">
        <v>1225</v>
      </c>
      <c r="O806" s="201" t="s">
        <v>1482</v>
      </c>
    </row>
    <row r="807" spans="1:15" x14ac:dyDescent="0.3">
      <c r="A807" s="199"/>
      <c r="B807" s="97">
        <f t="shared" si="70"/>
        <v>46000010</v>
      </c>
      <c r="C807" s="39">
        <v>1</v>
      </c>
      <c r="D807" s="39"/>
      <c r="E807" s="39"/>
      <c r="F807" s="39"/>
      <c r="G807" s="39">
        <v>1</v>
      </c>
      <c r="H807" s="97">
        <v>46000010</v>
      </c>
      <c r="I807" s="97" t="s">
        <v>187</v>
      </c>
      <c r="J807" s="97">
        <v>21</v>
      </c>
      <c r="K807" s="200">
        <v>1400469</v>
      </c>
      <c r="L807" s="97">
        <f t="shared" si="69"/>
        <v>21</v>
      </c>
      <c r="M807" s="97" t="s">
        <v>1498</v>
      </c>
      <c r="N807" s="97" t="s">
        <v>1226</v>
      </c>
      <c r="O807" s="201" t="s">
        <v>1483</v>
      </c>
    </row>
    <row r="808" spans="1:15" x14ac:dyDescent="0.3">
      <c r="A808" s="199"/>
      <c r="B808" s="97">
        <f t="shared" si="70"/>
        <v>46000011</v>
      </c>
      <c r="C808" s="39">
        <v>1</v>
      </c>
      <c r="D808" s="39"/>
      <c r="E808" s="39"/>
      <c r="F808" s="39"/>
      <c r="G808" s="39">
        <v>1</v>
      </c>
      <c r="H808" s="97">
        <v>46000011</v>
      </c>
      <c r="I808" s="97" t="s">
        <v>187</v>
      </c>
      <c r="J808" s="97">
        <v>21</v>
      </c>
      <c r="K808" s="200">
        <v>1400470</v>
      </c>
      <c r="L808" s="97">
        <f t="shared" si="69"/>
        <v>21</v>
      </c>
      <c r="M808" s="97" t="s">
        <v>1499</v>
      </c>
      <c r="N808" s="97" t="s">
        <v>1227</v>
      </c>
      <c r="O808" s="201" t="s">
        <v>1484</v>
      </c>
    </row>
    <row r="809" spans="1:15" x14ac:dyDescent="0.3">
      <c r="A809" s="199"/>
      <c r="B809" s="97">
        <f t="shared" si="70"/>
        <v>46000012</v>
      </c>
      <c r="C809" s="39">
        <v>1</v>
      </c>
      <c r="D809" s="39"/>
      <c r="E809" s="39"/>
      <c r="F809" s="39"/>
      <c r="G809" s="39">
        <v>1</v>
      </c>
      <c r="H809" s="97">
        <v>46000012</v>
      </c>
      <c r="I809" s="97" t="s">
        <v>187</v>
      </c>
      <c r="J809" s="97">
        <v>21</v>
      </c>
      <c r="K809" s="200">
        <v>1400471</v>
      </c>
      <c r="L809" s="97">
        <f t="shared" si="69"/>
        <v>21</v>
      </c>
      <c r="M809" s="97" t="s">
        <v>2484</v>
      </c>
      <c r="N809" s="97" t="s">
        <v>1228</v>
      </c>
      <c r="O809" s="201" t="s">
        <v>1485</v>
      </c>
    </row>
    <row r="810" spans="1:15" x14ac:dyDescent="0.3">
      <c r="A810" s="199"/>
      <c r="B810" s="97">
        <f t="shared" si="70"/>
        <v>46000013</v>
      </c>
      <c r="C810" s="39">
        <v>1</v>
      </c>
      <c r="D810" s="39"/>
      <c r="E810" s="39"/>
      <c r="F810" s="39"/>
      <c r="G810" s="39">
        <v>1</v>
      </c>
      <c r="H810" s="97">
        <v>46000013</v>
      </c>
      <c r="I810" s="97" t="s">
        <v>187</v>
      </c>
      <c r="J810" s="97">
        <v>21</v>
      </c>
      <c r="K810" s="200">
        <v>1400472</v>
      </c>
      <c r="L810" s="97">
        <f t="shared" si="69"/>
        <v>21</v>
      </c>
      <c r="M810" s="97" t="s">
        <v>1500</v>
      </c>
      <c r="N810" s="97" t="s">
        <v>1229</v>
      </c>
      <c r="O810" s="201" t="s">
        <v>1486</v>
      </c>
    </row>
    <row r="811" spans="1:15" x14ac:dyDescent="0.3">
      <c r="A811" s="199"/>
      <c r="B811" s="97">
        <f t="shared" si="70"/>
        <v>46000014</v>
      </c>
      <c r="C811" s="39">
        <v>1</v>
      </c>
      <c r="D811" s="39"/>
      <c r="E811" s="39"/>
      <c r="F811" s="39"/>
      <c r="G811" s="39">
        <v>1</v>
      </c>
      <c r="H811" s="97">
        <v>46000014</v>
      </c>
      <c r="I811" s="97" t="s">
        <v>187</v>
      </c>
      <c r="J811" s="97">
        <v>21</v>
      </c>
      <c r="K811" s="200">
        <v>1400473</v>
      </c>
      <c r="L811" s="97">
        <f t="shared" si="69"/>
        <v>21</v>
      </c>
      <c r="M811" s="97" t="s">
        <v>1502</v>
      </c>
      <c r="N811" s="97" t="s">
        <v>1230</v>
      </c>
      <c r="O811" s="201" t="s">
        <v>1487</v>
      </c>
    </row>
    <row r="812" spans="1:15" x14ac:dyDescent="0.3">
      <c r="A812" s="199"/>
      <c r="B812" s="97">
        <f t="shared" si="70"/>
        <v>46000015</v>
      </c>
      <c r="C812" s="39">
        <v>1</v>
      </c>
      <c r="D812" s="39"/>
      <c r="E812" s="39"/>
      <c r="F812" s="39"/>
      <c r="G812" s="39">
        <v>1</v>
      </c>
      <c r="H812" s="97">
        <v>46000015</v>
      </c>
      <c r="I812" s="97" t="s">
        <v>187</v>
      </c>
      <c r="J812" s="97">
        <v>21</v>
      </c>
      <c r="K812" s="200">
        <v>1400474</v>
      </c>
      <c r="L812" s="97">
        <f t="shared" si="69"/>
        <v>21</v>
      </c>
      <c r="M812" s="97" t="s">
        <v>1501</v>
      </c>
      <c r="N812" s="97" t="s">
        <v>1231</v>
      </c>
      <c r="O812" s="201" t="s">
        <v>1488</v>
      </c>
    </row>
    <row r="813" spans="1:15" x14ac:dyDescent="0.3">
      <c r="A813" s="199"/>
      <c r="B813" s="97">
        <f t="shared" si="70"/>
        <v>46000016</v>
      </c>
      <c r="C813" s="39">
        <v>1</v>
      </c>
      <c r="D813" s="39"/>
      <c r="E813" s="39"/>
      <c r="F813" s="39"/>
      <c r="G813" s="39">
        <v>1</v>
      </c>
      <c r="H813" s="97">
        <v>46000016</v>
      </c>
      <c r="I813" s="97" t="s">
        <v>187</v>
      </c>
      <c r="J813" s="97">
        <v>21</v>
      </c>
      <c r="K813" s="200">
        <v>1042842</v>
      </c>
      <c r="L813" s="97">
        <f t="shared" si="69"/>
        <v>21</v>
      </c>
      <c r="M813" s="202" t="s">
        <v>2284</v>
      </c>
      <c r="N813" s="97" t="s">
        <v>1534</v>
      </c>
      <c r="O813" s="201" t="s">
        <v>1488</v>
      </c>
    </row>
    <row r="814" spans="1:15" x14ac:dyDescent="0.3">
      <c r="A814" s="199"/>
      <c r="B814" s="97">
        <f t="shared" si="70"/>
        <v>46000017</v>
      </c>
      <c r="C814" s="39">
        <v>1</v>
      </c>
      <c r="D814" s="39"/>
      <c r="E814" s="39"/>
      <c r="F814" s="39"/>
      <c r="G814" s="39">
        <v>1</v>
      </c>
      <c r="H814" s="97">
        <v>46000017</v>
      </c>
      <c r="I814" s="97" t="s">
        <v>186</v>
      </c>
      <c r="J814" s="97">
        <v>21</v>
      </c>
      <c r="K814" s="200">
        <v>1042872</v>
      </c>
      <c r="L814" s="97">
        <v>21</v>
      </c>
      <c r="M814" s="202" t="s">
        <v>2486</v>
      </c>
      <c r="N814" s="97" t="s">
        <v>2487</v>
      </c>
      <c r="O814" s="201" t="s">
        <v>1488</v>
      </c>
    </row>
    <row r="815" spans="1:15" x14ac:dyDescent="0.3">
      <c r="B815" s="47">
        <v>46000020</v>
      </c>
      <c r="C815" s="39">
        <v>1</v>
      </c>
      <c r="D815" s="39"/>
      <c r="E815" s="39"/>
      <c r="F815" s="39"/>
      <c r="G815" s="39">
        <v>1</v>
      </c>
      <c r="H815" s="47">
        <v>46000020</v>
      </c>
      <c r="I815" s="47" t="s">
        <v>186</v>
      </c>
      <c r="J815" s="47">
        <v>21</v>
      </c>
      <c r="K815" s="198">
        <v>1400435</v>
      </c>
      <c r="L815" s="47">
        <v>21</v>
      </c>
      <c r="M815" s="47" t="s">
        <v>1503</v>
      </c>
      <c r="N815" s="47" t="s">
        <v>2394</v>
      </c>
      <c r="O815" s="141" t="s">
        <v>1489</v>
      </c>
    </row>
    <row r="816" spans="1:15" x14ac:dyDescent="0.3">
      <c r="B816" s="47">
        <v>46000022</v>
      </c>
      <c r="C816" s="39">
        <v>1</v>
      </c>
      <c r="D816" s="39"/>
      <c r="E816" s="39"/>
      <c r="F816" s="39"/>
      <c r="G816" s="39">
        <v>1</v>
      </c>
      <c r="H816" s="47">
        <v>46000022</v>
      </c>
      <c r="I816" s="47" t="s">
        <v>186</v>
      </c>
      <c r="J816" s="47">
        <v>21</v>
      </c>
      <c r="K816" s="198">
        <v>1042843</v>
      </c>
      <c r="L816" s="47">
        <v>21</v>
      </c>
      <c r="M816" s="47" t="s">
        <v>1508</v>
      </c>
      <c r="N816" s="47" t="s">
        <v>2395</v>
      </c>
      <c r="O816" s="141" t="s">
        <v>1490</v>
      </c>
    </row>
    <row r="817" spans="2:15" x14ac:dyDescent="0.3">
      <c r="B817" s="47">
        <v>46000023</v>
      </c>
      <c r="C817" s="39">
        <v>1</v>
      </c>
      <c r="D817" s="39"/>
      <c r="E817" s="39"/>
      <c r="F817" s="39"/>
      <c r="G817" s="39">
        <v>1</v>
      </c>
      <c r="H817" s="47">
        <v>46000023</v>
      </c>
      <c r="I817" s="47" t="s">
        <v>186</v>
      </c>
      <c r="J817" s="47">
        <v>13</v>
      </c>
      <c r="K817" s="198">
        <v>1042844</v>
      </c>
      <c r="L817" s="47">
        <v>21</v>
      </c>
      <c r="M817" s="47" t="s">
        <v>1509</v>
      </c>
      <c r="N817" s="47" t="s">
        <v>2396</v>
      </c>
      <c r="O817" s="141" t="s">
        <v>1491</v>
      </c>
    </row>
    <row r="818" spans="2:15" x14ac:dyDescent="0.3">
      <c r="B818" s="47">
        <v>46000024</v>
      </c>
      <c r="C818" s="39">
        <v>1</v>
      </c>
      <c r="D818" s="39"/>
      <c r="E818" s="39"/>
      <c r="F818" s="39"/>
      <c r="G818" s="39">
        <v>1</v>
      </c>
      <c r="H818" s="47">
        <v>46000024</v>
      </c>
      <c r="I818" s="47" t="s">
        <v>186</v>
      </c>
      <c r="J818" s="47">
        <v>21</v>
      </c>
      <c r="K818" s="198">
        <v>1042869</v>
      </c>
      <c r="L818" s="47">
        <v>21</v>
      </c>
      <c r="M818" s="47" t="s">
        <v>2409</v>
      </c>
      <c r="N818" s="47" t="s">
        <v>2397</v>
      </c>
      <c r="O818" s="144" t="s">
        <v>1492</v>
      </c>
    </row>
    <row r="819" spans="2:15" x14ac:dyDescent="0.3">
      <c r="B819" s="47">
        <v>46000025</v>
      </c>
      <c r="C819" s="39">
        <v>1</v>
      </c>
      <c r="D819" s="39"/>
      <c r="E819" s="39"/>
      <c r="F819" s="39"/>
      <c r="G819" s="39">
        <v>1</v>
      </c>
      <c r="H819" s="47">
        <v>46000025</v>
      </c>
      <c r="I819" s="47" t="s">
        <v>186</v>
      </c>
      <c r="J819" s="47">
        <v>21</v>
      </c>
      <c r="K819" s="198">
        <v>1042845</v>
      </c>
      <c r="L819" s="47">
        <v>21</v>
      </c>
      <c r="M819" s="47" t="s">
        <v>1505</v>
      </c>
      <c r="N819" s="47" t="s">
        <v>2398</v>
      </c>
      <c r="O819" s="144" t="s">
        <v>1493</v>
      </c>
    </row>
    <row r="820" spans="2:15" x14ac:dyDescent="0.3">
      <c r="B820" s="47">
        <v>46000026</v>
      </c>
      <c r="C820" s="39">
        <v>1</v>
      </c>
      <c r="D820" s="39"/>
      <c r="E820" s="39"/>
      <c r="F820" s="39"/>
      <c r="G820" s="39">
        <v>1</v>
      </c>
      <c r="H820" s="47">
        <v>46000026</v>
      </c>
      <c r="I820" s="47" t="s">
        <v>186</v>
      </c>
      <c r="J820" s="47">
        <v>21</v>
      </c>
      <c r="K820" s="198">
        <v>1042838</v>
      </c>
      <c r="L820" s="47">
        <v>21</v>
      </c>
      <c r="M820" s="47" t="s">
        <v>2399</v>
      </c>
      <c r="N820" s="47" t="s">
        <v>2098</v>
      </c>
      <c r="O820" s="144" t="s">
        <v>2099</v>
      </c>
    </row>
    <row r="821" spans="2:15" x14ac:dyDescent="0.3">
      <c r="B821" s="47">
        <v>46000027</v>
      </c>
      <c r="C821" s="39">
        <v>1</v>
      </c>
      <c r="D821" s="39"/>
      <c r="E821" s="39"/>
      <c r="F821" s="39"/>
      <c r="G821" s="39">
        <v>1</v>
      </c>
      <c r="H821" s="47">
        <v>46000027</v>
      </c>
      <c r="I821" s="47" t="s">
        <v>186</v>
      </c>
      <c r="J821" s="47">
        <v>21</v>
      </c>
      <c r="K821" s="198">
        <v>1042867</v>
      </c>
      <c r="L821" s="47">
        <v>21</v>
      </c>
      <c r="M821" s="47" t="s">
        <v>2400</v>
      </c>
      <c r="N821" s="47" t="s">
        <v>2100</v>
      </c>
      <c r="O821" s="144" t="s">
        <v>2101</v>
      </c>
    </row>
    <row r="822" spans="2:15" x14ac:dyDescent="0.3">
      <c r="B822" s="47">
        <v>46000028</v>
      </c>
      <c r="C822" s="39">
        <v>1</v>
      </c>
      <c r="D822" s="39"/>
      <c r="E822" s="39"/>
      <c r="F822" s="39"/>
      <c r="G822" s="39">
        <v>1</v>
      </c>
      <c r="H822" s="47">
        <v>46000028</v>
      </c>
      <c r="I822" s="47" t="s">
        <v>186</v>
      </c>
      <c r="J822" s="47">
        <v>21</v>
      </c>
      <c r="K822" s="198">
        <v>1042868</v>
      </c>
      <c r="L822" s="47">
        <v>21</v>
      </c>
      <c r="M822" s="47" t="s">
        <v>2401</v>
      </c>
      <c r="N822" s="47" t="s">
        <v>2102</v>
      </c>
      <c r="O822" s="144" t="s">
        <v>2103</v>
      </c>
    </row>
    <row r="823" spans="2:15" x14ac:dyDescent="0.3">
      <c r="B823" s="47">
        <v>46000029</v>
      </c>
      <c r="C823" s="39">
        <v>1</v>
      </c>
      <c r="D823" s="39"/>
      <c r="E823" s="39"/>
      <c r="F823" s="39"/>
      <c r="G823" s="39">
        <v>1</v>
      </c>
      <c r="H823" s="47">
        <v>46000029</v>
      </c>
      <c r="I823" s="47" t="s">
        <v>186</v>
      </c>
      <c r="J823" s="47">
        <v>21</v>
      </c>
      <c r="K823" s="198">
        <v>1042870</v>
      </c>
      <c r="L823" s="47">
        <v>21</v>
      </c>
      <c r="M823" s="47" t="s">
        <v>2410</v>
      </c>
      <c r="N823" s="47" t="s">
        <v>2402</v>
      </c>
      <c r="O823" s="144" t="s">
        <v>2403</v>
      </c>
    </row>
    <row r="824" spans="2:15" ht="12.75" thickBot="1" x14ac:dyDescent="0.35">
      <c r="B824" s="60">
        <v>46000030</v>
      </c>
      <c r="C824" s="39">
        <v>1</v>
      </c>
      <c r="D824" s="39"/>
      <c r="E824" s="39"/>
      <c r="F824" s="39"/>
      <c r="G824" s="39">
        <v>1</v>
      </c>
      <c r="H824" s="60">
        <v>46000030</v>
      </c>
      <c r="I824" s="60" t="s">
        <v>186</v>
      </c>
      <c r="J824" s="60">
        <v>21</v>
      </c>
      <c r="K824" s="203">
        <v>1042823</v>
      </c>
      <c r="L824" s="60">
        <v>21</v>
      </c>
      <c r="M824" s="60" t="s">
        <v>2404</v>
      </c>
      <c r="N824" s="60" t="s">
        <v>2405</v>
      </c>
      <c r="O824" s="204" t="s">
        <v>2406</v>
      </c>
    </row>
    <row r="825" spans="2:15" ht="16.5" customHeight="1" thickTop="1" x14ac:dyDescent="0.3">
      <c r="B825" s="205">
        <f>H825</f>
        <v>46000031</v>
      </c>
      <c r="C825" s="39">
        <v>1</v>
      </c>
      <c r="D825" s="39"/>
      <c r="E825" s="39"/>
      <c r="F825" s="39"/>
      <c r="G825" s="39">
        <v>1</v>
      </c>
      <c r="H825" s="205">
        <v>46000031</v>
      </c>
      <c r="I825" s="205" t="s">
        <v>186</v>
      </c>
      <c r="J825" s="205">
        <v>21</v>
      </c>
      <c r="K825" s="206">
        <v>1042871</v>
      </c>
      <c r="L825" s="205">
        <v>21</v>
      </c>
      <c r="M825" s="205" t="s">
        <v>2411</v>
      </c>
      <c r="N825" s="205" t="s">
        <v>2407</v>
      </c>
      <c r="O825" s="207" t="s">
        <v>2408</v>
      </c>
    </row>
    <row r="826" spans="2:15" ht="16.5" customHeight="1" x14ac:dyDescent="0.3">
      <c r="B826" s="48">
        <f t="shared" ref="B826:B835" si="71">H826</f>
        <v>46000032</v>
      </c>
      <c r="C826" s="39">
        <v>1</v>
      </c>
      <c r="D826" s="39"/>
      <c r="E826" s="39"/>
      <c r="F826" s="39"/>
      <c r="G826" s="39">
        <v>1</v>
      </c>
      <c r="H826" s="48">
        <v>46000032</v>
      </c>
      <c r="I826" s="48" t="s">
        <v>184</v>
      </c>
      <c r="J826" s="48">
        <v>21</v>
      </c>
      <c r="K826" s="106">
        <v>1042876</v>
      </c>
      <c r="L826" s="48">
        <v>5</v>
      </c>
      <c r="M826" s="48" t="s">
        <v>2508</v>
      </c>
      <c r="N826" s="48" t="s">
        <v>2509</v>
      </c>
      <c r="O826" s="208" t="s">
        <v>2510</v>
      </c>
    </row>
    <row r="827" spans="2:15" ht="16.5" customHeight="1" x14ac:dyDescent="0.3">
      <c r="B827" s="48">
        <f t="shared" si="71"/>
        <v>46000033</v>
      </c>
      <c r="C827" s="39">
        <v>1</v>
      </c>
      <c r="D827" s="39"/>
      <c r="E827" s="39"/>
      <c r="F827" s="39"/>
      <c r="G827" s="39">
        <v>1</v>
      </c>
      <c r="H827" s="48">
        <v>46000033</v>
      </c>
      <c r="I827" s="48" t="s">
        <v>184</v>
      </c>
      <c r="J827" s="48">
        <v>21</v>
      </c>
      <c r="K827" s="106">
        <v>1042878</v>
      </c>
      <c r="L827" s="48">
        <v>5</v>
      </c>
      <c r="M827" s="48" t="s">
        <v>2664</v>
      </c>
      <c r="N827" s="48" t="s">
        <v>2665</v>
      </c>
      <c r="O827" s="208" t="s">
        <v>2666</v>
      </c>
    </row>
    <row r="828" spans="2:15" ht="16.5" customHeight="1" x14ac:dyDescent="0.3">
      <c r="B828" s="48">
        <f t="shared" si="71"/>
        <v>46000034</v>
      </c>
      <c r="C828" s="39">
        <v>1</v>
      </c>
      <c r="D828" s="39"/>
      <c r="E828" s="39"/>
      <c r="F828" s="39"/>
      <c r="G828" s="39">
        <v>1</v>
      </c>
      <c r="H828" s="48">
        <v>46000034</v>
      </c>
      <c r="I828" s="48" t="s">
        <v>184</v>
      </c>
      <c r="J828" s="48">
        <v>21</v>
      </c>
      <c r="K828" s="106">
        <v>1042879</v>
      </c>
      <c r="L828" s="48">
        <v>5</v>
      </c>
      <c r="M828" s="48" t="s">
        <v>2667</v>
      </c>
      <c r="N828" s="48" t="s">
        <v>2668</v>
      </c>
      <c r="O828" s="208" t="s">
        <v>2669</v>
      </c>
    </row>
    <row r="829" spans="2:15" ht="16.5" customHeight="1" thickBot="1" x14ac:dyDescent="0.35">
      <c r="B829" s="176">
        <f t="shared" si="71"/>
        <v>46000035</v>
      </c>
      <c r="C829" s="39">
        <v>1</v>
      </c>
      <c r="D829" s="39"/>
      <c r="E829" s="39"/>
      <c r="F829" s="39"/>
      <c r="G829" s="39">
        <v>1</v>
      </c>
      <c r="H829" s="176">
        <v>46000035</v>
      </c>
      <c r="I829" s="176" t="s">
        <v>184</v>
      </c>
      <c r="J829" s="176">
        <v>21</v>
      </c>
      <c r="K829" s="177">
        <v>1042880</v>
      </c>
      <c r="L829" s="176">
        <v>5</v>
      </c>
      <c r="M829" s="176" t="s">
        <v>2670</v>
      </c>
      <c r="N829" s="176" t="s">
        <v>2671</v>
      </c>
      <c r="O829" s="209" t="s">
        <v>2672</v>
      </c>
    </row>
    <row r="830" spans="2:15" ht="16.5" customHeight="1" x14ac:dyDescent="0.3">
      <c r="B830" s="48">
        <f t="shared" si="71"/>
        <v>47000000</v>
      </c>
      <c r="C830" s="39">
        <v>1</v>
      </c>
      <c r="D830" s="39"/>
      <c r="E830" s="39"/>
      <c r="F830" s="39"/>
      <c r="G830" s="39">
        <v>1</v>
      </c>
      <c r="H830" s="48">
        <v>47000000</v>
      </c>
      <c r="I830" s="48" t="s">
        <v>184</v>
      </c>
      <c r="J830" s="48">
        <v>21</v>
      </c>
      <c r="K830" s="106">
        <v>1042882</v>
      </c>
      <c r="L830" s="48">
        <v>21</v>
      </c>
      <c r="M830" s="48" t="s">
        <v>3705</v>
      </c>
      <c r="N830" s="48" t="s">
        <v>3711</v>
      </c>
      <c r="O830" s="208" t="s">
        <v>3712</v>
      </c>
    </row>
    <row r="831" spans="2:15" ht="16.5" customHeight="1" x14ac:dyDescent="0.3">
      <c r="B831" s="48">
        <f t="shared" si="71"/>
        <v>47000001</v>
      </c>
      <c r="C831" s="39">
        <v>1</v>
      </c>
      <c r="D831" s="39"/>
      <c r="E831" s="39"/>
      <c r="F831" s="39"/>
      <c r="G831" s="39">
        <v>1</v>
      </c>
      <c r="H831" s="48">
        <v>47000001</v>
      </c>
      <c r="I831" s="48" t="s">
        <v>184</v>
      </c>
      <c r="J831" s="48">
        <v>21</v>
      </c>
      <c r="K831" s="106">
        <v>1042883</v>
      </c>
      <c r="L831" s="48">
        <v>21</v>
      </c>
      <c r="M831" s="48" t="s">
        <v>3706</v>
      </c>
      <c r="N831" s="48" t="s">
        <v>3713</v>
      </c>
      <c r="O831" s="208" t="s">
        <v>3714</v>
      </c>
    </row>
    <row r="832" spans="2:15" ht="16.5" customHeight="1" x14ac:dyDescent="0.3">
      <c r="B832" s="48">
        <f t="shared" si="71"/>
        <v>47000002</v>
      </c>
      <c r="C832" s="39">
        <v>1</v>
      </c>
      <c r="D832" s="39"/>
      <c r="E832" s="39"/>
      <c r="F832" s="39"/>
      <c r="G832" s="39">
        <v>1</v>
      </c>
      <c r="H832" s="48">
        <v>47000002</v>
      </c>
      <c r="I832" s="48" t="s">
        <v>184</v>
      </c>
      <c r="J832" s="48">
        <v>21</v>
      </c>
      <c r="K832" s="106">
        <v>1042884</v>
      </c>
      <c r="L832" s="48">
        <v>21</v>
      </c>
      <c r="M832" s="48" t="s">
        <v>3707</v>
      </c>
      <c r="N832" s="48" t="s">
        <v>3715</v>
      </c>
      <c r="O832" s="208" t="s">
        <v>3716</v>
      </c>
    </row>
    <row r="833" spans="2:15" ht="16.5" customHeight="1" x14ac:dyDescent="0.3">
      <c r="B833" s="48">
        <f t="shared" si="71"/>
        <v>47000003</v>
      </c>
      <c r="C833" s="39">
        <v>1</v>
      </c>
      <c r="D833" s="39"/>
      <c r="E833" s="39"/>
      <c r="F833" s="39"/>
      <c r="G833" s="39">
        <v>1</v>
      </c>
      <c r="H833" s="48">
        <v>47000003</v>
      </c>
      <c r="I833" s="48" t="s">
        <v>184</v>
      </c>
      <c r="J833" s="48">
        <v>21</v>
      </c>
      <c r="K833" s="106">
        <v>1042885</v>
      </c>
      <c r="L833" s="48">
        <v>21</v>
      </c>
      <c r="M833" s="48" t="s">
        <v>3708</v>
      </c>
      <c r="N833" s="48" t="s">
        <v>3717</v>
      </c>
      <c r="O833" s="208" t="s">
        <v>3718</v>
      </c>
    </row>
    <row r="834" spans="2:15" ht="16.5" customHeight="1" x14ac:dyDescent="0.3">
      <c r="B834" s="48">
        <f t="shared" si="71"/>
        <v>47000004</v>
      </c>
      <c r="C834" s="39">
        <v>1</v>
      </c>
      <c r="D834" s="39"/>
      <c r="E834" s="39"/>
      <c r="F834" s="39"/>
      <c r="G834" s="39">
        <v>1</v>
      </c>
      <c r="H834" s="48">
        <v>47000004</v>
      </c>
      <c r="I834" s="48" t="s">
        <v>184</v>
      </c>
      <c r="J834" s="48">
        <v>21</v>
      </c>
      <c r="K834" s="106">
        <v>1042886</v>
      </c>
      <c r="L834" s="48">
        <v>21</v>
      </c>
      <c r="M834" s="48" t="s">
        <v>3709</v>
      </c>
      <c r="N834" s="48" t="s">
        <v>3719</v>
      </c>
      <c r="O834" s="208" t="s">
        <v>3720</v>
      </c>
    </row>
    <row r="835" spans="2:15" ht="16.5" customHeight="1" x14ac:dyDescent="0.3">
      <c r="B835" s="48">
        <f t="shared" si="71"/>
        <v>47000005</v>
      </c>
      <c r="C835" s="39">
        <v>1</v>
      </c>
      <c r="D835" s="39"/>
      <c r="E835" s="39"/>
      <c r="F835" s="39"/>
      <c r="G835" s="39">
        <v>1</v>
      </c>
      <c r="H835" s="48">
        <v>47000005</v>
      </c>
      <c r="I835" s="48" t="s">
        <v>184</v>
      </c>
      <c r="J835" s="48">
        <v>21</v>
      </c>
      <c r="K835" s="106">
        <v>1042887</v>
      </c>
      <c r="L835" s="48">
        <v>21</v>
      </c>
      <c r="M835" s="48" t="s">
        <v>3710</v>
      </c>
      <c r="N835" s="48" t="s">
        <v>3721</v>
      </c>
      <c r="O835" s="208" t="s">
        <v>3720</v>
      </c>
    </row>
    <row r="836" spans="2:15" ht="16.5" customHeight="1" x14ac:dyDescent="0.3">
      <c r="B836" s="48">
        <f>H836</f>
        <v>48000000</v>
      </c>
      <c r="C836" s="39">
        <v>1</v>
      </c>
      <c r="D836" s="39"/>
      <c r="E836" s="39"/>
      <c r="F836" s="39"/>
      <c r="G836" s="39">
        <v>1</v>
      </c>
      <c r="H836" s="48">
        <v>48000000</v>
      </c>
      <c r="I836" s="48" t="s">
        <v>186</v>
      </c>
      <c r="J836" s="48">
        <v>21</v>
      </c>
      <c r="K836" s="106">
        <v>2300037</v>
      </c>
      <c r="L836" s="48">
        <v>21</v>
      </c>
      <c r="M836" s="48" t="s">
        <v>2618</v>
      </c>
      <c r="N836" s="48" t="s">
        <v>2635</v>
      </c>
      <c r="O836" s="208" t="s">
        <v>2652</v>
      </c>
    </row>
    <row r="837" spans="2:15" ht="16.5" customHeight="1" x14ac:dyDescent="0.3">
      <c r="B837" s="48">
        <f t="shared" ref="B837:B852" si="72">H837</f>
        <v>48000001</v>
      </c>
      <c r="C837" s="39">
        <v>1</v>
      </c>
      <c r="D837" s="39"/>
      <c r="E837" s="39"/>
      <c r="F837" s="39"/>
      <c r="G837" s="39">
        <v>1</v>
      </c>
      <c r="H837" s="48">
        <v>48000001</v>
      </c>
      <c r="I837" s="48" t="s">
        <v>186</v>
      </c>
      <c r="J837" s="48">
        <v>21</v>
      </c>
      <c r="K837" s="106">
        <v>2300038</v>
      </c>
      <c r="L837" s="48">
        <v>21</v>
      </c>
      <c r="M837" s="48" t="s">
        <v>2619</v>
      </c>
      <c r="N837" s="48" t="s">
        <v>2636</v>
      </c>
      <c r="O837" s="208" t="s">
        <v>2653</v>
      </c>
    </row>
    <row r="838" spans="2:15" ht="16.5" customHeight="1" x14ac:dyDescent="0.3">
      <c r="B838" s="48">
        <f t="shared" si="72"/>
        <v>48000002</v>
      </c>
      <c r="C838" s="39">
        <v>1</v>
      </c>
      <c r="D838" s="39"/>
      <c r="E838" s="39"/>
      <c r="F838" s="39"/>
      <c r="G838" s="39">
        <v>1</v>
      </c>
      <c r="H838" s="48">
        <v>48000002</v>
      </c>
      <c r="I838" s="48" t="s">
        <v>186</v>
      </c>
      <c r="J838" s="48">
        <v>21</v>
      </c>
      <c r="K838" s="106">
        <v>2300001</v>
      </c>
      <c r="L838" s="48">
        <v>21</v>
      </c>
      <c r="M838" s="48" t="s">
        <v>2620</v>
      </c>
      <c r="N838" s="48" t="s">
        <v>2637</v>
      </c>
      <c r="O838" s="208" t="s">
        <v>2654</v>
      </c>
    </row>
    <row r="839" spans="2:15" ht="16.5" customHeight="1" x14ac:dyDescent="0.3">
      <c r="B839" s="48">
        <f t="shared" si="72"/>
        <v>48000003</v>
      </c>
      <c r="C839" s="39">
        <v>1</v>
      </c>
      <c r="D839" s="39"/>
      <c r="E839" s="39"/>
      <c r="F839" s="39"/>
      <c r="G839" s="39">
        <v>1</v>
      </c>
      <c r="H839" s="48">
        <v>48000003</v>
      </c>
      <c r="I839" s="48" t="s">
        <v>186</v>
      </c>
      <c r="J839" s="48">
        <v>21</v>
      </c>
      <c r="K839" s="106">
        <v>2300039</v>
      </c>
      <c r="L839" s="48">
        <v>21</v>
      </c>
      <c r="M839" s="48" t="s">
        <v>2621</v>
      </c>
      <c r="N839" s="48" t="s">
        <v>2638</v>
      </c>
      <c r="O839" s="208" t="s">
        <v>2655</v>
      </c>
    </row>
    <row r="840" spans="2:15" ht="16.5" customHeight="1" x14ac:dyDescent="0.3">
      <c r="B840" s="48">
        <f t="shared" si="72"/>
        <v>48000004</v>
      </c>
      <c r="C840" s="39">
        <v>1</v>
      </c>
      <c r="D840" s="39"/>
      <c r="E840" s="39"/>
      <c r="F840" s="39"/>
      <c r="G840" s="39">
        <v>1</v>
      </c>
      <c r="H840" s="48">
        <v>48000004</v>
      </c>
      <c r="I840" s="48" t="s">
        <v>186</v>
      </c>
      <c r="J840" s="48">
        <v>21</v>
      </c>
      <c r="K840" s="106">
        <v>2300002</v>
      </c>
      <c r="L840" s="48">
        <v>21</v>
      </c>
      <c r="M840" s="48" t="s">
        <v>2622</v>
      </c>
      <c r="N840" s="48" t="s">
        <v>2639</v>
      </c>
      <c r="O840" s="208" t="s">
        <v>2656</v>
      </c>
    </row>
    <row r="841" spans="2:15" ht="16.5" customHeight="1" x14ac:dyDescent="0.3">
      <c r="B841" s="48">
        <f t="shared" si="72"/>
        <v>48000005</v>
      </c>
      <c r="C841" s="39">
        <v>1</v>
      </c>
      <c r="D841" s="39"/>
      <c r="E841" s="39"/>
      <c r="F841" s="39"/>
      <c r="G841" s="39">
        <v>1</v>
      </c>
      <c r="H841" s="48">
        <v>48000005</v>
      </c>
      <c r="I841" s="48" t="s">
        <v>186</v>
      </c>
      <c r="J841" s="48">
        <v>21</v>
      </c>
      <c r="K841" s="106">
        <v>2300003</v>
      </c>
      <c r="L841" s="48">
        <v>21</v>
      </c>
      <c r="M841" s="48" t="s">
        <v>2623</v>
      </c>
      <c r="N841" s="48" t="s">
        <v>2640</v>
      </c>
      <c r="O841" s="208" t="s">
        <v>2657</v>
      </c>
    </row>
    <row r="842" spans="2:15" ht="16.5" customHeight="1" x14ac:dyDescent="0.3">
      <c r="B842" s="48">
        <f t="shared" si="72"/>
        <v>48000006</v>
      </c>
      <c r="C842" s="39">
        <v>1</v>
      </c>
      <c r="D842" s="39"/>
      <c r="E842" s="39"/>
      <c r="F842" s="39"/>
      <c r="G842" s="39">
        <v>1</v>
      </c>
      <c r="H842" s="48">
        <v>48000006</v>
      </c>
      <c r="I842" s="48" t="s">
        <v>186</v>
      </c>
      <c r="J842" s="48">
        <v>21</v>
      </c>
      <c r="K842" s="106">
        <v>2300004</v>
      </c>
      <c r="L842" s="48">
        <v>21</v>
      </c>
      <c r="M842" s="48" t="s">
        <v>2624</v>
      </c>
      <c r="N842" s="48" t="s">
        <v>2641</v>
      </c>
      <c r="O842" s="208" t="s">
        <v>2658</v>
      </c>
    </row>
    <row r="843" spans="2:15" ht="16.5" customHeight="1" x14ac:dyDescent="0.3">
      <c r="B843" s="48">
        <f t="shared" si="72"/>
        <v>48000007</v>
      </c>
      <c r="C843" s="39">
        <v>1</v>
      </c>
      <c r="D843" s="39"/>
      <c r="E843" s="39"/>
      <c r="F843" s="39"/>
      <c r="G843" s="39">
        <v>1</v>
      </c>
      <c r="H843" s="48">
        <v>48000007</v>
      </c>
      <c r="I843" s="48" t="s">
        <v>186</v>
      </c>
      <c r="J843" s="48">
        <v>21</v>
      </c>
      <c r="K843" s="106">
        <v>2300005</v>
      </c>
      <c r="L843" s="48">
        <v>21</v>
      </c>
      <c r="M843" s="48" t="s">
        <v>2625</v>
      </c>
      <c r="N843" s="48" t="s">
        <v>2642</v>
      </c>
      <c r="O843" s="208" t="s">
        <v>2659</v>
      </c>
    </row>
    <row r="844" spans="2:15" ht="16.5" customHeight="1" x14ac:dyDescent="0.3">
      <c r="B844" s="48">
        <f t="shared" si="72"/>
        <v>48000008</v>
      </c>
      <c r="C844" s="39">
        <v>1</v>
      </c>
      <c r="D844" s="39"/>
      <c r="E844" s="39"/>
      <c r="F844" s="39"/>
      <c r="G844" s="39">
        <v>1</v>
      </c>
      <c r="H844" s="48">
        <v>48000008</v>
      </c>
      <c r="I844" s="48" t="s">
        <v>186</v>
      </c>
      <c r="J844" s="48">
        <v>21</v>
      </c>
      <c r="K844" s="106">
        <v>2300040</v>
      </c>
      <c r="L844" s="48">
        <v>21</v>
      </c>
      <c r="M844" s="48" t="s">
        <v>2626</v>
      </c>
      <c r="N844" s="48" t="s">
        <v>2643</v>
      </c>
      <c r="O844" s="208" t="s">
        <v>2660</v>
      </c>
    </row>
    <row r="845" spans="2:15" ht="16.5" customHeight="1" x14ac:dyDescent="0.3">
      <c r="B845" s="48">
        <f t="shared" si="72"/>
        <v>48000009</v>
      </c>
      <c r="C845" s="39">
        <v>1</v>
      </c>
      <c r="D845" s="39"/>
      <c r="E845" s="39"/>
      <c r="F845" s="39"/>
      <c r="G845" s="39">
        <v>1</v>
      </c>
      <c r="H845" s="48">
        <v>48000009</v>
      </c>
      <c r="I845" s="48" t="s">
        <v>186</v>
      </c>
      <c r="J845" s="48">
        <v>21</v>
      </c>
      <c r="K845" s="106">
        <v>2300041</v>
      </c>
      <c r="L845" s="48">
        <v>21</v>
      </c>
      <c r="M845" s="48" t="s">
        <v>2627</v>
      </c>
      <c r="N845" s="48" t="s">
        <v>2644</v>
      </c>
      <c r="O845" s="208"/>
    </row>
    <row r="846" spans="2:15" ht="16.5" customHeight="1" x14ac:dyDescent="0.3">
      <c r="B846" s="48">
        <f t="shared" si="72"/>
        <v>48000010</v>
      </c>
      <c r="C846" s="39">
        <v>1</v>
      </c>
      <c r="D846" s="39"/>
      <c r="E846" s="39"/>
      <c r="F846" s="39"/>
      <c r="G846" s="39">
        <v>1</v>
      </c>
      <c r="H846" s="48">
        <v>48000010</v>
      </c>
      <c r="I846" s="48" t="s">
        <v>186</v>
      </c>
      <c r="J846" s="48">
        <v>21</v>
      </c>
      <c r="K846" s="106">
        <v>2300042</v>
      </c>
      <c r="L846" s="48">
        <v>21</v>
      </c>
      <c r="M846" s="48" t="s">
        <v>2628</v>
      </c>
      <c r="N846" s="48" t="s">
        <v>2645</v>
      </c>
      <c r="O846" s="208"/>
    </row>
    <row r="847" spans="2:15" ht="16.5" customHeight="1" x14ac:dyDescent="0.3">
      <c r="B847" s="48">
        <f t="shared" si="72"/>
        <v>48000011</v>
      </c>
      <c r="C847" s="39">
        <v>1</v>
      </c>
      <c r="D847" s="39"/>
      <c r="E847" s="39"/>
      <c r="F847" s="39"/>
      <c r="G847" s="39">
        <v>1</v>
      </c>
      <c r="H847" s="48">
        <v>48000011</v>
      </c>
      <c r="I847" s="48" t="s">
        <v>186</v>
      </c>
      <c r="J847" s="48">
        <v>21</v>
      </c>
      <c r="K847" s="106">
        <v>2300010</v>
      </c>
      <c r="L847" s="48">
        <v>21</v>
      </c>
      <c r="M847" s="48" t="s">
        <v>2629</v>
      </c>
      <c r="N847" s="48" t="s">
        <v>2646</v>
      </c>
      <c r="O847" s="208" t="s">
        <v>2661</v>
      </c>
    </row>
    <row r="848" spans="2:15" ht="16.5" customHeight="1" x14ac:dyDescent="0.3">
      <c r="B848" s="48">
        <f t="shared" si="72"/>
        <v>48000012</v>
      </c>
      <c r="C848" s="39">
        <v>1</v>
      </c>
      <c r="D848" s="39"/>
      <c r="E848" s="39"/>
      <c r="F848" s="39"/>
      <c r="G848" s="39">
        <v>1</v>
      </c>
      <c r="H848" s="48">
        <v>48000012</v>
      </c>
      <c r="I848" s="48" t="s">
        <v>186</v>
      </c>
      <c r="J848" s="48">
        <v>21</v>
      </c>
      <c r="K848" s="106">
        <v>2300043</v>
      </c>
      <c r="L848" s="48">
        <v>21</v>
      </c>
      <c r="M848" s="48" t="s">
        <v>2630</v>
      </c>
      <c r="N848" s="48" t="s">
        <v>2647</v>
      </c>
      <c r="O848" s="208" t="s">
        <v>2655</v>
      </c>
    </row>
    <row r="849" spans="2:15" ht="16.5" customHeight="1" x14ac:dyDescent="0.3">
      <c r="B849" s="48">
        <f t="shared" si="72"/>
        <v>48000013</v>
      </c>
      <c r="C849" s="39">
        <v>1</v>
      </c>
      <c r="D849" s="39"/>
      <c r="E849" s="39"/>
      <c r="F849" s="39"/>
      <c r="G849" s="39">
        <v>1</v>
      </c>
      <c r="H849" s="48">
        <v>48000013</v>
      </c>
      <c r="I849" s="48" t="s">
        <v>186</v>
      </c>
      <c r="J849" s="48">
        <v>21</v>
      </c>
      <c r="K849" s="106">
        <v>2300011</v>
      </c>
      <c r="L849" s="48">
        <v>21</v>
      </c>
      <c r="M849" s="48" t="s">
        <v>2631</v>
      </c>
      <c r="N849" s="48" t="s">
        <v>2648</v>
      </c>
      <c r="O849" s="208" t="s">
        <v>2656</v>
      </c>
    </row>
    <row r="850" spans="2:15" ht="16.5" customHeight="1" x14ac:dyDescent="0.3">
      <c r="B850" s="48">
        <f t="shared" si="72"/>
        <v>48000014</v>
      </c>
      <c r="C850" s="39">
        <v>1</v>
      </c>
      <c r="D850" s="39"/>
      <c r="E850" s="39"/>
      <c r="F850" s="39"/>
      <c r="G850" s="39">
        <v>1</v>
      </c>
      <c r="H850" s="48">
        <v>48000014</v>
      </c>
      <c r="I850" s="48" t="s">
        <v>186</v>
      </c>
      <c r="J850" s="48">
        <v>21</v>
      </c>
      <c r="K850" s="106">
        <v>2300012</v>
      </c>
      <c r="L850" s="48">
        <v>21</v>
      </c>
      <c r="M850" s="48" t="s">
        <v>2632</v>
      </c>
      <c r="N850" s="48" t="s">
        <v>2649</v>
      </c>
      <c r="O850" s="208" t="s">
        <v>2657</v>
      </c>
    </row>
    <row r="851" spans="2:15" ht="16.5" customHeight="1" x14ac:dyDescent="0.3">
      <c r="B851" s="48">
        <f t="shared" si="72"/>
        <v>48000015</v>
      </c>
      <c r="C851" s="39">
        <v>1</v>
      </c>
      <c r="D851" s="39"/>
      <c r="E851" s="39"/>
      <c r="F851" s="39"/>
      <c r="G851" s="39">
        <v>1</v>
      </c>
      <c r="H851" s="48">
        <v>48000015</v>
      </c>
      <c r="I851" s="48" t="s">
        <v>186</v>
      </c>
      <c r="J851" s="48">
        <v>21</v>
      </c>
      <c r="K851" s="106">
        <v>2300013</v>
      </c>
      <c r="L851" s="48">
        <v>21</v>
      </c>
      <c r="M851" s="48" t="s">
        <v>2633</v>
      </c>
      <c r="N851" s="48" t="s">
        <v>2650</v>
      </c>
      <c r="O851" s="208" t="s">
        <v>2662</v>
      </c>
    </row>
    <row r="852" spans="2:15" ht="16.5" customHeight="1" x14ac:dyDescent="0.3">
      <c r="B852" s="48">
        <f t="shared" si="72"/>
        <v>48000016</v>
      </c>
      <c r="C852" s="39">
        <v>1</v>
      </c>
      <c r="D852" s="39"/>
      <c r="E852" s="39"/>
      <c r="F852" s="39"/>
      <c r="G852" s="39">
        <v>1</v>
      </c>
      <c r="H852" s="48">
        <v>48000016</v>
      </c>
      <c r="I852" s="48" t="s">
        <v>186</v>
      </c>
      <c r="J852" s="48">
        <v>21</v>
      </c>
      <c r="K852" s="106">
        <v>2300044</v>
      </c>
      <c r="L852" s="48">
        <v>21</v>
      </c>
      <c r="M852" s="48" t="s">
        <v>2634</v>
      </c>
      <c r="N852" s="48" t="s">
        <v>2651</v>
      </c>
      <c r="O852" s="208" t="s">
        <v>2663</v>
      </c>
    </row>
    <row r="853" spans="2:15" ht="16.5" customHeight="1" x14ac:dyDescent="0.2">
      <c r="B853" s="39">
        <f t="shared" ref="B853:B883" si="73">H853</f>
        <v>48002011</v>
      </c>
      <c r="C853" s="39">
        <v>1</v>
      </c>
      <c r="D853" s="39"/>
      <c r="E853" s="39"/>
      <c r="F853" s="39"/>
      <c r="G853" s="39">
        <v>1</v>
      </c>
      <c r="H853" s="39">
        <v>48002011</v>
      </c>
      <c r="I853" s="21" t="s">
        <v>184</v>
      </c>
      <c r="J853" s="39">
        <v>13</v>
      </c>
      <c r="K853" s="46">
        <v>1400293</v>
      </c>
      <c r="L853" s="39">
        <f t="shared" ref="L853:L859" si="74">VLOOKUP(I853,error,2,FALSE)</f>
        <v>5</v>
      </c>
      <c r="M853" s="39" t="s">
        <v>930</v>
      </c>
      <c r="N853" s="39" t="s">
        <v>582</v>
      </c>
      <c r="O853" s="52" t="s">
        <v>723</v>
      </c>
    </row>
    <row r="854" spans="2:15" ht="16.5" customHeight="1" x14ac:dyDescent="0.2">
      <c r="B854" s="39">
        <f t="shared" si="73"/>
        <v>48002012</v>
      </c>
      <c r="C854" s="39">
        <v>1</v>
      </c>
      <c r="D854" s="39"/>
      <c r="E854" s="39"/>
      <c r="F854" s="39"/>
      <c r="G854" s="39">
        <v>1</v>
      </c>
      <c r="H854" s="39">
        <v>48002012</v>
      </c>
      <c r="I854" s="21" t="s">
        <v>184</v>
      </c>
      <c r="J854" s="39">
        <v>13</v>
      </c>
      <c r="K854" s="46">
        <v>1400475</v>
      </c>
      <c r="L854" s="39">
        <f t="shared" si="74"/>
        <v>5</v>
      </c>
      <c r="M854" s="39" t="s">
        <v>2285</v>
      </c>
      <c r="N854" s="39" t="s">
        <v>1250</v>
      </c>
      <c r="O854" s="52" t="s">
        <v>1249</v>
      </c>
    </row>
    <row r="855" spans="2:15" ht="16.5" customHeight="1" x14ac:dyDescent="0.2">
      <c r="B855" s="39">
        <f t="shared" si="73"/>
        <v>49000000</v>
      </c>
      <c r="C855" s="39">
        <v>1</v>
      </c>
      <c r="D855" s="39"/>
      <c r="E855" s="39"/>
      <c r="F855" s="39"/>
      <c r="G855" s="39">
        <v>1</v>
      </c>
      <c r="H855" s="39">
        <v>49000000</v>
      </c>
      <c r="I855" s="21" t="s">
        <v>184</v>
      </c>
      <c r="J855" s="39">
        <v>13</v>
      </c>
      <c r="K855" s="46">
        <v>1400294</v>
      </c>
      <c r="L855" s="39">
        <f t="shared" si="74"/>
        <v>5</v>
      </c>
      <c r="M855" s="39" t="s">
        <v>2286</v>
      </c>
      <c r="N855" s="39" t="s">
        <v>583</v>
      </c>
      <c r="O855" s="50" t="s">
        <v>640</v>
      </c>
    </row>
    <row r="856" spans="2:15" ht="16.5" customHeight="1" x14ac:dyDescent="0.2">
      <c r="B856" s="39">
        <f t="shared" si="73"/>
        <v>49000001</v>
      </c>
      <c r="C856" s="39">
        <v>1</v>
      </c>
      <c r="D856" s="39"/>
      <c r="E856" s="39"/>
      <c r="F856" s="39"/>
      <c r="G856" s="39">
        <v>1</v>
      </c>
      <c r="H856" s="39">
        <v>49000001</v>
      </c>
      <c r="I856" s="21" t="s">
        <v>184</v>
      </c>
      <c r="J856" s="39">
        <v>13</v>
      </c>
      <c r="K856" s="46">
        <v>1400295</v>
      </c>
      <c r="L856" s="39">
        <f t="shared" si="74"/>
        <v>5</v>
      </c>
      <c r="M856" s="39" t="s">
        <v>2287</v>
      </c>
      <c r="N856" s="39" t="s">
        <v>584</v>
      </c>
      <c r="O856" s="50" t="s">
        <v>641</v>
      </c>
    </row>
    <row r="857" spans="2:15" ht="16.5" customHeight="1" x14ac:dyDescent="0.2">
      <c r="B857" s="39">
        <f t="shared" si="73"/>
        <v>49000002</v>
      </c>
      <c r="C857" s="39">
        <v>1</v>
      </c>
      <c r="D857" s="39"/>
      <c r="E857" s="39"/>
      <c r="F857" s="39"/>
      <c r="G857" s="39">
        <v>1</v>
      </c>
      <c r="H857" s="39">
        <v>49000002</v>
      </c>
      <c r="I857" s="21" t="s">
        <v>184</v>
      </c>
      <c r="J857" s="39">
        <v>13</v>
      </c>
      <c r="K857" s="46">
        <v>1400296</v>
      </c>
      <c r="L857" s="39">
        <f t="shared" si="74"/>
        <v>5</v>
      </c>
      <c r="M857" s="39" t="s">
        <v>2288</v>
      </c>
      <c r="N857" s="39" t="s">
        <v>585</v>
      </c>
      <c r="O857" s="50" t="s">
        <v>642</v>
      </c>
    </row>
    <row r="858" spans="2:15" ht="16.5" customHeight="1" x14ac:dyDescent="0.2">
      <c r="B858" s="39">
        <f t="shared" si="73"/>
        <v>49000003</v>
      </c>
      <c r="C858" s="39">
        <v>1</v>
      </c>
      <c r="D858" s="39"/>
      <c r="E858" s="39"/>
      <c r="F858" s="39"/>
      <c r="G858" s="39">
        <v>1</v>
      </c>
      <c r="H858" s="39">
        <v>49000003</v>
      </c>
      <c r="I858" s="21" t="s">
        <v>184</v>
      </c>
      <c r="J858" s="39">
        <v>13</v>
      </c>
      <c r="K858" s="46">
        <v>1400297</v>
      </c>
      <c r="L858" s="39">
        <f t="shared" si="74"/>
        <v>5</v>
      </c>
      <c r="M858" s="39" t="s">
        <v>2289</v>
      </c>
      <c r="N858" s="39" t="s">
        <v>586</v>
      </c>
      <c r="O858" s="50" t="s">
        <v>643</v>
      </c>
    </row>
    <row r="859" spans="2:15" ht="16.5" customHeight="1" x14ac:dyDescent="0.2">
      <c r="B859" s="39">
        <f t="shared" si="73"/>
        <v>49000004</v>
      </c>
      <c r="C859" s="39">
        <v>1</v>
      </c>
      <c r="D859" s="39"/>
      <c r="E859" s="39"/>
      <c r="F859" s="39"/>
      <c r="G859" s="39">
        <v>1</v>
      </c>
      <c r="H859" s="39">
        <v>49000004</v>
      </c>
      <c r="I859" s="21" t="s">
        <v>184</v>
      </c>
      <c r="J859" s="39">
        <v>13</v>
      </c>
      <c r="K859" s="46">
        <v>1400298</v>
      </c>
      <c r="L859" s="39">
        <f t="shared" si="74"/>
        <v>5</v>
      </c>
      <c r="M859" s="39" t="s">
        <v>2290</v>
      </c>
      <c r="N859" s="39" t="s">
        <v>587</v>
      </c>
      <c r="O859" s="50" t="s">
        <v>644</v>
      </c>
    </row>
    <row r="860" spans="2:15" ht="16.5" customHeight="1" x14ac:dyDescent="0.2">
      <c r="B860" s="39">
        <f t="shared" si="73"/>
        <v>49000005</v>
      </c>
      <c r="C860" s="39">
        <v>1</v>
      </c>
      <c r="D860" s="39"/>
      <c r="E860" s="39"/>
      <c r="F860" s="39"/>
      <c r="G860" s="39">
        <v>1</v>
      </c>
      <c r="H860" s="39">
        <v>49000005</v>
      </c>
      <c r="I860" s="21" t="s">
        <v>184</v>
      </c>
      <c r="J860" s="39">
        <v>13</v>
      </c>
      <c r="K860" s="46">
        <v>1400542</v>
      </c>
      <c r="L860" s="39">
        <v>5</v>
      </c>
      <c r="M860" s="39" t="s">
        <v>1624</v>
      </c>
      <c r="N860" s="39" t="s">
        <v>1621</v>
      </c>
      <c r="O860" s="50" t="s">
        <v>1609</v>
      </c>
    </row>
    <row r="861" spans="2:15" ht="16.5" customHeight="1" x14ac:dyDescent="0.2">
      <c r="B861" s="39">
        <f t="shared" si="73"/>
        <v>49000006</v>
      </c>
      <c r="C861" s="39">
        <v>1</v>
      </c>
      <c r="D861" s="39"/>
      <c r="E861" s="39"/>
      <c r="F861" s="39"/>
      <c r="G861" s="39">
        <v>1</v>
      </c>
      <c r="H861" s="39">
        <v>49000006</v>
      </c>
      <c r="I861" s="21" t="s">
        <v>184</v>
      </c>
      <c r="J861" s="39">
        <v>13</v>
      </c>
      <c r="K861" s="46">
        <v>1400543</v>
      </c>
      <c r="L861" s="39">
        <v>5</v>
      </c>
      <c r="M861" s="39" t="s">
        <v>1625</v>
      </c>
      <c r="N861" s="39" t="s">
        <v>1622</v>
      </c>
      <c r="O861" s="50" t="s">
        <v>1610</v>
      </c>
    </row>
    <row r="862" spans="2:15" ht="16.5" customHeight="1" x14ac:dyDescent="0.2">
      <c r="B862" s="39">
        <f t="shared" si="73"/>
        <v>49000007</v>
      </c>
      <c r="C862" s="39">
        <v>1</v>
      </c>
      <c r="D862" s="39"/>
      <c r="E862" s="39"/>
      <c r="F862" s="39"/>
      <c r="G862" s="39">
        <v>1</v>
      </c>
      <c r="H862" s="39">
        <v>49000007</v>
      </c>
      <c r="I862" s="21" t="s">
        <v>184</v>
      </c>
      <c r="J862" s="39">
        <v>13</v>
      </c>
      <c r="K862" s="46">
        <v>1400544</v>
      </c>
      <c r="L862" s="39">
        <v>5</v>
      </c>
      <c r="M862" s="39" t="s">
        <v>1626</v>
      </c>
      <c r="N862" s="39" t="s">
        <v>1623</v>
      </c>
      <c r="O862" s="50" t="s">
        <v>1611</v>
      </c>
    </row>
    <row r="863" spans="2:15" ht="16.5" customHeight="1" x14ac:dyDescent="0.2">
      <c r="B863" s="39">
        <f t="shared" si="73"/>
        <v>49000008</v>
      </c>
      <c r="C863" s="39">
        <v>1</v>
      </c>
      <c r="D863" s="39"/>
      <c r="E863" s="39"/>
      <c r="F863" s="39"/>
      <c r="G863" s="39">
        <v>1</v>
      </c>
      <c r="H863" s="39">
        <v>49000008</v>
      </c>
      <c r="I863" s="21" t="s">
        <v>184</v>
      </c>
      <c r="J863" s="39">
        <v>13</v>
      </c>
      <c r="K863" s="46">
        <v>1400545</v>
      </c>
      <c r="L863" s="39">
        <v>5</v>
      </c>
      <c r="M863" s="39" t="s">
        <v>1627</v>
      </c>
      <c r="N863" s="39" t="s">
        <v>1620</v>
      </c>
      <c r="O863" s="50" t="s">
        <v>1612</v>
      </c>
    </row>
    <row r="864" spans="2:15" ht="16.5" customHeight="1" x14ac:dyDescent="0.2">
      <c r="B864" s="39">
        <f t="shared" si="73"/>
        <v>49000009</v>
      </c>
      <c r="C864" s="39">
        <v>1</v>
      </c>
      <c r="D864" s="39"/>
      <c r="E864" s="39"/>
      <c r="F864" s="39"/>
      <c r="G864" s="39">
        <v>1</v>
      </c>
      <c r="H864" s="39">
        <v>49000009</v>
      </c>
      <c r="I864" s="21" t="s">
        <v>184</v>
      </c>
      <c r="J864" s="39">
        <v>13</v>
      </c>
      <c r="K864" s="46">
        <v>1400546</v>
      </c>
      <c r="L864" s="39">
        <v>5</v>
      </c>
      <c r="M864" s="39" t="s">
        <v>1628</v>
      </c>
      <c r="N864" s="39" t="s">
        <v>1619</v>
      </c>
      <c r="O864" s="50" t="s">
        <v>1613</v>
      </c>
    </row>
    <row r="865" spans="2:15" ht="16.5" customHeight="1" x14ac:dyDescent="0.2">
      <c r="B865" s="39">
        <f t="shared" si="73"/>
        <v>49000010</v>
      </c>
      <c r="C865" s="39">
        <v>1</v>
      </c>
      <c r="D865" s="39"/>
      <c r="E865" s="39"/>
      <c r="F865" s="39"/>
      <c r="G865" s="39">
        <v>1</v>
      </c>
      <c r="H865" s="39">
        <v>49000010</v>
      </c>
      <c r="I865" s="21" t="s">
        <v>184</v>
      </c>
      <c r="J865" s="39">
        <v>13</v>
      </c>
      <c r="K865" s="46">
        <v>1400547</v>
      </c>
      <c r="L865" s="39">
        <v>5</v>
      </c>
      <c r="M865" s="39" t="s">
        <v>751</v>
      </c>
      <c r="N865" s="39" t="s">
        <v>1618</v>
      </c>
      <c r="O865" s="50" t="s">
        <v>274</v>
      </c>
    </row>
    <row r="866" spans="2:15" ht="16.5" customHeight="1" x14ac:dyDescent="0.2">
      <c r="B866" s="39">
        <f t="shared" si="73"/>
        <v>49000011</v>
      </c>
      <c r="C866" s="39">
        <v>1</v>
      </c>
      <c r="D866" s="39"/>
      <c r="E866" s="39"/>
      <c r="F866" s="39"/>
      <c r="G866" s="39">
        <v>1</v>
      </c>
      <c r="H866" s="39">
        <v>49000011</v>
      </c>
      <c r="I866" s="21" t="s">
        <v>184</v>
      </c>
      <c r="J866" s="39">
        <v>13</v>
      </c>
      <c r="K866" s="46">
        <v>1400548</v>
      </c>
      <c r="L866" s="39">
        <v>5</v>
      </c>
      <c r="M866" s="39" t="s">
        <v>1629</v>
      </c>
      <c r="N866" s="39" t="s">
        <v>1617</v>
      </c>
      <c r="O866" s="50" t="s">
        <v>1614</v>
      </c>
    </row>
    <row r="867" spans="2:15" ht="16.5" customHeight="1" thickBot="1" x14ac:dyDescent="0.25">
      <c r="B867" s="44">
        <f t="shared" si="73"/>
        <v>49000012</v>
      </c>
      <c r="C867" s="44">
        <v>1</v>
      </c>
      <c r="D867" s="44"/>
      <c r="E867" s="44"/>
      <c r="F867" s="44"/>
      <c r="G867" s="44">
        <v>1</v>
      </c>
      <c r="H867" s="44">
        <v>49000012</v>
      </c>
      <c r="I867" s="63" t="s">
        <v>184</v>
      </c>
      <c r="J867" s="44">
        <v>13</v>
      </c>
      <c r="K867" s="54">
        <v>1400549</v>
      </c>
      <c r="L867" s="44">
        <v>5</v>
      </c>
      <c r="M867" s="44" t="s">
        <v>1630</v>
      </c>
      <c r="N867" s="44" t="s">
        <v>1616</v>
      </c>
      <c r="O867" s="50" t="s">
        <v>1615</v>
      </c>
    </row>
    <row r="868" spans="2:15" ht="16.5" customHeight="1" x14ac:dyDescent="0.2">
      <c r="B868" s="232">
        <f>H868</f>
        <v>49000020</v>
      </c>
      <c r="C868" s="102">
        <v>1</v>
      </c>
      <c r="D868" s="286" t="s">
        <v>3676</v>
      </c>
      <c r="E868" s="286">
        <v>0</v>
      </c>
      <c r="F868" s="286">
        <v>0</v>
      </c>
      <c r="G868" s="102">
        <v>1</v>
      </c>
      <c r="H868" s="102">
        <v>49000020</v>
      </c>
      <c r="I868" s="337" t="s">
        <v>186</v>
      </c>
      <c r="J868" s="102">
        <v>13</v>
      </c>
      <c r="K868" s="233">
        <v>12000034</v>
      </c>
      <c r="L868" s="102">
        <v>21</v>
      </c>
      <c r="M868" s="102" t="s">
        <v>3689</v>
      </c>
      <c r="N868" s="102" t="s">
        <v>3690</v>
      </c>
      <c r="O868" s="234" t="s">
        <v>3691</v>
      </c>
    </row>
    <row r="869" spans="2:15" ht="16.5" customHeight="1" x14ac:dyDescent="0.2">
      <c r="B869" s="235">
        <f>H869</f>
        <v>49000021</v>
      </c>
      <c r="C869" s="61">
        <v>1</v>
      </c>
      <c r="D869" s="278" t="s">
        <v>3676</v>
      </c>
      <c r="E869" s="278">
        <v>0</v>
      </c>
      <c r="F869" s="278">
        <v>0</v>
      </c>
      <c r="G869" s="61">
        <v>1</v>
      </c>
      <c r="H869" s="61">
        <v>49000021</v>
      </c>
      <c r="I869" s="341" t="s">
        <v>186</v>
      </c>
      <c r="J869" s="61">
        <v>13</v>
      </c>
      <c r="K869" s="220">
        <v>12000031</v>
      </c>
      <c r="L869" s="61">
        <v>21</v>
      </c>
      <c r="M869" s="61" t="s">
        <v>3692</v>
      </c>
      <c r="N869" s="61" t="s">
        <v>3693</v>
      </c>
      <c r="O869" s="236" t="s">
        <v>3691</v>
      </c>
    </row>
    <row r="870" spans="2:15" ht="16.5" customHeight="1" x14ac:dyDescent="0.2">
      <c r="B870" s="235">
        <f>H870</f>
        <v>49000022</v>
      </c>
      <c r="C870" s="61">
        <v>1</v>
      </c>
      <c r="D870" s="278" t="s">
        <v>3676</v>
      </c>
      <c r="E870" s="278">
        <v>0</v>
      </c>
      <c r="F870" s="278">
        <v>0</v>
      </c>
      <c r="G870" s="61">
        <v>1</v>
      </c>
      <c r="H870" s="61">
        <v>49000022</v>
      </c>
      <c r="I870" s="341" t="s">
        <v>186</v>
      </c>
      <c r="J870" s="61">
        <v>13</v>
      </c>
      <c r="K870" s="220">
        <v>12000035</v>
      </c>
      <c r="L870" s="61">
        <v>21</v>
      </c>
      <c r="M870" s="61" t="s">
        <v>3694</v>
      </c>
      <c r="N870" s="61" t="s">
        <v>3695</v>
      </c>
      <c r="O870" s="236" t="s">
        <v>3691</v>
      </c>
    </row>
    <row r="871" spans="2:15" ht="16.5" customHeight="1" thickBot="1" x14ac:dyDescent="0.25">
      <c r="B871" s="237">
        <f>H871</f>
        <v>49000023</v>
      </c>
      <c r="C871" s="103">
        <v>0</v>
      </c>
      <c r="D871" s="287">
        <v>0</v>
      </c>
      <c r="E871" s="287">
        <v>0</v>
      </c>
      <c r="F871" s="287">
        <v>0</v>
      </c>
      <c r="G871" s="103">
        <v>1</v>
      </c>
      <c r="H871" s="103">
        <v>49000023</v>
      </c>
      <c r="I871" s="345" t="s">
        <v>186</v>
      </c>
      <c r="J871" s="103">
        <v>13</v>
      </c>
      <c r="K871" s="238">
        <v>12000038</v>
      </c>
      <c r="L871" s="103">
        <v>21</v>
      </c>
      <c r="M871" s="39" t="s">
        <v>3787</v>
      </c>
      <c r="N871" s="39" t="s">
        <v>3788</v>
      </c>
      <c r="O871" s="50" t="s">
        <v>3789</v>
      </c>
    </row>
    <row r="872" spans="2:15" ht="16.5" customHeight="1" x14ac:dyDescent="0.2">
      <c r="B872" s="48">
        <f t="shared" si="73"/>
        <v>49000100</v>
      </c>
      <c r="C872" s="48">
        <v>1</v>
      </c>
      <c r="D872" s="48"/>
      <c r="E872" s="48"/>
      <c r="F872" s="48"/>
      <c r="G872" s="48">
        <v>1</v>
      </c>
      <c r="H872" s="48">
        <v>49000100</v>
      </c>
      <c r="I872" s="64" t="s">
        <v>184</v>
      </c>
      <c r="J872" s="48">
        <v>13</v>
      </c>
      <c r="K872" s="106">
        <v>1400299</v>
      </c>
      <c r="L872" s="48">
        <f t="shared" ref="L872:L878" si="75">VLOOKUP(I872,error,2,FALSE)</f>
        <v>5</v>
      </c>
      <c r="M872" s="48" t="s">
        <v>2291</v>
      </c>
      <c r="N872" s="48" t="s">
        <v>588</v>
      </c>
      <c r="O872" s="50" t="s">
        <v>645</v>
      </c>
    </row>
    <row r="873" spans="2:15" ht="16.5" customHeight="1" x14ac:dyDescent="0.2">
      <c r="B873" s="39">
        <f t="shared" si="73"/>
        <v>49000101</v>
      </c>
      <c r="C873" s="39">
        <v>1</v>
      </c>
      <c r="D873" s="39"/>
      <c r="E873" s="39"/>
      <c r="F873" s="39"/>
      <c r="G873" s="39">
        <v>1</v>
      </c>
      <c r="H873" s="39">
        <v>49000101</v>
      </c>
      <c r="I873" s="21" t="s">
        <v>184</v>
      </c>
      <c r="J873" s="39">
        <v>13</v>
      </c>
      <c r="K873" s="46">
        <v>1400300</v>
      </c>
      <c r="L873" s="39">
        <f t="shared" si="75"/>
        <v>5</v>
      </c>
      <c r="M873" s="39" t="s">
        <v>2292</v>
      </c>
      <c r="N873" s="39" t="s">
        <v>589</v>
      </c>
      <c r="O873" s="50" t="s">
        <v>646</v>
      </c>
    </row>
    <row r="874" spans="2:15" ht="16.5" customHeight="1" x14ac:dyDescent="0.2">
      <c r="B874" s="39">
        <f t="shared" si="73"/>
        <v>49000102</v>
      </c>
      <c r="C874" s="39">
        <v>1</v>
      </c>
      <c r="D874" s="39"/>
      <c r="E874" s="39"/>
      <c r="F874" s="39"/>
      <c r="G874" s="39">
        <v>1</v>
      </c>
      <c r="H874" s="39">
        <v>49000102</v>
      </c>
      <c r="I874" s="21" t="s">
        <v>184</v>
      </c>
      <c r="J874" s="39">
        <v>13</v>
      </c>
      <c r="K874" s="46">
        <v>1400301</v>
      </c>
      <c r="L874" s="39">
        <f t="shared" si="75"/>
        <v>5</v>
      </c>
      <c r="M874" s="39" t="s">
        <v>2293</v>
      </c>
      <c r="N874" s="39" t="s">
        <v>590</v>
      </c>
      <c r="O874" s="50" t="s">
        <v>647</v>
      </c>
    </row>
    <row r="875" spans="2:15" ht="16.5" customHeight="1" x14ac:dyDescent="0.2">
      <c r="B875" s="39">
        <f t="shared" si="73"/>
        <v>49000103</v>
      </c>
      <c r="C875" s="39">
        <v>1</v>
      </c>
      <c r="D875" s="39"/>
      <c r="E875" s="39"/>
      <c r="F875" s="39"/>
      <c r="G875" s="39">
        <v>1</v>
      </c>
      <c r="H875" s="39">
        <v>49000103</v>
      </c>
      <c r="I875" s="21" t="s">
        <v>184</v>
      </c>
      <c r="J875" s="39">
        <v>13</v>
      </c>
      <c r="K875" s="46">
        <v>1400302</v>
      </c>
      <c r="L875" s="39">
        <f t="shared" si="75"/>
        <v>5</v>
      </c>
      <c r="M875" s="39" t="s">
        <v>2294</v>
      </c>
      <c r="N875" s="39" t="s">
        <v>591</v>
      </c>
      <c r="O875" s="50" t="s">
        <v>648</v>
      </c>
    </row>
    <row r="876" spans="2:15" ht="16.5" customHeight="1" x14ac:dyDescent="0.2">
      <c r="B876" s="39">
        <f t="shared" si="73"/>
        <v>49000104</v>
      </c>
      <c r="C876" s="39">
        <v>1</v>
      </c>
      <c r="D876" s="39"/>
      <c r="E876" s="39"/>
      <c r="F876" s="39"/>
      <c r="G876" s="39">
        <v>1</v>
      </c>
      <c r="H876" s="39">
        <v>49000104</v>
      </c>
      <c r="I876" s="21" t="s">
        <v>184</v>
      </c>
      <c r="J876" s="39">
        <v>13</v>
      </c>
      <c r="K876" s="46">
        <v>1400303</v>
      </c>
      <c r="L876" s="39">
        <f t="shared" si="75"/>
        <v>5</v>
      </c>
      <c r="M876" s="39" t="s">
        <v>2295</v>
      </c>
      <c r="N876" s="39" t="s">
        <v>592</v>
      </c>
      <c r="O876" s="50" t="s">
        <v>649</v>
      </c>
    </row>
    <row r="877" spans="2:15" ht="16.5" customHeight="1" x14ac:dyDescent="0.2">
      <c r="B877" s="39">
        <f t="shared" si="73"/>
        <v>49000105</v>
      </c>
      <c r="C877" s="39">
        <v>1</v>
      </c>
      <c r="D877" s="39"/>
      <c r="E877" s="39"/>
      <c r="F877" s="39"/>
      <c r="G877" s="39">
        <v>1</v>
      </c>
      <c r="H877" s="42">
        <v>49000105</v>
      </c>
      <c r="I877" s="21" t="s">
        <v>184</v>
      </c>
      <c r="J877" s="39">
        <v>13</v>
      </c>
      <c r="K877" s="159">
        <v>1400304</v>
      </c>
      <c r="L877" s="39">
        <f t="shared" si="75"/>
        <v>5</v>
      </c>
      <c r="M877" s="42" t="s">
        <v>2296</v>
      </c>
      <c r="N877" s="42" t="s">
        <v>593</v>
      </c>
      <c r="O877" s="199" t="s">
        <v>650</v>
      </c>
    </row>
    <row r="878" spans="2:15" ht="16.5" customHeight="1" x14ac:dyDescent="0.2">
      <c r="B878" s="39">
        <f t="shared" si="73"/>
        <v>49000106</v>
      </c>
      <c r="C878" s="39">
        <v>1</v>
      </c>
      <c r="D878" s="39"/>
      <c r="E878" s="39"/>
      <c r="F878" s="39"/>
      <c r="G878" s="39">
        <v>1</v>
      </c>
      <c r="H878" s="42">
        <v>49000106</v>
      </c>
      <c r="I878" s="21" t="s">
        <v>184</v>
      </c>
      <c r="J878" s="39">
        <v>13</v>
      </c>
      <c r="K878" s="159">
        <v>1400305</v>
      </c>
      <c r="L878" s="39">
        <f t="shared" si="75"/>
        <v>5</v>
      </c>
      <c r="M878" s="42" t="s">
        <v>2297</v>
      </c>
      <c r="N878" s="42" t="s">
        <v>594</v>
      </c>
      <c r="O878" s="199" t="s">
        <v>651</v>
      </c>
    </row>
    <row r="879" spans="2:15" ht="16.5" customHeight="1" x14ac:dyDescent="0.2">
      <c r="B879" s="39">
        <f t="shared" si="73"/>
        <v>50000000</v>
      </c>
      <c r="C879" s="39">
        <v>1</v>
      </c>
      <c r="D879" s="39"/>
      <c r="E879" s="39"/>
      <c r="F879" s="39"/>
      <c r="G879" s="39">
        <v>1</v>
      </c>
      <c r="H879" s="42">
        <v>50000000</v>
      </c>
      <c r="I879" s="21" t="s">
        <v>184</v>
      </c>
      <c r="J879" s="39">
        <v>13</v>
      </c>
      <c r="K879" s="159">
        <v>1400306</v>
      </c>
      <c r="L879" s="39">
        <v>13</v>
      </c>
      <c r="M879" s="42" t="s">
        <v>931</v>
      </c>
      <c r="N879" s="42" t="s">
        <v>462</v>
      </c>
      <c r="O879" s="199" t="s">
        <v>665</v>
      </c>
    </row>
    <row r="880" spans="2:15" ht="16.5" customHeight="1" x14ac:dyDescent="0.2">
      <c r="B880" s="39">
        <f t="shared" si="73"/>
        <v>50000001</v>
      </c>
      <c r="C880" s="39">
        <v>1</v>
      </c>
      <c r="D880" s="39"/>
      <c r="E880" s="39"/>
      <c r="F880" s="39"/>
      <c r="G880" s="39">
        <v>1</v>
      </c>
      <c r="H880" s="42">
        <v>50000001</v>
      </c>
      <c r="I880" s="21" t="s">
        <v>184</v>
      </c>
      <c r="J880" s="39">
        <v>13</v>
      </c>
      <c r="K880" s="159">
        <v>1400307</v>
      </c>
      <c r="L880" s="39">
        <v>13</v>
      </c>
      <c r="M880" s="42" t="s">
        <v>931</v>
      </c>
      <c r="N880" s="42" t="s">
        <v>1599</v>
      </c>
      <c r="O880" s="199" t="s">
        <v>666</v>
      </c>
    </row>
    <row r="881" spans="2:15" ht="16.5" customHeight="1" x14ac:dyDescent="0.2">
      <c r="B881" s="39">
        <f t="shared" si="73"/>
        <v>50000002</v>
      </c>
      <c r="C881" s="39">
        <v>1</v>
      </c>
      <c r="D881" s="39"/>
      <c r="E881" s="39"/>
      <c r="F881" s="39"/>
      <c r="G881" s="39">
        <v>1</v>
      </c>
      <c r="H881" s="42">
        <v>50000002</v>
      </c>
      <c r="I881" s="21" t="s">
        <v>184</v>
      </c>
      <c r="J881" s="39">
        <v>13</v>
      </c>
      <c r="K881" s="159">
        <v>1400308</v>
      </c>
      <c r="L881" s="39">
        <v>13</v>
      </c>
      <c r="M881" s="42" t="s">
        <v>931</v>
      </c>
      <c r="N881" s="42" t="s">
        <v>1600</v>
      </c>
      <c r="O881" s="199" t="s">
        <v>667</v>
      </c>
    </row>
    <row r="882" spans="2:15" ht="16.5" customHeight="1" x14ac:dyDescent="0.2">
      <c r="B882" s="39">
        <f t="shared" si="73"/>
        <v>50000003</v>
      </c>
      <c r="C882" s="39">
        <v>1</v>
      </c>
      <c r="D882" s="39"/>
      <c r="E882" s="39"/>
      <c r="F882" s="39"/>
      <c r="G882" s="39">
        <v>1</v>
      </c>
      <c r="H882" s="42">
        <v>50000003</v>
      </c>
      <c r="I882" s="21" t="s">
        <v>184</v>
      </c>
      <c r="J882" s="39">
        <v>13</v>
      </c>
      <c r="K882" s="159">
        <v>1400309</v>
      </c>
      <c r="L882" s="39">
        <v>13</v>
      </c>
      <c r="M882" s="42" t="s">
        <v>932</v>
      </c>
      <c r="N882" s="42" t="s">
        <v>465</v>
      </c>
      <c r="O882" s="199" t="s">
        <v>668</v>
      </c>
    </row>
    <row r="883" spans="2:15" ht="16.5" customHeight="1" x14ac:dyDescent="0.2">
      <c r="B883" s="39">
        <f t="shared" si="73"/>
        <v>50000004</v>
      </c>
      <c r="C883" s="39">
        <v>1</v>
      </c>
      <c r="D883" s="39"/>
      <c r="E883" s="39"/>
      <c r="F883" s="39"/>
      <c r="G883" s="39">
        <v>1</v>
      </c>
      <c r="H883" s="42">
        <v>50000004</v>
      </c>
      <c r="I883" s="21" t="s">
        <v>184</v>
      </c>
      <c r="J883" s="39">
        <v>13</v>
      </c>
      <c r="K883" s="159">
        <v>1400310</v>
      </c>
      <c r="L883" s="39">
        <v>13</v>
      </c>
      <c r="M883" s="42" t="s">
        <v>933</v>
      </c>
      <c r="N883" s="42" t="s">
        <v>466</v>
      </c>
      <c r="O883" s="199" t="s">
        <v>669</v>
      </c>
    </row>
    <row r="884" spans="2:15" ht="16.5" customHeight="1" x14ac:dyDescent="0.2">
      <c r="B884" s="39">
        <f t="shared" ref="B884:B915" si="76">H884</f>
        <v>50000005</v>
      </c>
      <c r="C884" s="39">
        <v>1</v>
      </c>
      <c r="D884" s="39"/>
      <c r="E884" s="39"/>
      <c r="F884" s="39"/>
      <c r="G884" s="39">
        <v>1</v>
      </c>
      <c r="H884" s="42">
        <v>50000005</v>
      </c>
      <c r="I884" s="21" t="s">
        <v>184</v>
      </c>
      <c r="J884" s="39">
        <v>13</v>
      </c>
      <c r="K884" s="159">
        <v>1400311</v>
      </c>
      <c r="L884" s="39">
        <v>13</v>
      </c>
      <c r="M884" s="42" t="s">
        <v>933</v>
      </c>
      <c r="N884" s="42" t="s">
        <v>467</v>
      </c>
      <c r="O884" s="199" t="s">
        <v>670</v>
      </c>
    </row>
    <row r="885" spans="2:15" ht="16.5" customHeight="1" x14ac:dyDescent="0.2">
      <c r="B885" s="39">
        <f t="shared" si="76"/>
        <v>50000006</v>
      </c>
      <c r="C885" s="39">
        <v>1</v>
      </c>
      <c r="D885" s="39"/>
      <c r="E885" s="39"/>
      <c r="F885" s="39"/>
      <c r="G885" s="39">
        <v>1</v>
      </c>
      <c r="H885" s="42">
        <v>50000006</v>
      </c>
      <c r="I885" s="21" t="s">
        <v>184</v>
      </c>
      <c r="J885" s="39">
        <v>13</v>
      </c>
      <c r="K885" s="159">
        <v>1400312</v>
      </c>
      <c r="L885" s="39">
        <v>13</v>
      </c>
      <c r="M885" s="42" t="s">
        <v>934</v>
      </c>
      <c r="N885" s="42" t="s">
        <v>468</v>
      </c>
      <c r="O885" s="199" t="s">
        <v>671</v>
      </c>
    </row>
    <row r="886" spans="2:15" ht="16.5" customHeight="1" x14ac:dyDescent="0.2">
      <c r="B886" s="39">
        <f t="shared" si="76"/>
        <v>50000007</v>
      </c>
      <c r="C886" s="39">
        <v>1</v>
      </c>
      <c r="D886" s="39"/>
      <c r="E886" s="39"/>
      <c r="F886" s="39"/>
      <c r="G886" s="39">
        <v>1</v>
      </c>
      <c r="H886" s="42">
        <v>50000007</v>
      </c>
      <c r="I886" s="21" t="s">
        <v>184</v>
      </c>
      <c r="J886" s="39">
        <v>13</v>
      </c>
      <c r="K886" s="159">
        <v>1400313</v>
      </c>
      <c r="L886" s="39">
        <v>13</v>
      </c>
      <c r="M886" s="42" t="s">
        <v>935</v>
      </c>
      <c r="N886" s="42" t="s">
        <v>469</v>
      </c>
      <c r="O886" s="199" t="s">
        <v>672</v>
      </c>
    </row>
    <row r="887" spans="2:15" ht="16.5" customHeight="1" x14ac:dyDescent="0.2">
      <c r="B887" s="39">
        <f t="shared" si="76"/>
        <v>50000008</v>
      </c>
      <c r="C887" s="39">
        <v>1</v>
      </c>
      <c r="D887" s="39"/>
      <c r="E887" s="39"/>
      <c r="F887" s="39"/>
      <c r="G887" s="39">
        <v>1</v>
      </c>
      <c r="H887" s="42">
        <v>50000008</v>
      </c>
      <c r="I887" s="21" t="s">
        <v>184</v>
      </c>
      <c r="J887" s="39">
        <v>13</v>
      </c>
      <c r="K887" s="159">
        <v>1400314</v>
      </c>
      <c r="L887" s="39">
        <v>13</v>
      </c>
      <c r="M887" s="42" t="s">
        <v>936</v>
      </c>
      <c r="N887" s="42" t="s">
        <v>470</v>
      </c>
      <c r="O887" s="199" t="s">
        <v>673</v>
      </c>
    </row>
    <row r="888" spans="2:15" ht="16.5" customHeight="1" x14ac:dyDescent="0.2">
      <c r="B888" s="39">
        <f t="shared" si="76"/>
        <v>50000009</v>
      </c>
      <c r="C888" s="39">
        <v>1</v>
      </c>
      <c r="D888" s="39"/>
      <c r="E888" s="39"/>
      <c r="F888" s="39"/>
      <c r="G888" s="39">
        <v>1</v>
      </c>
      <c r="H888" s="42">
        <v>50000009</v>
      </c>
      <c r="I888" s="21" t="s">
        <v>184</v>
      </c>
      <c r="J888" s="39">
        <v>13</v>
      </c>
      <c r="K888" s="159">
        <v>1400315</v>
      </c>
      <c r="L888" s="39">
        <v>13</v>
      </c>
      <c r="M888" s="42" t="s">
        <v>937</v>
      </c>
      <c r="N888" s="42" t="s">
        <v>471</v>
      </c>
      <c r="O888" s="199" t="s">
        <v>674</v>
      </c>
    </row>
    <row r="889" spans="2:15" ht="16.5" customHeight="1" x14ac:dyDescent="0.2">
      <c r="B889" s="39">
        <f t="shared" si="76"/>
        <v>50000010</v>
      </c>
      <c r="C889" s="39">
        <v>1</v>
      </c>
      <c r="D889" s="39"/>
      <c r="E889" s="39"/>
      <c r="F889" s="39"/>
      <c r="G889" s="39">
        <v>1</v>
      </c>
      <c r="H889" s="42">
        <v>50000010</v>
      </c>
      <c r="I889" s="21" t="s">
        <v>184</v>
      </c>
      <c r="J889" s="39">
        <v>13</v>
      </c>
      <c r="K889" s="159">
        <v>1400316</v>
      </c>
      <c r="L889" s="39">
        <v>13</v>
      </c>
      <c r="M889" s="42" t="s">
        <v>675</v>
      </c>
      <c r="N889" s="42" t="s">
        <v>472</v>
      </c>
      <c r="O889" s="199" t="s">
        <v>675</v>
      </c>
    </row>
    <row r="890" spans="2:15" ht="16.5" customHeight="1" x14ac:dyDescent="0.2">
      <c r="B890" s="39">
        <f t="shared" si="76"/>
        <v>50000011</v>
      </c>
      <c r="C890" s="39">
        <v>1</v>
      </c>
      <c r="D890" s="39"/>
      <c r="E890" s="39"/>
      <c r="F890" s="39"/>
      <c r="G890" s="39">
        <v>1</v>
      </c>
      <c r="H890" s="42">
        <v>50000011</v>
      </c>
      <c r="I890" s="21" t="s">
        <v>184</v>
      </c>
      <c r="J890" s="39">
        <v>13</v>
      </c>
      <c r="K890" s="159">
        <v>1400317</v>
      </c>
      <c r="L890" s="39">
        <v>13</v>
      </c>
      <c r="M890" s="42" t="s">
        <v>676</v>
      </c>
      <c r="N890" s="42" t="s">
        <v>473</v>
      </c>
      <c r="O890" s="199" t="s">
        <v>676</v>
      </c>
    </row>
    <row r="891" spans="2:15" ht="16.5" customHeight="1" x14ac:dyDescent="0.2">
      <c r="B891" s="39">
        <f t="shared" si="76"/>
        <v>50000012</v>
      </c>
      <c r="C891" s="39">
        <v>1</v>
      </c>
      <c r="D891" s="39"/>
      <c r="E891" s="39"/>
      <c r="F891" s="39"/>
      <c r="G891" s="39">
        <v>1</v>
      </c>
      <c r="H891" s="39">
        <v>50000012</v>
      </c>
      <c r="I891" s="21" t="s">
        <v>184</v>
      </c>
      <c r="J891" s="39">
        <v>13</v>
      </c>
      <c r="K891" s="46">
        <v>1400318</v>
      </c>
      <c r="L891" s="39">
        <v>13</v>
      </c>
      <c r="M891" s="39" t="s">
        <v>677</v>
      </c>
      <c r="N891" s="39" t="s">
        <v>474</v>
      </c>
      <c r="O891" s="50" t="s">
        <v>677</v>
      </c>
    </row>
    <row r="892" spans="2:15" ht="16.5" customHeight="1" x14ac:dyDescent="0.2">
      <c r="B892" s="39">
        <f t="shared" si="76"/>
        <v>50000013</v>
      </c>
      <c r="C892" s="39">
        <v>1</v>
      </c>
      <c r="D892" s="39"/>
      <c r="E892" s="39"/>
      <c r="F892" s="39"/>
      <c r="G892" s="39">
        <v>1</v>
      </c>
      <c r="H892" s="39">
        <v>50000013</v>
      </c>
      <c r="I892" s="21" t="s">
        <v>184</v>
      </c>
      <c r="J892" s="39">
        <v>13</v>
      </c>
      <c r="K892" s="46">
        <v>1400319</v>
      </c>
      <c r="L892" s="39">
        <v>13</v>
      </c>
      <c r="M892" s="39" t="s">
        <v>938</v>
      </c>
      <c r="N892" s="39" t="s">
        <v>595</v>
      </c>
      <c r="O892" s="50" t="s">
        <v>652</v>
      </c>
    </row>
    <row r="893" spans="2:15" x14ac:dyDescent="0.3">
      <c r="B893" s="39">
        <f t="shared" si="76"/>
        <v>50000014</v>
      </c>
      <c r="C893" s="39">
        <v>1</v>
      </c>
      <c r="D893" s="39"/>
      <c r="E893" s="39"/>
      <c r="F893" s="39"/>
      <c r="G893" s="39">
        <v>1</v>
      </c>
      <c r="H893" s="39">
        <v>50000014</v>
      </c>
      <c r="I893" s="39" t="s">
        <v>186</v>
      </c>
      <c r="J893" s="39">
        <v>22</v>
      </c>
      <c r="K893" s="46">
        <v>1400481</v>
      </c>
      <c r="L893" s="39">
        <f t="shared" ref="L893:L910" si="77">VLOOKUP(I893,error,2,FALSE)</f>
        <v>21</v>
      </c>
      <c r="M893" s="39" t="s">
        <v>2298</v>
      </c>
      <c r="N893" s="39" t="s">
        <v>1258</v>
      </c>
    </row>
    <row r="894" spans="2:15" x14ac:dyDescent="0.3">
      <c r="B894" s="39">
        <f t="shared" si="76"/>
        <v>50000015</v>
      </c>
      <c r="C894" s="39">
        <v>1</v>
      </c>
      <c r="D894" s="39"/>
      <c r="E894" s="39"/>
      <c r="F894" s="39"/>
      <c r="G894" s="39">
        <v>1</v>
      </c>
      <c r="H894" s="39">
        <v>50000015</v>
      </c>
      <c r="I894" s="39" t="s">
        <v>186</v>
      </c>
      <c r="J894" s="39">
        <v>23</v>
      </c>
      <c r="K894" s="46">
        <v>1400482</v>
      </c>
      <c r="L894" s="39">
        <f t="shared" si="77"/>
        <v>21</v>
      </c>
      <c r="M894" s="39" t="s">
        <v>2299</v>
      </c>
      <c r="N894" s="39" t="s">
        <v>1259</v>
      </c>
    </row>
    <row r="895" spans="2:15" x14ac:dyDescent="0.3">
      <c r="B895" s="39">
        <f t="shared" si="76"/>
        <v>50000016</v>
      </c>
      <c r="C895" s="39">
        <v>1</v>
      </c>
      <c r="D895" s="39"/>
      <c r="E895" s="39"/>
      <c r="F895" s="39"/>
      <c r="G895" s="39">
        <v>1</v>
      </c>
      <c r="H895" s="39">
        <v>50000016</v>
      </c>
      <c r="I895" s="39" t="s">
        <v>186</v>
      </c>
      <c r="J895" s="39">
        <v>21</v>
      </c>
      <c r="K895" s="46">
        <v>1400576</v>
      </c>
      <c r="L895" s="39">
        <f t="shared" si="77"/>
        <v>21</v>
      </c>
      <c r="M895" s="39" t="s">
        <v>2300</v>
      </c>
      <c r="N895" s="39" t="s">
        <v>1813</v>
      </c>
    </row>
    <row r="896" spans="2:15" x14ac:dyDescent="0.3">
      <c r="B896" s="39">
        <f t="shared" si="76"/>
        <v>50000017</v>
      </c>
      <c r="C896" s="39">
        <v>1</v>
      </c>
      <c r="D896" s="39"/>
      <c r="E896" s="39"/>
      <c r="F896" s="39"/>
      <c r="G896" s="39">
        <v>1</v>
      </c>
      <c r="H896" s="39">
        <v>50000017</v>
      </c>
      <c r="I896" s="39" t="s">
        <v>186</v>
      </c>
      <c r="J896" s="39">
        <v>21</v>
      </c>
      <c r="K896" s="46">
        <v>1400577</v>
      </c>
      <c r="L896" s="39">
        <f t="shared" si="77"/>
        <v>21</v>
      </c>
      <c r="M896" s="39" t="s">
        <v>2301</v>
      </c>
      <c r="N896" s="39" t="s">
        <v>1814</v>
      </c>
    </row>
    <row r="897" spans="2:15" ht="16.5" customHeight="1" x14ac:dyDescent="0.3">
      <c r="B897" s="39">
        <f t="shared" si="76"/>
        <v>50000018</v>
      </c>
      <c r="C897" s="39">
        <v>1</v>
      </c>
      <c r="D897" s="39"/>
      <c r="E897" s="39"/>
      <c r="F897" s="39"/>
      <c r="G897" s="39">
        <v>1</v>
      </c>
      <c r="H897" s="39">
        <v>50000018</v>
      </c>
      <c r="I897" s="39" t="s">
        <v>186</v>
      </c>
      <c r="J897" s="39">
        <v>21</v>
      </c>
      <c r="K897" s="46">
        <v>1400578</v>
      </c>
      <c r="L897" s="39">
        <f t="shared" si="77"/>
        <v>21</v>
      </c>
      <c r="M897" s="39" t="s">
        <v>2302</v>
      </c>
      <c r="N897" s="39" t="s">
        <v>1815</v>
      </c>
    </row>
    <row r="898" spans="2:15" ht="16.5" customHeight="1" x14ac:dyDescent="0.2">
      <c r="B898" s="39">
        <f t="shared" si="76"/>
        <v>51000000</v>
      </c>
      <c r="C898" s="39">
        <v>1</v>
      </c>
      <c r="D898" s="39"/>
      <c r="E898" s="39"/>
      <c r="F898" s="39"/>
      <c r="G898" s="39">
        <v>1</v>
      </c>
      <c r="H898" s="39">
        <v>51000000</v>
      </c>
      <c r="I898" s="21" t="s">
        <v>184</v>
      </c>
      <c r="J898" s="39">
        <v>13</v>
      </c>
      <c r="K898" s="46">
        <v>1400320</v>
      </c>
      <c r="L898" s="39">
        <f t="shared" si="77"/>
        <v>5</v>
      </c>
      <c r="M898" s="39" t="s">
        <v>939</v>
      </c>
      <c r="N898" s="39" t="s">
        <v>680</v>
      </c>
      <c r="O898" s="52" t="s">
        <v>1473</v>
      </c>
    </row>
    <row r="899" spans="2:15" ht="16.5" customHeight="1" x14ac:dyDescent="0.2">
      <c r="B899" s="39">
        <f t="shared" si="76"/>
        <v>51000001</v>
      </c>
      <c r="C899" s="39">
        <v>1</v>
      </c>
      <c r="D899" s="39"/>
      <c r="E899" s="39"/>
      <c r="F899" s="39"/>
      <c r="G899" s="39">
        <v>1</v>
      </c>
      <c r="H899" s="39">
        <v>51000001</v>
      </c>
      <c r="I899" s="21" t="s">
        <v>184</v>
      </c>
      <c r="J899" s="39">
        <v>13</v>
      </c>
      <c r="K899" s="46">
        <v>1400321</v>
      </c>
      <c r="L899" s="39">
        <f t="shared" si="77"/>
        <v>5</v>
      </c>
      <c r="M899" s="39" t="s">
        <v>940</v>
      </c>
      <c r="N899" s="39" t="s">
        <v>681</v>
      </c>
      <c r="O899" s="52" t="s">
        <v>1474</v>
      </c>
    </row>
    <row r="900" spans="2:15" ht="16.5" customHeight="1" x14ac:dyDescent="0.2">
      <c r="B900" s="39">
        <f t="shared" si="76"/>
        <v>51000002</v>
      </c>
      <c r="C900" s="39">
        <v>1</v>
      </c>
      <c r="D900" s="39"/>
      <c r="E900" s="39"/>
      <c r="F900" s="39"/>
      <c r="G900" s="39">
        <v>1</v>
      </c>
      <c r="H900" s="39">
        <v>51000002</v>
      </c>
      <c r="I900" s="21" t="s">
        <v>184</v>
      </c>
      <c r="J900" s="39">
        <v>13</v>
      </c>
      <c r="K900" s="46">
        <v>1400322</v>
      </c>
      <c r="L900" s="39">
        <f t="shared" si="77"/>
        <v>5</v>
      </c>
      <c r="M900" s="39" t="s">
        <v>941</v>
      </c>
      <c r="N900" s="39" t="s">
        <v>682</v>
      </c>
      <c r="O900" s="52" t="s">
        <v>1475</v>
      </c>
    </row>
    <row r="901" spans="2:15" ht="16.5" customHeight="1" x14ac:dyDescent="0.2">
      <c r="B901" s="39">
        <f t="shared" si="76"/>
        <v>51000003</v>
      </c>
      <c r="C901" s="39">
        <v>1</v>
      </c>
      <c r="D901" s="39"/>
      <c r="E901" s="39"/>
      <c r="F901" s="39"/>
      <c r="G901" s="39">
        <v>1</v>
      </c>
      <c r="H901" s="39">
        <v>51000003</v>
      </c>
      <c r="I901" s="21" t="s">
        <v>184</v>
      </c>
      <c r="J901" s="39">
        <v>13</v>
      </c>
      <c r="K901" s="46">
        <v>1400323</v>
      </c>
      <c r="L901" s="39">
        <f t="shared" si="77"/>
        <v>5</v>
      </c>
      <c r="M901" s="39" t="s">
        <v>725</v>
      </c>
      <c r="N901" s="39" t="s">
        <v>683</v>
      </c>
      <c r="O901" s="52" t="s">
        <v>725</v>
      </c>
    </row>
    <row r="902" spans="2:15" ht="16.5" customHeight="1" x14ac:dyDescent="0.2">
      <c r="B902" s="39">
        <f t="shared" si="76"/>
        <v>51000004</v>
      </c>
      <c r="C902" s="39">
        <v>1</v>
      </c>
      <c r="D902" s="39"/>
      <c r="E902" s="39"/>
      <c r="F902" s="39"/>
      <c r="G902" s="39">
        <v>1</v>
      </c>
      <c r="H902" s="39">
        <v>51000004</v>
      </c>
      <c r="I902" s="21" t="s">
        <v>184</v>
      </c>
      <c r="J902" s="39">
        <v>13</v>
      </c>
      <c r="K902" s="46">
        <v>1400324</v>
      </c>
      <c r="L902" s="39">
        <f t="shared" si="77"/>
        <v>5</v>
      </c>
      <c r="M902" s="39" t="s">
        <v>725</v>
      </c>
      <c r="N902" s="39" t="s">
        <v>684</v>
      </c>
      <c r="O902" s="52" t="s">
        <v>725</v>
      </c>
    </row>
    <row r="903" spans="2:15" ht="16.5" customHeight="1" x14ac:dyDescent="0.2">
      <c r="B903" s="39">
        <f t="shared" si="76"/>
        <v>51000005</v>
      </c>
      <c r="C903" s="39">
        <v>1</v>
      </c>
      <c r="D903" s="39"/>
      <c r="E903" s="39"/>
      <c r="F903" s="39"/>
      <c r="G903" s="39">
        <v>1</v>
      </c>
      <c r="H903" s="39">
        <v>51000005</v>
      </c>
      <c r="I903" s="21" t="s">
        <v>184</v>
      </c>
      <c r="J903" s="39">
        <v>13</v>
      </c>
      <c r="K903" s="46">
        <v>1400325</v>
      </c>
      <c r="L903" s="39">
        <f t="shared" si="77"/>
        <v>5</v>
      </c>
      <c r="M903" s="39" t="s">
        <v>942</v>
      </c>
      <c r="N903" s="39" t="s">
        <v>685</v>
      </c>
      <c r="O903" s="52" t="s">
        <v>1476</v>
      </c>
    </row>
    <row r="904" spans="2:15" ht="16.5" customHeight="1" x14ac:dyDescent="0.2">
      <c r="B904" s="39">
        <f t="shared" si="76"/>
        <v>51000006</v>
      </c>
      <c r="C904" s="39">
        <v>1</v>
      </c>
      <c r="D904" s="39"/>
      <c r="E904" s="39"/>
      <c r="F904" s="39"/>
      <c r="G904" s="39">
        <v>1</v>
      </c>
      <c r="H904" s="39">
        <v>51000006</v>
      </c>
      <c r="I904" s="21" t="s">
        <v>184</v>
      </c>
      <c r="J904" s="39">
        <v>13</v>
      </c>
      <c r="K904" s="46">
        <v>1400326</v>
      </c>
      <c r="L904" s="39">
        <f t="shared" si="77"/>
        <v>5</v>
      </c>
      <c r="M904" s="39" t="s">
        <v>943</v>
      </c>
      <c r="N904" s="39" t="s">
        <v>686</v>
      </c>
      <c r="O904" s="52" t="s">
        <v>1477</v>
      </c>
    </row>
    <row r="905" spans="2:15" ht="16.5" customHeight="1" x14ac:dyDescent="0.2">
      <c r="B905" s="39">
        <f t="shared" si="76"/>
        <v>51000007</v>
      </c>
      <c r="C905" s="39">
        <v>1</v>
      </c>
      <c r="D905" s="39"/>
      <c r="E905" s="39"/>
      <c r="F905" s="39"/>
      <c r="G905" s="39">
        <v>1</v>
      </c>
      <c r="H905" s="39">
        <v>51000007</v>
      </c>
      <c r="I905" s="21" t="s">
        <v>184</v>
      </c>
      <c r="J905" s="39">
        <v>13</v>
      </c>
      <c r="K905" s="46">
        <v>1400327</v>
      </c>
      <c r="L905" s="39">
        <f t="shared" si="77"/>
        <v>5</v>
      </c>
      <c r="M905" s="39" t="s">
        <v>944</v>
      </c>
      <c r="N905" s="39" t="s">
        <v>687</v>
      </c>
      <c r="O905" s="52" t="s">
        <v>1478</v>
      </c>
    </row>
    <row r="906" spans="2:15" ht="16.5" customHeight="1" x14ac:dyDescent="0.2">
      <c r="B906" s="39">
        <f t="shared" si="76"/>
        <v>51000008</v>
      </c>
      <c r="C906" s="39">
        <v>1</v>
      </c>
      <c r="D906" s="39"/>
      <c r="E906" s="39"/>
      <c r="F906" s="39"/>
      <c r="G906" s="39">
        <v>1</v>
      </c>
      <c r="H906" s="39">
        <v>51000008</v>
      </c>
      <c r="I906" s="21" t="s">
        <v>184</v>
      </c>
      <c r="J906" s="39">
        <v>13</v>
      </c>
      <c r="K906" s="46">
        <v>1400328</v>
      </c>
      <c r="L906" s="39">
        <f t="shared" si="77"/>
        <v>5</v>
      </c>
      <c r="M906" s="39" t="s">
        <v>2303</v>
      </c>
      <c r="N906" s="39" t="s">
        <v>688</v>
      </c>
      <c r="O906" s="52" t="s">
        <v>1479</v>
      </c>
    </row>
    <row r="907" spans="2:15" ht="16.5" customHeight="1" x14ac:dyDescent="0.2">
      <c r="B907" s="39">
        <f t="shared" si="76"/>
        <v>51000009</v>
      </c>
      <c r="C907" s="39">
        <v>1</v>
      </c>
      <c r="D907" s="39"/>
      <c r="E907" s="39"/>
      <c r="F907" s="39"/>
      <c r="G907" s="39">
        <v>1</v>
      </c>
      <c r="H907" s="39">
        <v>51000009</v>
      </c>
      <c r="I907" s="21" t="s">
        <v>184</v>
      </c>
      <c r="J907" s="39">
        <v>13</v>
      </c>
      <c r="K907" s="46">
        <v>1400329</v>
      </c>
      <c r="L907" s="39">
        <f t="shared" si="77"/>
        <v>5</v>
      </c>
      <c r="M907" s="39" t="s">
        <v>945</v>
      </c>
      <c r="N907" s="39" t="s">
        <v>689</v>
      </c>
      <c r="O907" s="52" t="s">
        <v>1480</v>
      </c>
    </row>
    <row r="908" spans="2:15" ht="16.5" customHeight="1" x14ac:dyDescent="0.2">
      <c r="B908" s="39">
        <f t="shared" si="76"/>
        <v>51000010</v>
      </c>
      <c r="C908" s="39">
        <v>1</v>
      </c>
      <c r="D908" s="39"/>
      <c r="E908" s="39"/>
      <c r="F908" s="39"/>
      <c r="G908" s="39">
        <v>1</v>
      </c>
      <c r="H908" s="39">
        <v>51000010</v>
      </c>
      <c r="I908" s="21" t="s">
        <v>184</v>
      </c>
      <c r="J908" s="39">
        <v>13</v>
      </c>
      <c r="K908" s="46">
        <v>1400558</v>
      </c>
      <c r="L908" s="39">
        <f t="shared" si="77"/>
        <v>5</v>
      </c>
      <c r="M908" s="39" t="s">
        <v>2304</v>
      </c>
      <c r="N908" s="39" t="s">
        <v>1751</v>
      </c>
      <c r="O908" s="52"/>
    </row>
    <row r="909" spans="2:15" ht="16.5" customHeight="1" x14ac:dyDescent="0.2">
      <c r="B909" s="39">
        <f t="shared" si="76"/>
        <v>51000011</v>
      </c>
      <c r="C909" s="39">
        <v>1</v>
      </c>
      <c r="D909" s="39"/>
      <c r="E909" s="39"/>
      <c r="F909" s="39"/>
      <c r="G909" s="39">
        <v>1</v>
      </c>
      <c r="H909" s="39">
        <v>51000011</v>
      </c>
      <c r="I909" s="21" t="s">
        <v>184</v>
      </c>
      <c r="J909" s="39">
        <v>13</v>
      </c>
      <c r="K909" s="46">
        <v>1400559</v>
      </c>
      <c r="L909" s="39">
        <f t="shared" si="77"/>
        <v>5</v>
      </c>
      <c r="M909" s="39" t="s">
        <v>2305</v>
      </c>
      <c r="N909" s="39" t="s">
        <v>1752</v>
      </c>
      <c r="O909" s="52"/>
    </row>
    <row r="910" spans="2:15" ht="16.5" customHeight="1" x14ac:dyDescent="0.2">
      <c r="B910" s="39">
        <f t="shared" si="76"/>
        <v>51000012</v>
      </c>
      <c r="C910" s="39">
        <v>1</v>
      </c>
      <c r="D910" s="39"/>
      <c r="E910" s="39"/>
      <c r="F910" s="39"/>
      <c r="G910" s="39">
        <v>1</v>
      </c>
      <c r="H910" s="39">
        <v>51000012</v>
      </c>
      <c r="I910" s="21" t="s">
        <v>184</v>
      </c>
      <c r="J910" s="39">
        <v>13</v>
      </c>
      <c r="K910" s="46">
        <v>1400560</v>
      </c>
      <c r="L910" s="39">
        <f t="shared" si="77"/>
        <v>5</v>
      </c>
      <c r="M910" s="39" t="s">
        <v>2306</v>
      </c>
      <c r="N910" s="39" t="s">
        <v>1753</v>
      </c>
      <c r="O910" s="52"/>
    </row>
    <row r="911" spans="2:15" x14ac:dyDescent="0.3">
      <c r="B911" s="39">
        <f t="shared" si="76"/>
        <v>51000013</v>
      </c>
      <c r="C911" s="39">
        <v>1</v>
      </c>
      <c r="D911" s="39"/>
      <c r="E911" s="39"/>
      <c r="F911" s="39"/>
      <c r="G911" s="39">
        <v>1</v>
      </c>
      <c r="H911" s="39">
        <v>51000013</v>
      </c>
      <c r="I911" s="39" t="s">
        <v>189</v>
      </c>
      <c r="J911" s="39">
        <v>31</v>
      </c>
      <c r="K911" s="46">
        <v>1065328</v>
      </c>
      <c r="L911" s="39">
        <v>31</v>
      </c>
      <c r="M911" s="39" t="s">
        <v>2393</v>
      </c>
      <c r="N911" s="39" t="s">
        <v>1921</v>
      </c>
      <c r="O911" s="50" t="s">
        <v>1922</v>
      </c>
    </row>
    <row r="912" spans="2:15" x14ac:dyDescent="0.3">
      <c r="B912" s="39">
        <f t="shared" si="76"/>
        <v>51000014</v>
      </c>
      <c r="C912" s="39">
        <v>1</v>
      </c>
      <c r="D912" s="39"/>
      <c r="E912" s="39"/>
      <c r="F912" s="39"/>
      <c r="G912" s="39">
        <v>1</v>
      </c>
      <c r="H912" s="39">
        <v>51000014</v>
      </c>
      <c r="I912" s="39" t="s">
        <v>186</v>
      </c>
      <c r="J912" s="39">
        <v>13</v>
      </c>
      <c r="K912" s="46">
        <v>1100359</v>
      </c>
      <c r="L912" s="39">
        <v>21</v>
      </c>
      <c r="M912" s="39" t="s">
        <v>1961</v>
      </c>
      <c r="N912" s="39" t="s">
        <v>1962</v>
      </c>
      <c r="O912" s="50" t="s">
        <v>1963</v>
      </c>
    </row>
    <row r="913" spans="2:15" x14ac:dyDescent="0.3">
      <c r="B913" s="39">
        <f t="shared" si="76"/>
        <v>51000015</v>
      </c>
      <c r="C913" s="39">
        <v>1</v>
      </c>
      <c r="D913" s="39"/>
      <c r="E913" s="39"/>
      <c r="F913" s="39"/>
      <c r="G913" s="39">
        <v>1</v>
      </c>
      <c r="H913" s="39">
        <v>51000015</v>
      </c>
      <c r="I913" s="39" t="s">
        <v>186</v>
      </c>
      <c r="J913" s="39">
        <v>13</v>
      </c>
      <c r="K913" s="46">
        <v>1100360</v>
      </c>
      <c r="L913" s="39">
        <v>21</v>
      </c>
      <c r="M913" s="39" t="s">
        <v>1964</v>
      </c>
      <c r="N913" s="39" t="s">
        <v>1965</v>
      </c>
      <c r="O913" s="50" t="s">
        <v>1963</v>
      </c>
    </row>
    <row r="914" spans="2:15" x14ac:dyDescent="0.3">
      <c r="B914" s="39">
        <f t="shared" si="76"/>
        <v>51000016</v>
      </c>
      <c r="C914" s="39">
        <v>1</v>
      </c>
      <c r="D914" s="39"/>
      <c r="E914" s="39"/>
      <c r="F914" s="39"/>
      <c r="G914" s="39">
        <v>1</v>
      </c>
      <c r="H914" s="39">
        <v>51000016</v>
      </c>
      <c r="I914" s="39" t="s">
        <v>186</v>
      </c>
      <c r="J914" s="39">
        <v>13</v>
      </c>
      <c r="K914" s="46">
        <v>1100361</v>
      </c>
      <c r="L914" s="39">
        <v>21</v>
      </c>
      <c r="M914" s="39" t="s">
        <v>1966</v>
      </c>
      <c r="N914" s="39" t="s">
        <v>1967</v>
      </c>
      <c r="O914" s="50" t="s">
        <v>1963</v>
      </c>
    </row>
    <row r="915" spans="2:15" x14ac:dyDescent="0.3">
      <c r="B915" s="39">
        <f t="shared" si="76"/>
        <v>51000017</v>
      </c>
      <c r="C915" s="39">
        <v>1</v>
      </c>
      <c r="D915" s="39"/>
      <c r="E915" s="39"/>
      <c r="F915" s="39"/>
      <c r="G915" s="39">
        <v>1</v>
      </c>
      <c r="H915" s="39">
        <v>51000017</v>
      </c>
      <c r="I915" s="39" t="s">
        <v>186</v>
      </c>
      <c r="J915" s="39">
        <v>13</v>
      </c>
      <c r="K915" s="46">
        <v>1100362</v>
      </c>
      <c r="L915" s="39">
        <v>21</v>
      </c>
      <c r="M915" s="39" t="s">
        <v>1968</v>
      </c>
      <c r="N915" s="39" t="s">
        <v>1969</v>
      </c>
      <c r="O915" s="50" t="s">
        <v>1963</v>
      </c>
    </row>
    <row r="916" spans="2:15" x14ac:dyDescent="0.3">
      <c r="B916" s="39">
        <f t="shared" ref="B916:B922" si="78">H916</f>
        <v>51000018</v>
      </c>
      <c r="C916" s="39">
        <v>1</v>
      </c>
      <c r="D916" s="39"/>
      <c r="E916" s="39"/>
      <c r="F916" s="39"/>
      <c r="G916" s="39">
        <v>1</v>
      </c>
      <c r="H916" s="39">
        <v>51000018</v>
      </c>
      <c r="I916" s="39" t="s">
        <v>186</v>
      </c>
      <c r="J916" s="39">
        <v>13</v>
      </c>
      <c r="K916" s="46">
        <v>1100363</v>
      </c>
      <c r="L916" s="39">
        <v>21</v>
      </c>
      <c r="M916" s="39" t="s">
        <v>1970</v>
      </c>
      <c r="N916" s="39" t="s">
        <v>1971</v>
      </c>
      <c r="O916" s="50" t="s">
        <v>1963</v>
      </c>
    </row>
    <row r="917" spans="2:15" x14ac:dyDescent="0.3">
      <c r="B917" s="39">
        <f t="shared" si="78"/>
        <v>51000019</v>
      </c>
      <c r="C917" s="39">
        <v>1</v>
      </c>
      <c r="D917" s="39"/>
      <c r="E917" s="39"/>
      <c r="F917" s="39"/>
      <c r="G917" s="39">
        <v>1</v>
      </c>
      <c r="H917" s="39">
        <v>51000019</v>
      </c>
      <c r="I917" s="39" t="s">
        <v>2440</v>
      </c>
      <c r="J917" s="39">
        <v>13</v>
      </c>
      <c r="K917" s="46">
        <v>1100657</v>
      </c>
      <c r="L917" s="39">
        <v>21</v>
      </c>
      <c r="M917" s="39" t="s">
        <v>2441</v>
      </c>
      <c r="N917" s="39" t="s">
        <v>2442</v>
      </c>
      <c r="O917" s="50" t="s">
        <v>2443</v>
      </c>
    </row>
    <row r="918" spans="2:15" x14ac:dyDescent="0.3">
      <c r="B918" s="39">
        <f t="shared" si="78"/>
        <v>51000021</v>
      </c>
      <c r="C918" s="39">
        <v>1</v>
      </c>
      <c r="D918" s="39">
        <v>0</v>
      </c>
      <c r="E918" s="39">
        <v>0</v>
      </c>
      <c r="F918" s="39">
        <v>0</v>
      </c>
      <c r="G918" s="39">
        <v>1</v>
      </c>
      <c r="H918" s="39">
        <v>51000021</v>
      </c>
      <c r="I918" s="39" t="s">
        <v>186</v>
      </c>
      <c r="J918" s="39">
        <v>21</v>
      </c>
      <c r="K918" s="46">
        <v>1400621</v>
      </c>
      <c r="L918" s="39">
        <v>21</v>
      </c>
      <c r="M918" s="39" t="s">
        <v>3308</v>
      </c>
      <c r="N918" s="39" t="s">
        <v>3309</v>
      </c>
      <c r="O918" s="50" t="s">
        <v>3308</v>
      </c>
    </row>
    <row r="919" spans="2:15" ht="12.75" thickBot="1" x14ac:dyDescent="0.35">
      <c r="B919" s="44">
        <f t="shared" ref="B919" si="79">H919</f>
        <v>51000025</v>
      </c>
      <c r="C919" s="44">
        <v>1</v>
      </c>
      <c r="D919" s="44">
        <v>0</v>
      </c>
      <c r="E919" s="44">
        <v>0</v>
      </c>
      <c r="F919" s="44">
        <v>0</v>
      </c>
      <c r="G919" s="44">
        <v>1</v>
      </c>
      <c r="H919" s="44">
        <v>51000025</v>
      </c>
      <c r="I919" s="44" t="s">
        <v>186</v>
      </c>
      <c r="J919" s="44">
        <v>21</v>
      </c>
      <c r="K919" s="54">
        <v>1046065</v>
      </c>
      <c r="L919" s="44">
        <v>21</v>
      </c>
      <c r="M919" s="44" t="s">
        <v>4226</v>
      </c>
      <c r="N919" s="44"/>
      <c r="O919" s="50" t="s">
        <v>4227</v>
      </c>
    </row>
    <row r="920" spans="2:15" ht="12.75" thickBot="1" x14ac:dyDescent="0.35">
      <c r="B920" s="90">
        <f>H920</f>
        <v>51000026</v>
      </c>
      <c r="C920" s="91">
        <v>1</v>
      </c>
      <c r="D920" s="91">
        <v>0</v>
      </c>
      <c r="E920" s="91">
        <v>0</v>
      </c>
      <c r="F920" s="91" t="s">
        <v>4301</v>
      </c>
      <c r="G920" s="91">
        <v>1</v>
      </c>
      <c r="H920" s="91">
        <v>51000026</v>
      </c>
      <c r="I920" s="91" t="s">
        <v>186</v>
      </c>
      <c r="J920" s="91">
        <v>13</v>
      </c>
      <c r="K920" s="92">
        <v>1017115</v>
      </c>
      <c r="L920" s="91">
        <v>21</v>
      </c>
      <c r="M920" s="91" t="s">
        <v>4302</v>
      </c>
      <c r="N920" s="91" t="s">
        <v>4303</v>
      </c>
      <c r="O920" s="136" t="s">
        <v>4304</v>
      </c>
    </row>
    <row r="921" spans="2:15" x14ac:dyDescent="0.3">
      <c r="B921" s="48">
        <f t="shared" si="78"/>
        <v>52000021</v>
      </c>
      <c r="C921" s="48">
        <v>1</v>
      </c>
      <c r="D921" s="48"/>
      <c r="E921" s="48"/>
      <c r="F921" s="48"/>
      <c r="G921" s="48">
        <v>1</v>
      </c>
      <c r="H921" s="48">
        <v>52000021</v>
      </c>
      <c r="I921" s="48" t="s">
        <v>187</v>
      </c>
      <c r="J921" s="48">
        <v>21</v>
      </c>
      <c r="K921" s="106">
        <v>1060745</v>
      </c>
      <c r="L921" s="48">
        <f t="shared" ref="L921:L967" si="80">VLOOKUP(I921,error,2,FALSE)</f>
        <v>21</v>
      </c>
      <c r="M921" s="48" t="s">
        <v>2307</v>
      </c>
      <c r="N921" s="450" t="s">
        <v>1016</v>
      </c>
      <c r="O921" s="50" t="s">
        <v>1015</v>
      </c>
    </row>
    <row r="922" spans="2:15" x14ac:dyDescent="0.3">
      <c r="B922" s="44">
        <f t="shared" si="78"/>
        <v>52000022</v>
      </c>
      <c r="C922" s="39">
        <v>1</v>
      </c>
      <c r="D922" s="39"/>
      <c r="E922" s="39"/>
      <c r="F922" s="39"/>
      <c r="G922" s="39">
        <v>1</v>
      </c>
      <c r="H922" s="44">
        <v>52000022</v>
      </c>
      <c r="I922" s="44" t="s">
        <v>187</v>
      </c>
      <c r="J922" s="44">
        <v>21</v>
      </c>
      <c r="K922" s="54">
        <v>1060703</v>
      </c>
      <c r="L922" s="44">
        <f t="shared" si="80"/>
        <v>21</v>
      </c>
      <c r="M922" s="44" t="s">
        <v>2308</v>
      </c>
      <c r="N922" s="109" t="s">
        <v>1017</v>
      </c>
      <c r="O922" s="50" t="s">
        <v>1014</v>
      </c>
    </row>
    <row r="923" spans="2:15" x14ac:dyDescent="0.3">
      <c r="B923" s="39">
        <v>53000008</v>
      </c>
      <c r="C923" s="39">
        <v>0</v>
      </c>
      <c r="D923" s="39"/>
      <c r="E923" s="39"/>
      <c r="F923" s="210" t="s">
        <v>2838</v>
      </c>
      <c r="G923" s="39">
        <v>1</v>
      </c>
      <c r="H923" s="39">
        <v>53000008</v>
      </c>
      <c r="I923" s="39" t="s">
        <v>187</v>
      </c>
      <c r="J923" s="39">
        <v>21</v>
      </c>
      <c r="K923" s="46">
        <v>1400616</v>
      </c>
      <c r="L923" s="44">
        <f t="shared" si="80"/>
        <v>21</v>
      </c>
      <c r="M923" s="39" t="s">
        <v>2839</v>
      </c>
      <c r="N923" s="51" t="s">
        <v>2840</v>
      </c>
      <c r="O923" s="39" t="s">
        <v>2841</v>
      </c>
    </row>
    <row r="924" spans="2:15" x14ac:dyDescent="0.3">
      <c r="B924" s="39">
        <v>53050000</v>
      </c>
      <c r="C924" s="39">
        <v>1</v>
      </c>
      <c r="D924" s="39"/>
      <c r="E924" s="39"/>
      <c r="F924" s="39"/>
      <c r="G924" s="39">
        <v>1</v>
      </c>
      <c r="H924" s="39">
        <v>53050000</v>
      </c>
      <c r="I924" s="39" t="s">
        <v>187</v>
      </c>
      <c r="J924" s="39">
        <v>21</v>
      </c>
      <c r="K924" s="46">
        <v>1400550</v>
      </c>
      <c r="L924" s="39">
        <f t="shared" si="80"/>
        <v>21</v>
      </c>
      <c r="M924" s="39" t="s">
        <v>1641</v>
      </c>
      <c r="N924" s="51" t="s">
        <v>1637</v>
      </c>
      <c r="O924" s="39" t="s">
        <v>1631</v>
      </c>
    </row>
    <row r="925" spans="2:15" x14ac:dyDescent="0.3">
      <c r="B925" s="39">
        <v>53050001</v>
      </c>
      <c r="C925" s="39">
        <v>1</v>
      </c>
      <c r="D925" s="39"/>
      <c r="E925" s="39"/>
      <c r="F925" s="39"/>
      <c r="G925" s="39">
        <v>1</v>
      </c>
      <c r="H925" s="39">
        <v>53050001</v>
      </c>
      <c r="I925" s="39" t="s">
        <v>187</v>
      </c>
      <c r="J925" s="39">
        <v>21</v>
      </c>
      <c r="K925" s="46">
        <v>1400551</v>
      </c>
      <c r="L925" s="39">
        <f t="shared" si="80"/>
        <v>21</v>
      </c>
      <c r="M925" s="39" t="s">
        <v>1642</v>
      </c>
      <c r="N925" s="51" t="s">
        <v>1638</v>
      </c>
      <c r="O925" s="39" t="s">
        <v>1632</v>
      </c>
    </row>
    <row r="926" spans="2:15" x14ac:dyDescent="0.3">
      <c r="B926" s="39">
        <v>53050002</v>
      </c>
      <c r="C926" s="39">
        <v>1</v>
      </c>
      <c r="D926" s="39"/>
      <c r="E926" s="39"/>
      <c r="F926" s="39"/>
      <c r="G926" s="39">
        <v>1</v>
      </c>
      <c r="H926" s="39">
        <v>53050002</v>
      </c>
      <c r="I926" s="39" t="s">
        <v>187</v>
      </c>
      <c r="J926" s="39">
        <v>21</v>
      </c>
      <c r="K926" s="46">
        <v>1400552</v>
      </c>
      <c r="L926" s="39">
        <f t="shared" si="80"/>
        <v>21</v>
      </c>
      <c r="M926" s="39" t="s">
        <v>1643</v>
      </c>
      <c r="N926" s="51" t="s">
        <v>1639</v>
      </c>
      <c r="O926" s="39" t="s">
        <v>1633</v>
      </c>
    </row>
    <row r="927" spans="2:15" x14ac:dyDescent="0.3">
      <c r="B927" s="39">
        <v>53050003</v>
      </c>
      <c r="C927" s="39">
        <v>1</v>
      </c>
      <c r="D927" s="39"/>
      <c r="E927" s="39"/>
      <c r="F927" s="39"/>
      <c r="G927" s="39">
        <v>1</v>
      </c>
      <c r="H927" s="39">
        <v>53050003</v>
      </c>
      <c r="I927" s="39" t="s">
        <v>187</v>
      </c>
      <c r="J927" s="39">
        <v>21</v>
      </c>
      <c r="K927" s="46">
        <v>1400553</v>
      </c>
      <c r="L927" s="39">
        <f t="shared" si="80"/>
        <v>21</v>
      </c>
      <c r="M927" s="39" t="s">
        <v>1644</v>
      </c>
      <c r="N927" s="51" t="s">
        <v>1640</v>
      </c>
      <c r="O927" s="39" t="s">
        <v>1634</v>
      </c>
    </row>
    <row r="928" spans="2:15" x14ac:dyDescent="0.3">
      <c r="B928" s="39">
        <v>53050004</v>
      </c>
      <c r="C928" s="39">
        <v>1</v>
      </c>
      <c r="D928" s="39"/>
      <c r="E928" s="39"/>
      <c r="F928" s="39"/>
      <c r="G928" s="39">
        <v>1</v>
      </c>
      <c r="H928" s="39">
        <v>53050004</v>
      </c>
      <c r="I928" s="39" t="s">
        <v>187</v>
      </c>
      <c r="J928" s="39">
        <v>21</v>
      </c>
      <c r="K928" s="46">
        <v>1400554</v>
      </c>
      <c r="L928" s="39">
        <f t="shared" si="80"/>
        <v>21</v>
      </c>
      <c r="M928" s="39" t="s">
        <v>1645</v>
      </c>
      <c r="N928" s="51" t="s">
        <v>1636</v>
      </c>
      <c r="O928" s="39" t="s">
        <v>1635</v>
      </c>
    </row>
    <row r="929" spans="2:15" x14ac:dyDescent="0.3">
      <c r="B929" s="39">
        <v>54000000</v>
      </c>
      <c r="C929" s="39">
        <v>1</v>
      </c>
      <c r="D929" s="39">
        <v>0</v>
      </c>
      <c r="E929" s="39">
        <v>0</v>
      </c>
      <c r="F929" s="39">
        <v>0</v>
      </c>
      <c r="G929" s="39">
        <v>1</v>
      </c>
      <c r="H929" s="39">
        <v>54000000</v>
      </c>
      <c r="I929" s="39" t="s">
        <v>186</v>
      </c>
      <c r="J929" s="39">
        <v>21</v>
      </c>
      <c r="K929" s="46">
        <v>1094018</v>
      </c>
      <c r="L929" s="39">
        <v>21</v>
      </c>
      <c r="M929" s="39" t="s">
        <v>3506</v>
      </c>
      <c r="N929" s="51" t="s">
        <v>3507</v>
      </c>
      <c r="O929" s="39" t="s">
        <v>3508</v>
      </c>
    </row>
    <row r="930" spans="2:15" x14ac:dyDescent="0.3">
      <c r="B930" s="39">
        <v>54000001</v>
      </c>
      <c r="C930" s="39">
        <v>1</v>
      </c>
      <c r="D930" s="39">
        <v>0</v>
      </c>
      <c r="E930" s="39">
        <v>0</v>
      </c>
      <c r="F930" s="39">
        <v>0</v>
      </c>
      <c r="G930" s="39">
        <v>1</v>
      </c>
      <c r="H930" s="39">
        <v>54000001</v>
      </c>
      <c r="I930" s="39" t="s">
        <v>186</v>
      </c>
      <c r="J930" s="39">
        <v>21</v>
      </c>
      <c r="K930" s="46">
        <v>1094003</v>
      </c>
      <c r="L930" s="39">
        <v>21</v>
      </c>
      <c r="M930" s="39" t="s">
        <v>3367</v>
      </c>
      <c r="N930" s="51" t="s">
        <v>3368</v>
      </c>
      <c r="O930" s="39" t="s">
        <v>3369</v>
      </c>
    </row>
    <row r="931" spans="2:15" x14ac:dyDescent="0.3">
      <c r="B931" s="39">
        <v>54000002</v>
      </c>
      <c r="C931" s="39">
        <v>1</v>
      </c>
      <c r="D931" s="39">
        <v>0</v>
      </c>
      <c r="E931" s="39">
        <v>0</v>
      </c>
      <c r="F931" s="39">
        <v>0</v>
      </c>
      <c r="G931" s="39">
        <v>1</v>
      </c>
      <c r="H931" s="39">
        <v>54000002</v>
      </c>
      <c r="I931" s="39" t="s">
        <v>186</v>
      </c>
      <c r="J931" s="39">
        <v>21</v>
      </c>
      <c r="K931" s="46">
        <v>1094004</v>
      </c>
      <c r="L931" s="39">
        <v>21</v>
      </c>
      <c r="M931" s="39" t="s">
        <v>3370</v>
      </c>
      <c r="N931" s="51" t="s">
        <v>3371</v>
      </c>
      <c r="O931" s="39" t="s">
        <v>3372</v>
      </c>
    </row>
    <row r="932" spans="2:15" x14ac:dyDescent="0.3">
      <c r="B932" s="39">
        <v>54010001</v>
      </c>
      <c r="C932" s="39">
        <v>1</v>
      </c>
      <c r="D932" s="39">
        <v>0</v>
      </c>
      <c r="E932" s="39">
        <v>0</v>
      </c>
      <c r="F932" s="39">
        <v>0</v>
      </c>
      <c r="G932" s="39">
        <v>1</v>
      </c>
      <c r="H932" s="39">
        <v>54010001</v>
      </c>
      <c r="I932" s="39" t="s">
        <v>186</v>
      </c>
      <c r="J932" s="39">
        <v>21</v>
      </c>
      <c r="K932" s="46">
        <v>1094001</v>
      </c>
      <c r="L932" s="39">
        <v>21</v>
      </c>
      <c r="M932" s="39" t="s">
        <v>3373</v>
      </c>
      <c r="N932" s="51" t="s">
        <v>3374</v>
      </c>
      <c r="O932" s="39" t="s">
        <v>3375</v>
      </c>
    </row>
    <row r="933" spans="2:15" x14ac:dyDescent="0.3">
      <c r="B933" s="39">
        <v>54010002</v>
      </c>
      <c r="C933" s="39">
        <v>1</v>
      </c>
      <c r="D933" s="39">
        <v>0</v>
      </c>
      <c r="E933" s="39">
        <v>0</v>
      </c>
      <c r="F933" s="39">
        <v>0</v>
      </c>
      <c r="G933" s="39">
        <v>1</v>
      </c>
      <c r="H933" s="39">
        <v>54010002</v>
      </c>
      <c r="I933" s="39" t="s">
        <v>186</v>
      </c>
      <c r="J933" s="39">
        <v>21</v>
      </c>
      <c r="K933" s="46">
        <v>1094015</v>
      </c>
      <c r="L933" s="39">
        <v>21</v>
      </c>
      <c r="M933" s="39" t="s">
        <v>3376</v>
      </c>
      <c r="N933" s="51" t="s">
        <v>3377</v>
      </c>
      <c r="O933" s="39" t="s">
        <v>3378</v>
      </c>
    </row>
    <row r="934" spans="2:15" x14ac:dyDescent="0.3">
      <c r="B934" s="39">
        <v>54010003</v>
      </c>
      <c r="C934" s="39">
        <v>1</v>
      </c>
      <c r="D934" s="39">
        <v>0</v>
      </c>
      <c r="E934" s="39">
        <v>0</v>
      </c>
      <c r="F934" s="39">
        <v>0</v>
      </c>
      <c r="G934" s="39">
        <v>1</v>
      </c>
      <c r="H934" s="39">
        <v>54010003</v>
      </c>
      <c r="I934" s="39" t="s">
        <v>186</v>
      </c>
      <c r="J934" s="39">
        <v>21</v>
      </c>
      <c r="K934" s="46">
        <v>1094007</v>
      </c>
      <c r="L934" s="39">
        <v>21</v>
      </c>
      <c r="M934" s="39" t="s">
        <v>3379</v>
      </c>
      <c r="N934" s="51" t="s">
        <v>3380</v>
      </c>
      <c r="O934" s="39" t="s">
        <v>3381</v>
      </c>
    </row>
    <row r="935" spans="2:15" x14ac:dyDescent="0.3">
      <c r="B935" s="39">
        <v>54010004</v>
      </c>
      <c r="C935" s="39">
        <v>1</v>
      </c>
      <c r="D935" s="39">
        <v>0</v>
      </c>
      <c r="E935" s="39">
        <v>0</v>
      </c>
      <c r="F935" s="39">
        <v>0</v>
      </c>
      <c r="G935" s="39">
        <v>1</v>
      </c>
      <c r="H935" s="39">
        <v>54010004</v>
      </c>
      <c r="I935" s="39" t="s">
        <v>186</v>
      </c>
      <c r="J935" s="39">
        <v>21</v>
      </c>
      <c r="K935" s="46">
        <v>1094010</v>
      </c>
      <c r="L935" s="39">
        <v>21</v>
      </c>
      <c r="M935" s="39" t="s">
        <v>3382</v>
      </c>
      <c r="N935" s="51" t="s">
        <v>3383</v>
      </c>
      <c r="O935" s="39" t="s">
        <v>3384</v>
      </c>
    </row>
    <row r="936" spans="2:15" x14ac:dyDescent="0.3">
      <c r="B936" s="39">
        <v>54010005</v>
      </c>
      <c r="C936" s="39">
        <v>1</v>
      </c>
      <c r="D936" s="39">
        <v>0</v>
      </c>
      <c r="E936" s="39">
        <v>0</v>
      </c>
      <c r="F936" s="39">
        <v>0</v>
      </c>
      <c r="G936" s="39">
        <v>1</v>
      </c>
      <c r="H936" s="39">
        <v>54010005</v>
      </c>
      <c r="I936" s="39" t="s">
        <v>186</v>
      </c>
      <c r="J936" s="39">
        <v>21</v>
      </c>
      <c r="K936" s="46">
        <v>1094016</v>
      </c>
      <c r="L936" s="39">
        <v>21</v>
      </c>
      <c r="M936" s="39" t="s">
        <v>3385</v>
      </c>
      <c r="N936" s="51" t="s">
        <v>3386</v>
      </c>
      <c r="O936" s="39" t="s">
        <v>3387</v>
      </c>
    </row>
    <row r="937" spans="2:15" x14ac:dyDescent="0.3">
      <c r="B937" s="39">
        <v>54010006</v>
      </c>
      <c r="C937" s="39">
        <v>1</v>
      </c>
      <c r="D937" s="39">
        <v>0</v>
      </c>
      <c r="E937" s="39">
        <v>0</v>
      </c>
      <c r="F937" s="39">
        <v>0</v>
      </c>
      <c r="G937" s="39">
        <v>1</v>
      </c>
      <c r="H937" s="39">
        <v>54010006</v>
      </c>
      <c r="I937" s="39" t="s">
        <v>186</v>
      </c>
      <c r="J937" s="39">
        <v>21</v>
      </c>
      <c r="K937" s="46">
        <v>1094011</v>
      </c>
      <c r="L937" s="39">
        <v>21</v>
      </c>
      <c r="M937" s="39" t="s">
        <v>3388</v>
      </c>
      <c r="N937" s="51" t="s">
        <v>3389</v>
      </c>
      <c r="O937" s="39" t="s">
        <v>3390</v>
      </c>
    </row>
    <row r="938" spans="2:15" x14ac:dyDescent="0.3">
      <c r="B938" s="39">
        <v>54010007</v>
      </c>
      <c r="C938" s="39">
        <v>1</v>
      </c>
      <c r="D938" s="39">
        <v>0</v>
      </c>
      <c r="E938" s="39">
        <v>0</v>
      </c>
      <c r="F938" s="39">
        <v>0</v>
      </c>
      <c r="G938" s="39">
        <v>1</v>
      </c>
      <c r="H938" s="39">
        <v>54010007</v>
      </c>
      <c r="I938" s="39" t="s">
        <v>186</v>
      </c>
      <c r="J938" s="39">
        <v>21</v>
      </c>
      <c r="K938" s="46">
        <v>1094009</v>
      </c>
      <c r="L938" s="39">
        <v>21</v>
      </c>
      <c r="M938" s="39" t="s">
        <v>3391</v>
      </c>
      <c r="N938" s="51" t="s">
        <v>3392</v>
      </c>
      <c r="O938" s="39" t="s">
        <v>3393</v>
      </c>
    </row>
    <row r="939" spans="2:15" x14ac:dyDescent="0.3">
      <c r="B939" s="39">
        <v>54020001</v>
      </c>
      <c r="C939" s="39">
        <v>1</v>
      </c>
      <c r="D939" s="39">
        <v>0</v>
      </c>
      <c r="E939" s="39">
        <v>0</v>
      </c>
      <c r="F939" s="39">
        <v>0</v>
      </c>
      <c r="G939" s="39">
        <v>1</v>
      </c>
      <c r="H939" s="39">
        <v>54020001</v>
      </c>
      <c r="I939" s="39" t="s">
        <v>186</v>
      </c>
      <c r="J939" s="39">
        <v>21</v>
      </c>
      <c r="K939" s="46">
        <v>1094014</v>
      </c>
      <c r="L939" s="39">
        <v>21</v>
      </c>
      <c r="M939" s="39" t="s">
        <v>3394</v>
      </c>
      <c r="N939" s="51" t="s">
        <v>3395</v>
      </c>
      <c r="O939" s="39" t="s">
        <v>3396</v>
      </c>
    </row>
    <row r="940" spans="2:15" x14ac:dyDescent="0.3">
      <c r="B940" s="39">
        <v>54020002</v>
      </c>
      <c r="C940" s="39">
        <v>1</v>
      </c>
      <c r="D940" s="39">
        <v>0</v>
      </c>
      <c r="E940" s="39">
        <v>0</v>
      </c>
      <c r="F940" s="39">
        <v>0</v>
      </c>
      <c r="G940" s="39">
        <v>1</v>
      </c>
      <c r="H940" s="39">
        <v>54020002</v>
      </c>
      <c r="I940" s="39" t="s">
        <v>186</v>
      </c>
      <c r="J940" s="39">
        <v>21</v>
      </c>
      <c r="K940" s="46">
        <v>1094014</v>
      </c>
      <c r="L940" s="39">
        <v>21</v>
      </c>
      <c r="M940" s="39" t="s">
        <v>3394</v>
      </c>
      <c r="N940" s="51" t="s">
        <v>3397</v>
      </c>
      <c r="O940" s="39" t="s">
        <v>3398</v>
      </c>
    </row>
    <row r="941" spans="2:15" x14ac:dyDescent="0.3">
      <c r="B941" s="39">
        <f t="shared" ref="B941:B974" si="81">H941</f>
        <v>55000000</v>
      </c>
      <c r="C941" s="39">
        <v>1</v>
      </c>
      <c r="D941" s="39"/>
      <c r="E941" s="39"/>
      <c r="F941" s="39"/>
      <c r="G941" s="39">
        <v>1</v>
      </c>
      <c r="H941" s="39">
        <v>55000000</v>
      </c>
      <c r="I941" s="39" t="s">
        <v>1002</v>
      </c>
      <c r="J941" s="39">
        <v>21</v>
      </c>
      <c r="K941" s="46">
        <v>1400371</v>
      </c>
      <c r="L941" s="39">
        <f t="shared" si="80"/>
        <v>21</v>
      </c>
      <c r="M941" s="39" t="s">
        <v>2309</v>
      </c>
      <c r="N941" s="39" t="s">
        <v>987</v>
      </c>
      <c r="O941" s="39" t="s">
        <v>997</v>
      </c>
    </row>
    <row r="942" spans="2:15" x14ac:dyDescent="0.3">
      <c r="B942" s="39">
        <f t="shared" si="81"/>
        <v>55000001</v>
      </c>
      <c r="C942" s="39">
        <v>1</v>
      </c>
      <c r="D942" s="39"/>
      <c r="E942" s="39"/>
      <c r="F942" s="39"/>
      <c r="G942" s="39">
        <v>1</v>
      </c>
      <c r="H942" s="39">
        <v>55000001</v>
      </c>
      <c r="I942" s="39" t="s">
        <v>1002</v>
      </c>
      <c r="J942" s="39">
        <v>21</v>
      </c>
      <c r="K942" s="46">
        <v>1400372</v>
      </c>
      <c r="L942" s="39">
        <f t="shared" si="80"/>
        <v>21</v>
      </c>
      <c r="M942" s="39" t="s">
        <v>2310</v>
      </c>
      <c r="N942" s="39" t="s">
        <v>988</v>
      </c>
      <c r="O942" s="39" t="s">
        <v>998</v>
      </c>
    </row>
    <row r="943" spans="2:15" x14ac:dyDescent="0.3">
      <c r="B943" s="39">
        <f t="shared" si="81"/>
        <v>55000002</v>
      </c>
      <c r="C943" s="39">
        <v>1</v>
      </c>
      <c r="D943" s="39"/>
      <c r="E943" s="39"/>
      <c r="F943" s="39"/>
      <c r="G943" s="39">
        <v>1</v>
      </c>
      <c r="H943" s="39">
        <f t="shared" ref="H943:H952" si="82">H942+1</f>
        <v>55000002</v>
      </c>
      <c r="I943" s="39" t="s">
        <v>1002</v>
      </c>
      <c r="J943" s="39">
        <v>21</v>
      </c>
      <c r="K943" s="46">
        <v>1400373</v>
      </c>
      <c r="L943" s="39">
        <f t="shared" si="80"/>
        <v>21</v>
      </c>
      <c r="M943" s="39" t="s">
        <v>2311</v>
      </c>
      <c r="N943" s="50" t="s">
        <v>989</v>
      </c>
      <c r="O943" s="39" t="s">
        <v>999</v>
      </c>
    </row>
    <row r="944" spans="2:15" x14ac:dyDescent="0.3">
      <c r="B944" s="39">
        <f t="shared" si="81"/>
        <v>55000003</v>
      </c>
      <c r="C944" s="39">
        <v>1</v>
      </c>
      <c r="D944" s="39"/>
      <c r="E944" s="39"/>
      <c r="F944" s="39"/>
      <c r="G944" s="39">
        <v>1</v>
      </c>
      <c r="H944" s="39">
        <f t="shared" si="82"/>
        <v>55000003</v>
      </c>
      <c r="I944" s="39" t="s">
        <v>1002</v>
      </c>
      <c r="J944" s="39">
        <v>21</v>
      </c>
      <c r="K944" s="46">
        <v>1400374</v>
      </c>
      <c r="L944" s="39">
        <f t="shared" si="80"/>
        <v>21</v>
      </c>
      <c r="M944" s="39" t="s">
        <v>2312</v>
      </c>
      <c r="N944" s="50" t="s">
        <v>990</v>
      </c>
      <c r="O944" s="39" t="s">
        <v>1000</v>
      </c>
    </row>
    <row r="945" spans="2:15" x14ac:dyDescent="0.3">
      <c r="B945" s="39">
        <f t="shared" si="81"/>
        <v>55000004</v>
      </c>
      <c r="C945" s="39">
        <v>1</v>
      </c>
      <c r="D945" s="39"/>
      <c r="E945" s="39"/>
      <c r="F945" s="39"/>
      <c r="G945" s="39">
        <v>1</v>
      </c>
      <c r="H945" s="39">
        <f t="shared" si="82"/>
        <v>55000004</v>
      </c>
      <c r="I945" s="39" t="s">
        <v>1002</v>
      </c>
      <c r="J945" s="39">
        <v>21</v>
      </c>
      <c r="K945" s="46">
        <v>1400375</v>
      </c>
      <c r="L945" s="39">
        <f t="shared" si="80"/>
        <v>21</v>
      </c>
      <c r="M945" s="39" t="s">
        <v>2313</v>
      </c>
      <c r="N945" s="39" t="s">
        <v>991</v>
      </c>
      <c r="O945" s="39" t="s">
        <v>1001</v>
      </c>
    </row>
    <row r="946" spans="2:15" x14ac:dyDescent="0.3">
      <c r="B946" s="39">
        <f t="shared" si="81"/>
        <v>55000005</v>
      </c>
      <c r="C946" s="39">
        <v>1</v>
      </c>
      <c r="D946" s="39"/>
      <c r="E946" s="39"/>
      <c r="F946" s="39"/>
      <c r="G946" s="39">
        <v>1</v>
      </c>
      <c r="H946" s="39">
        <f t="shared" si="82"/>
        <v>55000005</v>
      </c>
      <c r="I946" s="39" t="s">
        <v>1002</v>
      </c>
      <c r="J946" s="39">
        <v>21</v>
      </c>
      <c r="K946" s="46">
        <v>1400376</v>
      </c>
      <c r="L946" s="39">
        <f t="shared" si="80"/>
        <v>21</v>
      </c>
      <c r="M946" s="39" t="s">
        <v>2314</v>
      </c>
      <c r="N946" s="39" t="s">
        <v>1018</v>
      </c>
      <c r="O946" s="39" t="s">
        <v>1019</v>
      </c>
    </row>
    <row r="947" spans="2:15" x14ac:dyDescent="0.3">
      <c r="B947" s="39">
        <f t="shared" si="81"/>
        <v>55000006</v>
      </c>
      <c r="C947" s="39">
        <v>1</v>
      </c>
      <c r="D947" s="39"/>
      <c r="E947" s="39"/>
      <c r="F947" s="39"/>
      <c r="G947" s="39">
        <v>1</v>
      </c>
      <c r="H947" s="39">
        <f t="shared" si="82"/>
        <v>55000006</v>
      </c>
      <c r="I947" s="39" t="s">
        <v>187</v>
      </c>
      <c r="J947" s="39">
        <v>21</v>
      </c>
      <c r="K947" s="46">
        <v>1400377</v>
      </c>
      <c r="L947" s="39">
        <f t="shared" si="80"/>
        <v>21</v>
      </c>
      <c r="M947" s="39" t="s">
        <v>2315</v>
      </c>
      <c r="N947" s="39" t="s">
        <v>992</v>
      </c>
      <c r="O947" s="39" t="s">
        <v>1023</v>
      </c>
    </row>
    <row r="948" spans="2:15" x14ac:dyDescent="0.3">
      <c r="B948" s="39">
        <f t="shared" si="81"/>
        <v>55000007</v>
      </c>
      <c r="C948" s="39">
        <v>1</v>
      </c>
      <c r="D948" s="39"/>
      <c r="E948" s="39"/>
      <c r="F948" s="39"/>
      <c r="G948" s="39">
        <v>1</v>
      </c>
      <c r="H948" s="39">
        <f t="shared" si="82"/>
        <v>55000007</v>
      </c>
      <c r="I948" s="39" t="s">
        <v>187</v>
      </c>
      <c r="J948" s="39">
        <v>21</v>
      </c>
      <c r="K948" s="46">
        <v>1400378</v>
      </c>
      <c r="L948" s="39">
        <f t="shared" si="80"/>
        <v>21</v>
      </c>
      <c r="M948" s="39" t="s">
        <v>2316</v>
      </c>
      <c r="N948" s="39" t="s">
        <v>1020</v>
      </c>
      <c r="O948" s="39" t="s">
        <v>1024</v>
      </c>
    </row>
    <row r="949" spans="2:15" x14ac:dyDescent="0.3">
      <c r="B949" s="39">
        <f t="shared" si="81"/>
        <v>55000008</v>
      </c>
      <c r="C949" s="39">
        <v>1</v>
      </c>
      <c r="D949" s="39"/>
      <c r="E949" s="39"/>
      <c r="F949" s="39"/>
      <c r="G949" s="39">
        <v>1</v>
      </c>
      <c r="H949" s="39">
        <f t="shared" si="82"/>
        <v>55000008</v>
      </c>
      <c r="I949" s="39" t="s">
        <v>187</v>
      </c>
      <c r="J949" s="39">
        <v>21</v>
      </c>
      <c r="K949" s="46">
        <v>1400379</v>
      </c>
      <c r="L949" s="39">
        <f t="shared" si="80"/>
        <v>21</v>
      </c>
      <c r="M949" s="39" t="s">
        <v>2317</v>
      </c>
      <c r="N949" s="39" t="s">
        <v>1021</v>
      </c>
      <c r="O949" s="39" t="s">
        <v>1025</v>
      </c>
    </row>
    <row r="950" spans="2:15" x14ac:dyDescent="0.3">
      <c r="B950" s="39">
        <f t="shared" si="81"/>
        <v>55000009</v>
      </c>
      <c r="C950" s="39">
        <v>1</v>
      </c>
      <c r="D950" s="39"/>
      <c r="E950" s="39"/>
      <c r="F950" s="39"/>
      <c r="G950" s="39">
        <v>1</v>
      </c>
      <c r="H950" s="39">
        <f t="shared" si="82"/>
        <v>55000009</v>
      </c>
      <c r="I950" s="39" t="s">
        <v>187</v>
      </c>
      <c r="J950" s="39">
        <v>21</v>
      </c>
      <c r="K950" s="46">
        <v>1400380</v>
      </c>
      <c r="L950" s="39">
        <f t="shared" si="80"/>
        <v>21</v>
      </c>
      <c r="M950" s="39" t="s">
        <v>1027</v>
      </c>
      <c r="N950" s="39" t="s">
        <v>1022</v>
      </c>
      <c r="O950" s="39" t="s">
        <v>1026</v>
      </c>
    </row>
    <row r="951" spans="2:15" x14ac:dyDescent="0.3">
      <c r="B951" s="39">
        <f t="shared" si="81"/>
        <v>55000010</v>
      </c>
      <c r="C951" s="39">
        <v>1</v>
      </c>
      <c r="D951" s="39"/>
      <c r="E951" s="39"/>
      <c r="F951" s="39"/>
      <c r="G951" s="39">
        <v>1</v>
      </c>
      <c r="H951" s="39">
        <f t="shared" si="82"/>
        <v>55000010</v>
      </c>
      <c r="I951" s="39" t="s">
        <v>187</v>
      </c>
      <c r="J951" s="39">
        <v>21</v>
      </c>
      <c r="K951" s="46">
        <v>1400557</v>
      </c>
      <c r="L951" s="39">
        <f t="shared" si="80"/>
        <v>21</v>
      </c>
      <c r="M951" s="39" t="s">
        <v>2318</v>
      </c>
      <c r="N951" s="211" t="s">
        <v>1651</v>
      </c>
      <c r="O951" s="39" t="s">
        <v>1652</v>
      </c>
    </row>
    <row r="952" spans="2:15" ht="12.75" thickBot="1" x14ac:dyDescent="0.35">
      <c r="B952" s="44">
        <f t="shared" si="81"/>
        <v>55000011</v>
      </c>
      <c r="C952" s="39">
        <v>1</v>
      </c>
      <c r="D952" s="39"/>
      <c r="E952" s="39"/>
      <c r="F952" s="39"/>
      <c r="G952" s="39">
        <v>1</v>
      </c>
      <c r="H952" s="44">
        <f t="shared" si="82"/>
        <v>55000011</v>
      </c>
      <c r="I952" s="44" t="s">
        <v>187</v>
      </c>
      <c r="J952" s="44">
        <v>21</v>
      </c>
      <c r="K952" s="54">
        <v>1400595</v>
      </c>
      <c r="L952" s="44">
        <f t="shared" si="80"/>
        <v>21</v>
      </c>
      <c r="M952" s="44" t="s">
        <v>2488</v>
      </c>
      <c r="N952" s="212" t="s">
        <v>2490</v>
      </c>
      <c r="O952" s="44" t="s">
        <v>2489</v>
      </c>
    </row>
    <row r="953" spans="2:15" x14ac:dyDescent="0.3">
      <c r="B953" s="117">
        <f>H953</f>
        <v>55000012</v>
      </c>
      <c r="C953" s="39">
        <v>1</v>
      </c>
      <c r="D953" s="39"/>
      <c r="E953" s="39"/>
      <c r="F953" s="39"/>
      <c r="G953" s="39">
        <v>1</v>
      </c>
      <c r="H953" s="88">
        <v>55000012</v>
      </c>
      <c r="I953" s="88" t="s">
        <v>186</v>
      </c>
      <c r="J953" s="88">
        <v>21</v>
      </c>
      <c r="K953" s="118">
        <v>2100077</v>
      </c>
      <c r="L953" s="88">
        <v>21</v>
      </c>
      <c r="M953" s="88" t="s">
        <v>2607</v>
      </c>
      <c r="N953" s="213" t="s">
        <v>2608</v>
      </c>
      <c r="O953" s="119" t="s">
        <v>2609</v>
      </c>
    </row>
    <row r="954" spans="2:15" ht="12.75" thickBot="1" x14ac:dyDescent="0.35">
      <c r="B954" s="120">
        <f>H954</f>
        <v>55000013</v>
      </c>
      <c r="C954" s="39">
        <v>1</v>
      </c>
      <c r="D954" s="39"/>
      <c r="E954" s="39"/>
      <c r="F954" s="39"/>
      <c r="G954" s="39">
        <v>1</v>
      </c>
      <c r="H954" s="89">
        <v>55000013</v>
      </c>
      <c r="I954" s="89" t="s">
        <v>186</v>
      </c>
      <c r="J954" s="89">
        <v>21</v>
      </c>
      <c r="K954" s="121">
        <v>2100078</v>
      </c>
      <c r="L954" s="89">
        <v>21</v>
      </c>
      <c r="M954" s="89" t="s">
        <v>2610</v>
      </c>
      <c r="N954" s="214" t="s">
        <v>2611</v>
      </c>
      <c r="O954" s="122" t="s">
        <v>2609</v>
      </c>
    </row>
    <row r="955" spans="2:15" x14ac:dyDescent="0.3">
      <c r="B955" s="48">
        <f t="shared" si="81"/>
        <v>55100000</v>
      </c>
      <c r="C955" s="39">
        <v>1</v>
      </c>
      <c r="D955" s="39"/>
      <c r="E955" s="39"/>
      <c r="F955" s="39"/>
      <c r="G955" s="39">
        <v>1</v>
      </c>
      <c r="H955" s="48">
        <v>55100000</v>
      </c>
      <c r="I955" s="48" t="s">
        <v>186</v>
      </c>
      <c r="J955" s="48">
        <v>21</v>
      </c>
      <c r="K955" s="106">
        <v>1067511</v>
      </c>
      <c r="L955" s="48">
        <f t="shared" si="80"/>
        <v>21</v>
      </c>
      <c r="M955" s="48" t="s">
        <v>2319</v>
      </c>
      <c r="N955" s="48" t="s">
        <v>1313</v>
      </c>
      <c r="O955" s="48" t="s">
        <v>1366</v>
      </c>
    </row>
    <row r="956" spans="2:15" x14ac:dyDescent="0.3">
      <c r="B956" s="39">
        <f t="shared" si="81"/>
        <v>55100001</v>
      </c>
      <c r="C956" s="39">
        <v>1</v>
      </c>
      <c r="D956" s="39"/>
      <c r="E956" s="39"/>
      <c r="F956" s="39"/>
      <c r="G956" s="39">
        <v>1</v>
      </c>
      <c r="H956" s="39">
        <v>55100001</v>
      </c>
      <c r="I956" s="39" t="s">
        <v>186</v>
      </c>
      <c r="J956" s="39">
        <v>21</v>
      </c>
      <c r="K956" s="46">
        <v>1067512</v>
      </c>
      <c r="L956" s="39">
        <f t="shared" si="80"/>
        <v>21</v>
      </c>
      <c r="M956" s="39" t="s">
        <v>1384</v>
      </c>
      <c r="N956" s="39" t="s">
        <v>1314</v>
      </c>
      <c r="O956" s="39" t="s">
        <v>1367</v>
      </c>
    </row>
    <row r="957" spans="2:15" x14ac:dyDescent="0.3">
      <c r="B957" s="50">
        <f t="shared" si="81"/>
        <v>55100002</v>
      </c>
      <c r="C957" s="39">
        <v>1</v>
      </c>
      <c r="D957" s="39"/>
      <c r="E957" s="39"/>
      <c r="F957" s="39"/>
      <c r="G957" s="39">
        <v>1</v>
      </c>
      <c r="H957" s="50">
        <v>55100002</v>
      </c>
      <c r="I957" s="39" t="s">
        <v>186</v>
      </c>
      <c r="J957" s="39">
        <v>21</v>
      </c>
      <c r="K957" s="46">
        <v>1067513</v>
      </c>
      <c r="L957" s="39">
        <f t="shared" si="80"/>
        <v>21</v>
      </c>
      <c r="M957" s="50" t="s">
        <v>1385</v>
      </c>
      <c r="N957" s="50" t="s">
        <v>1315</v>
      </c>
      <c r="O957" s="93" t="s">
        <v>1368</v>
      </c>
    </row>
    <row r="958" spans="2:15" x14ac:dyDescent="0.3">
      <c r="B958" s="50">
        <f t="shared" si="81"/>
        <v>55100003</v>
      </c>
      <c r="C958" s="39">
        <v>1</v>
      </c>
      <c r="D958" s="39"/>
      <c r="E958" s="39"/>
      <c r="F958" s="39"/>
      <c r="G958" s="39">
        <v>1</v>
      </c>
      <c r="H958" s="50">
        <v>55100003</v>
      </c>
      <c r="I958" s="39" t="s">
        <v>186</v>
      </c>
      <c r="J958" s="39">
        <v>21</v>
      </c>
      <c r="K958" s="105">
        <v>1067514</v>
      </c>
      <c r="L958" s="50">
        <f t="shared" si="80"/>
        <v>21</v>
      </c>
      <c r="M958" s="50" t="s">
        <v>1386</v>
      </c>
      <c r="N958" s="50" t="s">
        <v>1316</v>
      </c>
      <c r="O958" s="50" t="s">
        <v>1369</v>
      </c>
    </row>
    <row r="959" spans="2:15" x14ac:dyDescent="0.3">
      <c r="B959" s="50">
        <f t="shared" si="81"/>
        <v>55100004</v>
      </c>
      <c r="C959" s="39">
        <v>1</v>
      </c>
      <c r="D959" s="39"/>
      <c r="E959" s="39"/>
      <c r="F959" s="39"/>
      <c r="G959" s="39">
        <v>1</v>
      </c>
      <c r="H959" s="50">
        <v>55100004</v>
      </c>
      <c r="I959" s="39" t="s">
        <v>186</v>
      </c>
      <c r="J959" s="39">
        <v>21</v>
      </c>
      <c r="K959" s="105">
        <v>1067515</v>
      </c>
      <c r="L959" s="50">
        <f t="shared" si="80"/>
        <v>21</v>
      </c>
      <c r="M959" s="50" t="s">
        <v>656</v>
      </c>
      <c r="N959" s="50" t="s">
        <v>1317</v>
      </c>
      <c r="O959" s="50" t="s">
        <v>1370</v>
      </c>
    </row>
    <row r="960" spans="2:15" x14ac:dyDescent="0.3">
      <c r="B960" s="50">
        <f t="shared" si="81"/>
        <v>55100005</v>
      </c>
      <c r="C960" s="39">
        <v>1</v>
      </c>
      <c r="D960" s="39"/>
      <c r="E960" s="39"/>
      <c r="F960" s="39"/>
      <c r="G960" s="39">
        <v>1</v>
      </c>
      <c r="H960" s="50">
        <v>55100005</v>
      </c>
      <c r="I960" s="39" t="s">
        <v>186</v>
      </c>
      <c r="J960" s="39">
        <v>21</v>
      </c>
      <c r="K960" s="105">
        <v>1067500</v>
      </c>
      <c r="L960" s="50">
        <f t="shared" si="80"/>
        <v>21</v>
      </c>
      <c r="M960" s="50" t="s">
        <v>1387</v>
      </c>
      <c r="N960" s="50" t="s">
        <v>1318</v>
      </c>
      <c r="O960" s="50" t="s">
        <v>1371</v>
      </c>
    </row>
    <row r="961" spans="2:15" x14ac:dyDescent="0.3">
      <c r="B961" s="50">
        <f t="shared" si="81"/>
        <v>55100006</v>
      </c>
      <c r="C961" s="39">
        <v>1</v>
      </c>
      <c r="D961" s="39"/>
      <c r="E961" s="39"/>
      <c r="F961" s="39"/>
      <c r="G961" s="39">
        <v>1</v>
      </c>
      <c r="H961" s="50">
        <v>55100006</v>
      </c>
      <c r="I961" s="39" t="s">
        <v>186</v>
      </c>
      <c r="J961" s="39">
        <v>21</v>
      </c>
      <c r="K961" s="105">
        <v>1067516</v>
      </c>
      <c r="L961" s="50">
        <f t="shared" si="80"/>
        <v>21</v>
      </c>
      <c r="M961" s="50" t="s">
        <v>2320</v>
      </c>
      <c r="N961" s="50" t="s">
        <v>1319</v>
      </c>
      <c r="O961" s="50" t="s">
        <v>1372</v>
      </c>
    </row>
    <row r="962" spans="2:15" x14ac:dyDescent="0.3">
      <c r="B962" s="50">
        <f t="shared" si="81"/>
        <v>55100007</v>
      </c>
      <c r="C962" s="39">
        <v>1</v>
      </c>
      <c r="D962" s="39"/>
      <c r="E962" s="39"/>
      <c r="F962" s="39"/>
      <c r="G962" s="39">
        <v>1</v>
      </c>
      <c r="H962" s="50">
        <v>55100007</v>
      </c>
      <c r="I962" s="39" t="s">
        <v>186</v>
      </c>
      <c r="J962" s="39">
        <v>21</v>
      </c>
      <c r="K962" s="105">
        <v>1067517</v>
      </c>
      <c r="L962" s="50">
        <f t="shared" si="80"/>
        <v>21</v>
      </c>
      <c r="M962" s="50" t="s">
        <v>2321</v>
      </c>
      <c r="N962" s="50" t="s">
        <v>1320</v>
      </c>
      <c r="O962" s="50" t="s">
        <v>1373</v>
      </c>
    </row>
    <row r="963" spans="2:15" x14ac:dyDescent="0.3">
      <c r="B963" s="50">
        <f t="shared" si="81"/>
        <v>55100008</v>
      </c>
      <c r="C963" s="39">
        <v>1</v>
      </c>
      <c r="D963" s="39"/>
      <c r="E963" s="39"/>
      <c r="F963" s="39"/>
      <c r="G963" s="39">
        <v>1</v>
      </c>
      <c r="H963" s="50">
        <v>55100008</v>
      </c>
      <c r="I963" s="39" t="s">
        <v>186</v>
      </c>
      <c r="J963" s="39">
        <v>21</v>
      </c>
      <c r="K963" s="105">
        <v>1067500</v>
      </c>
      <c r="L963" s="50">
        <f t="shared" si="80"/>
        <v>21</v>
      </c>
      <c r="M963" s="50" t="s">
        <v>1387</v>
      </c>
      <c r="N963" s="50" t="s">
        <v>1321</v>
      </c>
      <c r="O963" s="50" t="s">
        <v>1374</v>
      </c>
    </row>
    <row r="964" spans="2:15" x14ac:dyDescent="0.3">
      <c r="B964" s="50">
        <f t="shared" si="81"/>
        <v>55100009</v>
      </c>
      <c r="C964" s="39">
        <v>1</v>
      </c>
      <c r="D964" s="39"/>
      <c r="E964" s="39"/>
      <c r="F964" s="39"/>
      <c r="G964" s="39">
        <v>1</v>
      </c>
      <c r="H964" s="50">
        <v>55100009</v>
      </c>
      <c r="I964" s="39" t="s">
        <v>186</v>
      </c>
      <c r="J964" s="39">
        <v>21</v>
      </c>
      <c r="K964" s="105">
        <v>1067509</v>
      </c>
      <c r="L964" s="50">
        <f t="shared" si="80"/>
        <v>21</v>
      </c>
      <c r="M964" s="50" t="s">
        <v>1389</v>
      </c>
      <c r="N964" s="50" t="s">
        <v>1322</v>
      </c>
      <c r="O964" s="50" t="s">
        <v>1375</v>
      </c>
    </row>
    <row r="965" spans="2:15" x14ac:dyDescent="0.3">
      <c r="B965" s="50">
        <f t="shared" si="81"/>
        <v>55100010</v>
      </c>
      <c r="C965" s="39">
        <v>1</v>
      </c>
      <c r="D965" s="39"/>
      <c r="E965" s="39"/>
      <c r="F965" s="39"/>
      <c r="G965" s="39">
        <v>1</v>
      </c>
      <c r="H965" s="50">
        <v>55100010</v>
      </c>
      <c r="I965" s="39" t="s">
        <v>186</v>
      </c>
      <c r="J965" s="39">
        <v>21</v>
      </c>
      <c r="K965" s="105">
        <v>1067519</v>
      </c>
      <c r="L965" s="50">
        <f t="shared" si="80"/>
        <v>21</v>
      </c>
      <c r="M965" s="50" t="s">
        <v>2322</v>
      </c>
      <c r="N965" s="50" t="s">
        <v>1323</v>
      </c>
      <c r="O965" s="50" t="s">
        <v>1376</v>
      </c>
    </row>
    <row r="966" spans="2:15" x14ac:dyDescent="0.3">
      <c r="B966" s="50">
        <f t="shared" si="81"/>
        <v>55100011</v>
      </c>
      <c r="C966" s="39">
        <v>1</v>
      </c>
      <c r="D966" s="39"/>
      <c r="E966" s="39"/>
      <c r="F966" s="39"/>
      <c r="G966" s="39">
        <v>1</v>
      </c>
      <c r="H966" s="50">
        <v>55100011</v>
      </c>
      <c r="I966" s="39" t="s">
        <v>186</v>
      </c>
      <c r="J966" s="39">
        <v>21</v>
      </c>
      <c r="K966" s="105">
        <v>1067520</v>
      </c>
      <c r="L966" s="50">
        <f t="shared" si="80"/>
        <v>21</v>
      </c>
      <c r="M966" s="50" t="s">
        <v>1388</v>
      </c>
      <c r="N966" s="50" t="s">
        <v>1324</v>
      </c>
      <c r="O966" s="50" t="s">
        <v>1377</v>
      </c>
    </row>
    <row r="967" spans="2:15" x14ac:dyDescent="0.3">
      <c r="B967" s="50">
        <f t="shared" si="81"/>
        <v>55100012</v>
      </c>
      <c r="C967" s="39">
        <v>1</v>
      </c>
      <c r="D967" s="39"/>
      <c r="E967" s="39"/>
      <c r="F967" s="39"/>
      <c r="G967" s="39">
        <v>1</v>
      </c>
      <c r="H967" s="50">
        <v>55100012</v>
      </c>
      <c r="I967" s="39" t="s">
        <v>186</v>
      </c>
      <c r="J967" s="39">
        <v>21</v>
      </c>
      <c r="K967" s="105">
        <v>1067521</v>
      </c>
      <c r="L967" s="50">
        <f t="shared" si="80"/>
        <v>21</v>
      </c>
      <c r="M967" s="50" t="s">
        <v>2323</v>
      </c>
      <c r="N967" s="50" t="s">
        <v>1325</v>
      </c>
      <c r="O967" s="50" t="s">
        <v>1378</v>
      </c>
    </row>
    <row r="968" spans="2:15" x14ac:dyDescent="0.3">
      <c r="B968" s="50">
        <f t="shared" si="81"/>
        <v>55100013</v>
      </c>
      <c r="C968" s="39">
        <v>1</v>
      </c>
      <c r="D968" s="39"/>
      <c r="E968" s="39"/>
      <c r="F968" s="39"/>
      <c r="G968" s="39">
        <v>1</v>
      </c>
      <c r="H968" s="50">
        <v>55100013</v>
      </c>
      <c r="I968" s="39" t="s">
        <v>186</v>
      </c>
      <c r="J968" s="39">
        <v>21</v>
      </c>
      <c r="K968" s="105">
        <v>1067509</v>
      </c>
      <c r="L968" s="50">
        <f t="shared" ref="L968:L998" si="83">VLOOKUP(I968,error,2,FALSE)</f>
        <v>21</v>
      </c>
      <c r="M968" s="50" t="s">
        <v>1389</v>
      </c>
      <c r="N968" s="50" t="s">
        <v>1326</v>
      </c>
      <c r="O968" s="50" t="s">
        <v>1379</v>
      </c>
    </row>
    <row r="969" spans="2:15" x14ac:dyDescent="0.3">
      <c r="B969" s="50">
        <f t="shared" si="81"/>
        <v>55100014</v>
      </c>
      <c r="C969" s="39">
        <v>1</v>
      </c>
      <c r="D969" s="39"/>
      <c r="E969" s="39"/>
      <c r="F969" s="39"/>
      <c r="G969" s="39">
        <v>1</v>
      </c>
      <c r="H969" s="50">
        <v>55100014</v>
      </c>
      <c r="I969" s="39" t="s">
        <v>186</v>
      </c>
      <c r="J969" s="39">
        <v>21</v>
      </c>
      <c r="K969" s="105">
        <v>1067500</v>
      </c>
      <c r="L969" s="50">
        <f t="shared" si="83"/>
        <v>21</v>
      </c>
      <c r="M969" s="50" t="s">
        <v>1387</v>
      </c>
      <c r="N969" s="50" t="s">
        <v>1327</v>
      </c>
      <c r="O969" s="50" t="s">
        <v>1380</v>
      </c>
    </row>
    <row r="970" spans="2:15" x14ac:dyDescent="0.3">
      <c r="B970" s="50">
        <f t="shared" si="81"/>
        <v>55100015</v>
      </c>
      <c r="C970" s="39">
        <v>1</v>
      </c>
      <c r="D970" s="39"/>
      <c r="E970" s="39"/>
      <c r="F970" s="39"/>
      <c r="G970" s="39">
        <v>1</v>
      </c>
      <c r="H970" s="50">
        <v>55100015</v>
      </c>
      <c r="I970" s="39" t="s">
        <v>186</v>
      </c>
      <c r="J970" s="39">
        <v>21</v>
      </c>
      <c r="K970" s="105">
        <v>1067517</v>
      </c>
      <c r="L970" s="50">
        <f t="shared" si="83"/>
        <v>21</v>
      </c>
      <c r="M970" s="50" t="s">
        <v>2321</v>
      </c>
      <c r="N970" s="50" t="s">
        <v>1328</v>
      </c>
      <c r="O970" s="50" t="s">
        <v>1381</v>
      </c>
    </row>
    <row r="971" spans="2:15" x14ac:dyDescent="0.3">
      <c r="B971" s="50">
        <f t="shared" si="81"/>
        <v>55100016</v>
      </c>
      <c r="C971" s="39">
        <v>1</v>
      </c>
      <c r="D971" s="39"/>
      <c r="E971" s="39"/>
      <c r="F971" s="39"/>
      <c r="G971" s="39">
        <v>1</v>
      </c>
      <c r="H971" s="50">
        <v>55100016</v>
      </c>
      <c r="I971" s="39" t="s">
        <v>186</v>
      </c>
      <c r="J971" s="39">
        <v>21</v>
      </c>
      <c r="K971" s="105">
        <v>1067520</v>
      </c>
      <c r="L971" s="50">
        <f t="shared" si="83"/>
        <v>21</v>
      </c>
      <c r="M971" s="50" t="s">
        <v>1388</v>
      </c>
      <c r="N971" s="50" t="s">
        <v>1329</v>
      </c>
      <c r="O971" s="50" t="s">
        <v>1382</v>
      </c>
    </row>
    <row r="972" spans="2:15" x14ac:dyDescent="0.3">
      <c r="B972" s="50">
        <f t="shared" si="81"/>
        <v>55100017</v>
      </c>
      <c r="C972" s="39">
        <v>1</v>
      </c>
      <c r="D972" s="39"/>
      <c r="E972" s="39"/>
      <c r="F972" s="39"/>
      <c r="G972" s="39">
        <v>1</v>
      </c>
      <c r="H972" s="50">
        <v>55100017</v>
      </c>
      <c r="I972" s="39" t="s">
        <v>186</v>
      </c>
      <c r="J972" s="39">
        <v>21</v>
      </c>
      <c r="K972" s="105">
        <v>1067522</v>
      </c>
      <c r="L972" s="50">
        <f t="shared" si="83"/>
        <v>21</v>
      </c>
      <c r="M972" s="50" t="s">
        <v>2324</v>
      </c>
      <c r="N972" s="50" t="s">
        <v>1330</v>
      </c>
      <c r="O972" s="50" t="s">
        <v>1383</v>
      </c>
    </row>
    <row r="973" spans="2:15" x14ac:dyDescent="0.3">
      <c r="B973" s="50">
        <f t="shared" si="81"/>
        <v>55100018</v>
      </c>
      <c r="C973" s="39">
        <v>1</v>
      </c>
      <c r="D973" s="39"/>
      <c r="E973" s="39"/>
      <c r="F973" s="39"/>
      <c r="G973" s="39">
        <v>1</v>
      </c>
      <c r="H973" s="50">
        <v>55100018</v>
      </c>
      <c r="I973" s="39" t="s">
        <v>186</v>
      </c>
      <c r="J973" s="39">
        <v>21</v>
      </c>
      <c r="K973" s="105">
        <v>1067512</v>
      </c>
      <c r="L973" s="50">
        <f t="shared" si="83"/>
        <v>21</v>
      </c>
      <c r="M973" s="50" t="s">
        <v>1384</v>
      </c>
      <c r="N973" s="50" t="s">
        <v>1331</v>
      </c>
      <c r="O973" s="50" t="s">
        <v>1354</v>
      </c>
    </row>
    <row r="974" spans="2:15" x14ac:dyDescent="0.3">
      <c r="B974" s="50">
        <f t="shared" si="81"/>
        <v>55100019</v>
      </c>
      <c r="C974" s="39">
        <v>1</v>
      </c>
      <c r="D974" s="39"/>
      <c r="E974" s="39"/>
      <c r="F974" s="39"/>
      <c r="G974" s="39">
        <v>1</v>
      </c>
      <c r="H974" s="50">
        <v>55100019</v>
      </c>
      <c r="I974" s="39" t="s">
        <v>186</v>
      </c>
      <c r="J974" s="39">
        <v>21</v>
      </c>
      <c r="K974" s="105">
        <v>1067513</v>
      </c>
      <c r="L974" s="50">
        <f t="shared" si="83"/>
        <v>21</v>
      </c>
      <c r="M974" s="50" t="s">
        <v>1385</v>
      </c>
      <c r="N974" s="50" t="s">
        <v>1332</v>
      </c>
      <c r="O974" s="50" t="s">
        <v>1355</v>
      </c>
    </row>
    <row r="975" spans="2:15" x14ac:dyDescent="0.3">
      <c r="B975" s="50">
        <f t="shared" ref="B975:B1006" si="84">H975</f>
        <v>55100020</v>
      </c>
      <c r="C975" s="39">
        <v>1</v>
      </c>
      <c r="D975" s="39"/>
      <c r="E975" s="39"/>
      <c r="F975" s="39"/>
      <c r="G975" s="39">
        <v>1</v>
      </c>
      <c r="H975" s="50">
        <v>55100020</v>
      </c>
      <c r="I975" s="39" t="s">
        <v>186</v>
      </c>
      <c r="J975" s="39">
        <v>21</v>
      </c>
      <c r="K975" s="105">
        <v>1067514</v>
      </c>
      <c r="L975" s="50">
        <f t="shared" si="83"/>
        <v>21</v>
      </c>
      <c r="M975" s="50" t="s">
        <v>1386</v>
      </c>
      <c r="N975" s="50" t="s">
        <v>1333</v>
      </c>
      <c r="O975" s="50" t="s">
        <v>1356</v>
      </c>
    </row>
    <row r="976" spans="2:15" x14ac:dyDescent="0.3">
      <c r="B976" s="50">
        <f t="shared" si="84"/>
        <v>55100021</v>
      </c>
      <c r="C976" s="39">
        <v>1</v>
      </c>
      <c r="D976" s="39"/>
      <c r="E976" s="39"/>
      <c r="F976" s="39"/>
      <c r="G976" s="39">
        <v>1</v>
      </c>
      <c r="H976" s="50">
        <v>55100021</v>
      </c>
      <c r="I976" s="39" t="s">
        <v>186</v>
      </c>
      <c r="J976" s="39">
        <v>21</v>
      </c>
      <c r="K976" s="105">
        <v>1067520</v>
      </c>
      <c r="L976" s="50">
        <f t="shared" si="83"/>
        <v>21</v>
      </c>
      <c r="M976" s="50" t="s">
        <v>1388</v>
      </c>
      <c r="N976" s="50" t="s">
        <v>1334</v>
      </c>
      <c r="O976" s="50" t="s">
        <v>1357</v>
      </c>
    </row>
    <row r="977" spans="2:15" x14ac:dyDescent="0.3">
      <c r="B977" s="50">
        <f t="shared" si="84"/>
        <v>55100022</v>
      </c>
      <c r="C977" s="39">
        <v>1</v>
      </c>
      <c r="D977" s="39"/>
      <c r="E977" s="39"/>
      <c r="F977" s="39"/>
      <c r="G977" s="39">
        <v>1</v>
      </c>
      <c r="H977" s="50">
        <v>55100022</v>
      </c>
      <c r="I977" s="39" t="s">
        <v>186</v>
      </c>
      <c r="J977" s="39">
        <v>21</v>
      </c>
      <c r="K977" s="105">
        <v>1067500</v>
      </c>
      <c r="L977" s="50">
        <f t="shared" si="83"/>
        <v>21</v>
      </c>
      <c r="M977" s="50" t="s">
        <v>1387</v>
      </c>
      <c r="N977" s="50" t="s">
        <v>1335</v>
      </c>
      <c r="O977" s="50" t="s">
        <v>1358</v>
      </c>
    </row>
    <row r="978" spans="2:15" x14ac:dyDescent="0.3">
      <c r="B978" s="50">
        <f t="shared" si="84"/>
        <v>55100023</v>
      </c>
      <c r="C978" s="39">
        <v>1</v>
      </c>
      <c r="D978" s="39"/>
      <c r="E978" s="39"/>
      <c r="F978" s="39"/>
      <c r="G978" s="39">
        <v>1</v>
      </c>
      <c r="H978" s="50">
        <v>55100023</v>
      </c>
      <c r="I978" s="39" t="s">
        <v>186</v>
      </c>
      <c r="J978" s="39">
        <v>21</v>
      </c>
      <c r="K978" s="105">
        <v>1067523</v>
      </c>
      <c r="L978" s="50">
        <f t="shared" si="83"/>
        <v>21</v>
      </c>
      <c r="M978" s="50" t="s">
        <v>2325</v>
      </c>
      <c r="N978" s="50" t="s">
        <v>1336</v>
      </c>
    </row>
    <row r="979" spans="2:15" x14ac:dyDescent="0.3">
      <c r="B979" s="50">
        <f t="shared" si="84"/>
        <v>55100024</v>
      </c>
      <c r="C979" s="39">
        <v>1</v>
      </c>
      <c r="D979" s="39"/>
      <c r="E979" s="39"/>
      <c r="F979" s="39"/>
      <c r="G979" s="39">
        <v>1</v>
      </c>
      <c r="H979" s="50">
        <v>55100024</v>
      </c>
      <c r="I979" s="39" t="s">
        <v>186</v>
      </c>
      <c r="J979" s="39">
        <v>21</v>
      </c>
      <c r="K979" s="105">
        <v>1067512</v>
      </c>
      <c r="L979" s="50">
        <f t="shared" si="83"/>
        <v>21</v>
      </c>
      <c r="M979" s="50" t="s">
        <v>1384</v>
      </c>
      <c r="N979" s="50" t="s">
        <v>1337</v>
      </c>
      <c r="O979" s="50" t="s">
        <v>1359</v>
      </c>
    </row>
    <row r="980" spans="2:15" x14ac:dyDescent="0.3">
      <c r="B980" s="50">
        <f t="shared" si="84"/>
        <v>55100025</v>
      </c>
      <c r="C980" s="39">
        <v>1</v>
      </c>
      <c r="D980" s="39"/>
      <c r="E980" s="39"/>
      <c r="F980" s="39"/>
      <c r="G980" s="39">
        <v>1</v>
      </c>
      <c r="H980" s="50">
        <v>55100025</v>
      </c>
      <c r="I980" s="39" t="s">
        <v>186</v>
      </c>
      <c r="J980" s="39">
        <v>21</v>
      </c>
      <c r="K980" s="105">
        <v>1067513</v>
      </c>
      <c r="L980" s="50">
        <f t="shared" si="83"/>
        <v>21</v>
      </c>
      <c r="M980" s="50" t="s">
        <v>1385</v>
      </c>
      <c r="N980" s="50" t="s">
        <v>1338</v>
      </c>
      <c r="O980" s="50" t="s">
        <v>1360</v>
      </c>
    </row>
    <row r="981" spans="2:15" x14ac:dyDescent="0.3">
      <c r="B981" s="50">
        <f t="shared" si="84"/>
        <v>55100026</v>
      </c>
      <c r="C981" s="39">
        <v>1</v>
      </c>
      <c r="D981" s="39"/>
      <c r="E981" s="39"/>
      <c r="F981" s="39"/>
      <c r="G981" s="39">
        <v>1</v>
      </c>
      <c r="H981" s="50">
        <v>55100026</v>
      </c>
      <c r="I981" s="39" t="s">
        <v>186</v>
      </c>
      <c r="J981" s="39">
        <v>21</v>
      </c>
      <c r="K981" s="105">
        <v>1067520</v>
      </c>
      <c r="L981" s="50">
        <f t="shared" si="83"/>
        <v>21</v>
      </c>
      <c r="M981" s="50" t="s">
        <v>1388</v>
      </c>
      <c r="N981" s="50" t="s">
        <v>1339</v>
      </c>
      <c r="O981" s="50" t="s">
        <v>1361</v>
      </c>
    </row>
    <row r="982" spans="2:15" x14ac:dyDescent="0.3">
      <c r="B982" s="50">
        <f t="shared" si="84"/>
        <v>55100027</v>
      </c>
      <c r="C982" s="39">
        <v>1</v>
      </c>
      <c r="D982" s="39"/>
      <c r="E982" s="39"/>
      <c r="F982" s="39"/>
      <c r="G982" s="39">
        <v>1</v>
      </c>
      <c r="H982" s="50">
        <v>55100027</v>
      </c>
      <c r="I982" s="39" t="s">
        <v>186</v>
      </c>
      <c r="J982" s="39">
        <v>21</v>
      </c>
      <c r="K982" s="105">
        <v>1067500</v>
      </c>
      <c r="L982" s="50">
        <f t="shared" si="83"/>
        <v>21</v>
      </c>
      <c r="M982" s="50" t="s">
        <v>1387</v>
      </c>
      <c r="N982" s="50" t="s">
        <v>1340</v>
      </c>
      <c r="O982" s="50" t="s">
        <v>1362</v>
      </c>
    </row>
    <row r="983" spans="2:15" x14ac:dyDescent="0.3">
      <c r="B983" s="50">
        <f t="shared" si="84"/>
        <v>55100028</v>
      </c>
      <c r="C983" s="39">
        <v>1</v>
      </c>
      <c r="D983" s="39"/>
      <c r="E983" s="39"/>
      <c r="F983" s="39"/>
      <c r="G983" s="39">
        <v>1</v>
      </c>
      <c r="H983" s="50">
        <v>55100028</v>
      </c>
      <c r="I983" s="39" t="s">
        <v>186</v>
      </c>
      <c r="J983" s="39">
        <v>21</v>
      </c>
      <c r="K983" s="105">
        <v>1067524</v>
      </c>
      <c r="L983" s="50">
        <f t="shared" si="83"/>
        <v>21</v>
      </c>
      <c r="M983" s="50" t="s">
        <v>2326</v>
      </c>
      <c r="N983" s="50" t="s">
        <v>1341</v>
      </c>
      <c r="O983" s="50" t="s">
        <v>1363</v>
      </c>
    </row>
    <row r="984" spans="2:15" x14ac:dyDescent="0.3">
      <c r="B984" s="50">
        <f t="shared" si="84"/>
        <v>55100029</v>
      </c>
      <c r="C984" s="39">
        <v>1</v>
      </c>
      <c r="D984" s="39"/>
      <c r="E984" s="39"/>
      <c r="F984" s="39"/>
      <c r="G984" s="39">
        <v>1</v>
      </c>
      <c r="H984" s="50">
        <v>55100029</v>
      </c>
      <c r="I984" s="39" t="s">
        <v>186</v>
      </c>
      <c r="J984" s="39">
        <v>21</v>
      </c>
      <c r="K984" s="105">
        <v>1067525</v>
      </c>
      <c r="L984" s="50">
        <f t="shared" si="83"/>
        <v>21</v>
      </c>
      <c r="M984" s="50" t="s">
        <v>2327</v>
      </c>
      <c r="N984" s="50" t="s">
        <v>1342</v>
      </c>
      <c r="O984" s="50" t="s">
        <v>1364</v>
      </c>
    </row>
    <row r="985" spans="2:15" x14ac:dyDescent="0.3">
      <c r="B985" s="50">
        <f t="shared" si="84"/>
        <v>55100030</v>
      </c>
      <c r="C985" s="39">
        <v>1</v>
      </c>
      <c r="D985" s="39"/>
      <c r="E985" s="39"/>
      <c r="F985" s="39"/>
      <c r="G985" s="39">
        <v>1</v>
      </c>
      <c r="H985" s="50">
        <v>55100030</v>
      </c>
      <c r="I985" s="39" t="s">
        <v>186</v>
      </c>
      <c r="J985" s="39">
        <v>21</v>
      </c>
      <c r="K985" s="105">
        <v>1067523</v>
      </c>
      <c r="L985" s="50">
        <f t="shared" si="83"/>
        <v>21</v>
      </c>
      <c r="M985" s="50" t="s">
        <v>2325</v>
      </c>
      <c r="N985" s="50" t="s">
        <v>1343</v>
      </c>
      <c r="O985" s="50" t="s">
        <v>1365</v>
      </c>
    </row>
    <row r="986" spans="2:15" x14ac:dyDescent="0.3">
      <c r="B986" s="50">
        <f t="shared" si="84"/>
        <v>55100031</v>
      </c>
      <c r="C986" s="39">
        <v>1</v>
      </c>
      <c r="D986" s="39"/>
      <c r="E986" s="39"/>
      <c r="F986" s="39"/>
      <c r="G986" s="39">
        <v>1</v>
      </c>
      <c r="H986" s="50">
        <v>55100031</v>
      </c>
      <c r="I986" s="39" t="s">
        <v>186</v>
      </c>
      <c r="J986" s="39">
        <v>21</v>
      </c>
      <c r="K986" s="105">
        <v>1067526</v>
      </c>
      <c r="L986" s="50">
        <f t="shared" si="83"/>
        <v>21</v>
      </c>
      <c r="M986" s="50" t="s">
        <v>2328</v>
      </c>
      <c r="N986" s="50" t="s">
        <v>1344</v>
      </c>
    </row>
    <row r="987" spans="2:15" x14ac:dyDescent="0.3">
      <c r="B987" s="50">
        <f t="shared" si="84"/>
        <v>55100032</v>
      </c>
      <c r="C987" s="39">
        <v>1</v>
      </c>
      <c r="D987" s="39"/>
      <c r="E987" s="39"/>
      <c r="F987" s="39"/>
      <c r="G987" s="39">
        <v>1</v>
      </c>
      <c r="H987" s="50">
        <v>55100032</v>
      </c>
      <c r="I987" s="39" t="s">
        <v>186</v>
      </c>
      <c r="J987" s="39">
        <v>21</v>
      </c>
      <c r="K987" s="105">
        <v>1067500</v>
      </c>
      <c r="L987" s="50">
        <f t="shared" si="83"/>
        <v>21</v>
      </c>
      <c r="M987" s="50" t="s">
        <v>1387</v>
      </c>
      <c r="N987" s="50" t="s">
        <v>1345</v>
      </c>
      <c r="O987" s="50" t="s">
        <v>1390</v>
      </c>
    </row>
    <row r="988" spans="2:15" x14ac:dyDescent="0.3">
      <c r="B988" s="50">
        <f t="shared" si="84"/>
        <v>55100033</v>
      </c>
      <c r="C988" s="39">
        <v>1</v>
      </c>
      <c r="D988" s="39"/>
      <c r="E988" s="39"/>
      <c r="F988" s="39"/>
      <c r="G988" s="39">
        <v>1</v>
      </c>
      <c r="H988" s="50">
        <v>55100033</v>
      </c>
      <c r="I988" s="39" t="s">
        <v>186</v>
      </c>
      <c r="J988" s="39">
        <v>21</v>
      </c>
      <c r="K988" s="105">
        <v>1067513</v>
      </c>
      <c r="L988" s="50">
        <f t="shared" si="83"/>
        <v>21</v>
      </c>
      <c r="M988" s="50" t="s">
        <v>1385</v>
      </c>
      <c r="N988" s="50" t="s">
        <v>1346</v>
      </c>
      <c r="O988" s="50" t="s">
        <v>1391</v>
      </c>
    </row>
    <row r="989" spans="2:15" x14ac:dyDescent="0.3">
      <c r="B989" s="50">
        <f t="shared" si="84"/>
        <v>55100034</v>
      </c>
      <c r="C989" s="39">
        <v>1</v>
      </c>
      <c r="D989" s="39"/>
      <c r="E989" s="39"/>
      <c r="F989" s="39"/>
      <c r="G989" s="39">
        <v>1</v>
      </c>
      <c r="H989" s="50">
        <v>55100034</v>
      </c>
      <c r="I989" s="39" t="s">
        <v>186</v>
      </c>
      <c r="J989" s="39">
        <v>21</v>
      </c>
      <c r="K989" s="105">
        <v>1067520</v>
      </c>
      <c r="L989" s="50">
        <f t="shared" si="83"/>
        <v>21</v>
      </c>
      <c r="M989" s="50" t="s">
        <v>1388</v>
      </c>
      <c r="N989" s="50" t="s">
        <v>1347</v>
      </c>
      <c r="O989" s="50" t="s">
        <v>1392</v>
      </c>
    </row>
    <row r="990" spans="2:15" x14ac:dyDescent="0.3">
      <c r="B990" s="50">
        <f t="shared" si="84"/>
        <v>55100035</v>
      </c>
      <c r="C990" s="39">
        <v>1</v>
      </c>
      <c r="D990" s="39"/>
      <c r="E990" s="39"/>
      <c r="F990" s="39"/>
      <c r="G990" s="39">
        <v>1</v>
      </c>
      <c r="H990" s="50">
        <v>55100035</v>
      </c>
      <c r="I990" s="39" t="s">
        <v>186</v>
      </c>
      <c r="J990" s="39">
        <v>21</v>
      </c>
      <c r="K990" s="105">
        <v>1067525</v>
      </c>
      <c r="L990" s="50">
        <f t="shared" si="83"/>
        <v>21</v>
      </c>
      <c r="M990" s="50" t="s">
        <v>2327</v>
      </c>
      <c r="N990" s="50" t="s">
        <v>1348</v>
      </c>
      <c r="O990" s="50" t="s">
        <v>1393</v>
      </c>
    </row>
    <row r="991" spans="2:15" x14ac:dyDescent="0.3">
      <c r="B991" s="50">
        <f t="shared" si="84"/>
        <v>55100036</v>
      </c>
      <c r="C991" s="39">
        <v>1</v>
      </c>
      <c r="D991" s="39"/>
      <c r="E991" s="39"/>
      <c r="F991" s="39"/>
      <c r="G991" s="39">
        <v>1</v>
      </c>
      <c r="H991" s="50">
        <v>55100036</v>
      </c>
      <c r="I991" s="39" t="s">
        <v>186</v>
      </c>
      <c r="J991" s="39">
        <v>21</v>
      </c>
      <c r="K991" s="105">
        <v>1067509</v>
      </c>
      <c r="L991" s="50">
        <f t="shared" si="83"/>
        <v>21</v>
      </c>
      <c r="M991" s="50" t="s">
        <v>1389</v>
      </c>
      <c r="N991" s="50" t="s">
        <v>1349</v>
      </c>
      <c r="O991" s="50" t="s">
        <v>1394</v>
      </c>
    </row>
    <row r="992" spans="2:15" x14ac:dyDescent="0.3">
      <c r="B992" s="50">
        <f t="shared" si="84"/>
        <v>55100037</v>
      </c>
      <c r="C992" s="39">
        <v>1</v>
      </c>
      <c r="D992" s="39"/>
      <c r="E992" s="39"/>
      <c r="F992" s="39"/>
      <c r="G992" s="39">
        <v>1</v>
      </c>
      <c r="H992" s="50">
        <v>55100037</v>
      </c>
      <c r="I992" s="39" t="s">
        <v>186</v>
      </c>
      <c r="J992" s="39">
        <v>21</v>
      </c>
      <c r="K992" s="105">
        <v>1067527</v>
      </c>
      <c r="L992" s="50">
        <f t="shared" si="83"/>
        <v>21</v>
      </c>
      <c r="M992" s="50" t="s">
        <v>2329</v>
      </c>
      <c r="N992" s="50" t="s">
        <v>1350</v>
      </c>
      <c r="O992" s="50" t="s">
        <v>1395</v>
      </c>
    </row>
    <row r="993" spans="2:15" x14ac:dyDescent="0.3">
      <c r="B993" s="50">
        <f t="shared" si="84"/>
        <v>55100038</v>
      </c>
      <c r="C993" s="39">
        <v>1</v>
      </c>
      <c r="D993" s="39"/>
      <c r="E993" s="39"/>
      <c r="F993" s="39"/>
      <c r="G993" s="39">
        <v>1</v>
      </c>
      <c r="H993" s="50">
        <v>55100038</v>
      </c>
      <c r="I993" s="39" t="s">
        <v>186</v>
      </c>
      <c r="J993" s="39">
        <v>21</v>
      </c>
      <c r="K993" s="105">
        <v>1067526</v>
      </c>
      <c r="L993" s="50">
        <f t="shared" si="83"/>
        <v>21</v>
      </c>
      <c r="M993" s="50" t="s">
        <v>2328</v>
      </c>
      <c r="N993" s="50" t="s">
        <v>1351</v>
      </c>
      <c r="O993" s="50" t="s">
        <v>1395</v>
      </c>
    </row>
    <row r="994" spans="2:15" x14ac:dyDescent="0.3">
      <c r="B994" s="50">
        <f t="shared" si="84"/>
        <v>55100039</v>
      </c>
      <c r="C994" s="39">
        <v>1</v>
      </c>
      <c r="D994" s="39"/>
      <c r="E994" s="39"/>
      <c r="F994" s="39"/>
      <c r="G994" s="39">
        <v>1</v>
      </c>
      <c r="H994" s="50">
        <v>55100039</v>
      </c>
      <c r="I994" s="39" t="s">
        <v>186</v>
      </c>
      <c r="J994" s="39">
        <v>21</v>
      </c>
      <c r="K994" s="105">
        <v>1067528</v>
      </c>
      <c r="L994" s="50">
        <f t="shared" si="83"/>
        <v>21</v>
      </c>
      <c r="M994" s="50" t="s">
        <v>2330</v>
      </c>
      <c r="N994" s="50" t="s">
        <v>1352</v>
      </c>
      <c r="O994" s="50" t="s">
        <v>1353</v>
      </c>
    </row>
    <row r="995" spans="2:15" x14ac:dyDescent="0.3">
      <c r="B995" s="50">
        <f t="shared" si="84"/>
        <v>55100040</v>
      </c>
      <c r="C995" s="39">
        <v>1</v>
      </c>
      <c r="D995" s="39"/>
      <c r="E995" s="39"/>
      <c r="F995" s="39"/>
      <c r="G995" s="39">
        <v>1</v>
      </c>
      <c r="H995" s="50">
        <v>55100040</v>
      </c>
      <c r="I995" s="39" t="s">
        <v>186</v>
      </c>
      <c r="J995" s="39">
        <v>21</v>
      </c>
      <c r="K995" s="105">
        <v>1400555</v>
      </c>
      <c r="L995" s="50">
        <f t="shared" si="83"/>
        <v>21</v>
      </c>
      <c r="M995" s="50" t="s">
        <v>2331</v>
      </c>
      <c r="N995" s="160" t="s">
        <v>1646</v>
      </c>
      <c r="O995" s="50" t="s">
        <v>1647</v>
      </c>
    </row>
    <row r="996" spans="2:15" x14ac:dyDescent="0.3">
      <c r="B996" s="50">
        <f t="shared" si="84"/>
        <v>55100041</v>
      </c>
      <c r="C996" s="39">
        <v>1</v>
      </c>
      <c r="D996" s="39"/>
      <c r="E996" s="39"/>
      <c r="F996" s="39"/>
      <c r="G996" s="39">
        <v>1</v>
      </c>
      <c r="H996" s="50">
        <v>55100041</v>
      </c>
      <c r="I996" s="39" t="s">
        <v>186</v>
      </c>
      <c r="J996" s="39">
        <v>21</v>
      </c>
      <c r="K996" s="105">
        <v>1400556</v>
      </c>
      <c r="L996" s="50">
        <f t="shared" si="83"/>
        <v>21</v>
      </c>
      <c r="M996" s="50" t="s">
        <v>1648</v>
      </c>
      <c r="N996" s="160" t="s">
        <v>1649</v>
      </c>
      <c r="O996" s="50" t="s">
        <v>1650</v>
      </c>
    </row>
    <row r="997" spans="2:15" x14ac:dyDescent="0.3">
      <c r="B997" s="50">
        <f t="shared" si="84"/>
        <v>55100042</v>
      </c>
      <c r="C997" s="39">
        <v>1</v>
      </c>
      <c r="D997" s="39"/>
      <c r="E997" s="39"/>
      <c r="F997" s="39"/>
      <c r="G997" s="39">
        <v>1</v>
      </c>
      <c r="H997" s="50">
        <v>55100042</v>
      </c>
      <c r="I997" s="39" t="s">
        <v>186</v>
      </c>
      <c r="J997" s="39">
        <v>21</v>
      </c>
      <c r="K997" s="105">
        <v>1067535</v>
      </c>
      <c r="L997" s="50">
        <f t="shared" si="83"/>
        <v>21</v>
      </c>
      <c r="M997" s="50" t="s">
        <v>2485</v>
      </c>
      <c r="N997" s="160" t="s">
        <v>2022</v>
      </c>
      <c r="O997" s="50" t="s">
        <v>2024</v>
      </c>
    </row>
    <row r="998" spans="2:15" x14ac:dyDescent="0.3">
      <c r="B998" s="50">
        <f t="shared" si="84"/>
        <v>55100043</v>
      </c>
      <c r="C998" s="39">
        <v>1</v>
      </c>
      <c r="D998" s="39"/>
      <c r="E998" s="39"/>
      <c r="F998" s="39"/>
      <c r="G998" s="39">
        <v>1</v>
      </c>
      <c r="H998" s="50">
        <v>55100043</v>
      </c>
      <c r="I998" s="39" t="s">
        <v>186</v>
      </c>
      <c r="J998" s="39">
        <v>21</v>
      </c>
      <c r="K998" s="105">
        <v>1067533</v>
      </c>
      <c r="L998" s="50">
        <f t="shared" si="83"/>
        <v>21</v>
      </c>
      <c r="M998" s="50" t="s">
        <v>2021</v>
      </c>
      <c r="N998" s="160" t="s">
        <v>2023</v>
      </c>
      <c r="O998" s="50" t="s">
        <v>2025</v>
      </c>
    </row>
    <row r="999" spans="2:15" x14ac:dyDescent="0.3">
      <c r="B999" s="50">
        <f t="shared" si="84"/>
        <v>55100044</v>
      </c>
      <c r="C999" s="39">
        <v>1</v>
      </c>
      <c r="D999" s="39"/>
      <c r="E999" s="39"/>
      <c r="F999" s="39"/>
      <c r="G999" s="39">
        <v>1</v>
      </c>
      <c r="H999" s="50">
        <v>55100044</v>
      </c>
      <c r="I999" s="39" t="s">
        <v>186</v>
      </c>
      <c r="J999" s="39">
        <v>21</v>
      </c>
      <c r="K999" s="105">
        <v>1067539</v>
      </c>
      <c r="L999" s="50">
        <v>21</v>
      </c>
      <c r="M999" s="50" t="s">
        <v>2446</v>
      </c>
      <c r="N999" s="160" t="s">
        <v>2447</v>
      </c>
      <c r="O999" s="50" t="s">
        <v>2448</v>
      </c>
    </row>
    <row r="1000" spans="2:15" x14ac:dyDescent="0.3">
      <c r="B1000" s="50">
        <f t="shared" si="84"/>
        <v>55100045</v>
      </c>
      <c r="C1000" s="39">
        <v>1</v>
      </c>
      <c r="D1000" s="39"/>
      <c r="E1000" s="39"/>
      <c r="F1000" s="39"/>
      <c r="G1000" s="39">
        <v>1</v>
      </c>
      <c r="H1000" s="50">
        <v>55100045</v>
      </c>
      <c r="I1000" s="39" t="s">
        <v>186</v>
      </c>
      <c r="J1000" s="39">
        <v>21</v>
      </c>
      <c r="K1000" s="105">
        <v>1067540</v>
      </c>
      <c r="L1000" s="50">
        <v>21</v>
      </c>
      <c r="M1000" s="50" t="s">
        <v>2449</v>
      </c>
      <c r="N1000" s="160" t="s">
        <v>2450</v>
      </c>
      <c r="O1000" s="50" t="s">
        <v>2451</v>
      </c>
    </row>
    <row r="1001" spans="2:15" x14ac:dyDescent="0.3">
      <c r="B1001" s="50">
        <f t="shared" si="84"/>
        <v>55100046</v>
      </c>
      <c r="C1001" s="39">
        <v>1</v>
      </c>
      <c r="D1001" s="39"/>
      <c r="E1001" s="39"/>
      <c r="F1001" s="39"/>
      <c r="G1001" s="39">
        <v>1</v>
      </c>
      <c r="H1001" s="50">
        <v>55100046</v>
      </c>
      <c r="I1001" s="39" t="s">
        <v>186</v>
      </c>
      <c r="J1001" s="39">
        <v>21</v>
      </c>
      <c r="K1001" s="105">
        <v>1067541</v>
      </c>
      <c r="L1001" s="50">
        <v>21</v>
      </c>
      <c r="M1001" s="50" t="s">
        <v>2452</v>
      </c>
      <c r="N1001" s="160" t="s">
        <v>2453</v>
      </c>
      <c r="O1001" s="50" t="s">
        <v>2454</v>
      </c>
    </row>
    <row r="1002" spans="2:15" x14ac:dyDescent="0.3">
      <c r="B1002" s="50">
        <f t="shared" si="84"/>
        <v>55100047</v>
      </c>
      <c r="C1002" s="39">
        <v>1</v>
      </c>
      <c r="D1002" s="39"/>
      <c r="E1002" s="39"/>
      <c r="F1002" s="39"/>
      <c r="G1002" s="39">
        <v>1</v>
      </c>
      <c r="H1002" s="50">
        <v>55100047</v>
      </c>
      <c r="I1002" s="39" t="s">
        <v>186</v>
      </c>
      <c r="J1002" s="39">
        <v>21</v>
      </c>
      <c r="K1002" s="105">
        <v>1067542</v>
      </c>
      <c r="L1002" s="50">
        <v>21</v>
      </c>
      <c r="M1002" s="50" t="s">
        <v>2455</v>
      </c>
      <c r="N1002" s="160" t="s">
        <v>2456</v>
      </c>
      <c r="O1002" s="50" t="s">
        <v>2457</v>
      </c>
    </row>
    <row r="1003" spans="2:15" x14ac:dyDescent="0.3">
      <c r="B1003" s="50">
        <f t="shared" si="84"/>
        <v>55100048</v>
      </c>
      <c r="C1003" s="39">
        <v>1</v>
      </c>
      <c r="D1003" s="39"/>
      <c r="E1003" s="39"/>
      <c r="F1003" s="39"/>
      <c r="G1003" s="39">
        <v>1</v>
      </c>
      <c r="H1003" s="50">
        <v>55100048</v>
      </c>
      <c r="I1003" s="39" t="s">
        <v>186</v>
      </c>
      <c r="J1003" s="39">
        <v>21</v>
      </c>
      <c r="K1003" s="105">
        <v>1067543</v>
      </c>
      <c r="L1003" s="50">
        <v>21</v>
      </c>
      <c r="M1003" s="50" t="s">
        <v>2458</v>
      </c>
      <c r="N1003" s="160" t="s">
        <v>2459</v>
      </c>
      <c r="O1003" s="50" t="s">
        <v>2460</v>
      </c>
    </row>
    <row r="1004" spans="2:15" x14ac:dyDescent="0.3">
      <c r="B1004" s="50">
        <f t="shared" si="84"/>
        <v>55100049</v>
      </c>
      <c r="C1004" s="39">
        <v>1</v>
      </c>
      <c r="D1004" s="39"/>
      <c r="E1004" s="39"/>
      <c r="F1004" s="39"/>
      <c r="G1004" s="39">
        <v>1</v>
      </c>
      <c r="H1004" s="50">
        <v>55100049</v>
      </c>
      <c r="I1004" s="39" t="s">
        <v>186</v>
      </c>
      <c r="J1004" s="39">
        <v>21</v>
      </c>
      <c r="K1004" s="105">
        <v>1067544</v>
      </c>
      <c r="L1004" s="50">
        <v>21</v>
      </c>
      <c r="M1004" s="50" t="s">
        <v>2461</v>
      </c>
      <c r="N1004" s="160" t="s">
        <v>2462</v>
      </c>
      <c r="O1004" s="50" t="s">
        <v>2463</v>
      </c>
    </row>
    <row r="1005" spans="2:15" x14ac:dyDescent="0.3">
      <c r="B1005" s="50">
        <f t="shared" si="84"/>
        <v>55100050</v>
      </c>
      <c r="C1005" s="39">
        <v>1</v>
      </c>
      <c r="D1005" s="39"/>
      <c r="E1005" s="39"/>
      <c r="F1005" s="39"/>
      <c r="G1005" s="39">
        <v>1</v>
      </c>
      <c r="H1005" s="50">
        <v>55100050</v>
      </c>
      <c r="I1005" s="39" t="s">
        <v>186</v>
      </c>
      <c r="J1005" s="39">
        <v>21</v>
      </c>
      <c r="K1005" s="105">
        <v>1067545</v>
      </c>
      <c r="L1005" s="50">
        <v>21</v>
      </c>
      <c r="M1005" s="50" t="s">
        <v>2464</v>
      </c>
      <c r="N1005" s="160" t="s">
        <v>2465</v>
      </c>
      <c r="O1005" s="50" t="s">
        <v>2466</v>
      </c>
    </row>
    <row r="1006" spans="2:15" x14ac:dyDescent="0.3">
      <c r="B1006" s="50">
        <f t="shared" si="84"/>
        <v>55100051</v>
      </c>
      <c r="C1006" s="39">
        <v>1</v>
      </c>
      <c r="D1006" s="39"/>
      <c r="E1006" s="39"/>
      <c r="F1006" s="39"/>
      <c r="G1006" s="39">
        <v>1</v>
      </c>
      <c r="H1006" s="50">
        <v>55100051</v>
      </c>
      <c r="I1006" s="39" t="s">
        <v>186</v>
      </c>
      <c r="J1006" s="39">
        <v>21</v>
      </c>
      <c r="K1006" s="105">
        <v>1067546</v>
      </c>
      <c r="L1006" s="50">
        <v>21</v>
      </c>
      <c r="M1006" s="50" t="s">
        <v>2467</v>
      </c>
      <c r="N1006" s="160" t="s">
        <v>2468</v>
      </c>
      <c r="O1006" s="50" t="s">
        <v>2469</v>
      </c>
    </row>
    <row r="1007" spans="2:15" x14ac:dyDescent="0.3">
      <c r="B1007" s="50">
        <v>55100052</v>
      </c>
      <c r="C1007" s="39">
        <v>1</v>
      </c>
      <c r="D1007" s="39"/>
      <c r="E1007" s="39"/>
      <c r="F1007" s="39"/>
      <c r="G1007" s="39">
        <v>1</v>
      </c>
      <c r="H1007" s="50">
        <v>55100052</v>
      </c>
      <c r="I1007" s="39" t="s">
        <v>186</v>
      </c>
      <c r="J1007" s="39">
        <v>21</v>
      </c>
      <c r="K1007" s="105">
        <v>1067549</v>
      </c>
      <c r="L1007" s="50">
        <v>21</v>
      </c>
      <c r="M1007" s="50" t="s">
        <v>2470</v>
      </c>
      <c r="N1007" s="160" t="s">
        <v>2471</v>
      </c>
      <c r="O1007" s="50" t="s">
        <v>2469</v>
      </c>
    </row>
    <row r="1008" spans="2:15" x14ac:dyDescent="0.3">
      <c r="B1008" s="50">
        <v>55100053</v>
      </c>
      <c r="C1008" s="39">
        <v>1</v>
      </c>
      <c r="D1008" s="39"/>
      <c r="E1008" s="39"/>
      <c r="F1008" s="39"/>
      <c r="G1008" s="39">
        <v>1</v>
      </c>
      <c r="H1008" s="50">
        <v>55100053</v>
      </c>
      <c r="I1008" s="39" t="s">
        <v>186</v>
      </c>
      <c r="J1008" s="39">
        <v>21</v>
      </c>
      <c r="K1008" s="105">
        <v>1067550</v>
      </c>
      <c r="L1008" s="50">
        <v>21</v>
      </c>
      <c r="M1008" s="50" t="s">
        <v>2472</v>
      </c>
      <c r="N1008" s="160" t="s">
        <v>2473</v>
      </c>
      <c r="O1008" s="50" t="s">
        <v>2469</v>
      </c>
    </row>
    <row r="1009" spans="2:15" x14ac:dyDescent="0.3">
      <c r="B1009" s="50">
        <v>55100054</v>
      </c>
      <c r="C1009" s="39">
        <v>1</v>
      </c>
      <c r="D1009" s="39"/>
      <c r="E1009" s="39"/>
      <c r="F1009" s="39"/>
      <c r="G1009" s="39">
        <v>1</v>
      </c>
      <c r="H1009" s="50">
        <v>55100054</v>
      </c>
      <c r="I1009" s="39" t="s">
        <v>186</v>
      </c>
      <c r="J1009" s="39">
        <v>21</v>
      </c>
      <c r="K1009" s="105">
        <v>1067551</v>
      </c>
      <c r="L1009" s="50">
        <v>21</v>
      </c>
      <c r="M1009" s="50" t="s">
        <v>2327</v>
      </c>
      <c r="N1009" s="160" t="s">
        <v>2474</v>
      </c>
      <c r="O1009" s="50" t="s">
        <v>2469</v>
      </c>
    </row>
    <row r="1010" spans="2:15" x14ac:dyDescent="0.3">
      <c r="B1010" s="50">
        <v>55100055</v>
      </c>
      <c r="C1010" s="39">
        <v>1</v>
      </c>
      <c r="D1010" s="39"/>
      <c r="E1010" s="39"/>
      <c r="F1010" s="39"/>
      <c r="G1010" s="39">
        <v>1</v>
      </c>
      <c r="H1010" s="50">
        <v>55100055</v>
      </c>
      <c r="I1010" s="39" t="s">
        <v>186</v>
      </c>
      <c r="J1010" s="39">
        <v>21</v>
      </c>
      <c r="K1010" s="105">
        <v>1067552</v>
      </c>
      <c r="L1010" s="50">
        <v>21</v>
      </c>
      <c r="M1010" s="50" t="s">
        <v>2475</v>
      </c>
      <c r="N1010" s="160" t="s">
        <v>2476</v>
      </c>
      <c r="O1010" s="50" t="s">
        <v>2469</v>
      </c>
    </row>
    <row r="1011" spans="2:15" x14ac:dyDescent="0.3">
      <c r="B1011" s="50">
        <v>55100056</v>
      </c>
      <c r="C1011" s="39">
        <v>1</v>
      </c>
      <c r="D1011" s="39"/>
      <c r="E1011" s="39"/>
      <c r="F1011" s="39"/>
      <c r="G1011" s="39">
        <v>1</v>
      </c>
      <c r="H1011" s="50">
        <v>55100056</v>
      </c>
      <c r="I1011" s="39" t="s">
        <v>186</v>
      </c>
      <c r="J1011" s="39">
        <v>21</v>
      </c>
      <c r="K1011" s="105">
        <v>1067553</v>
      </c>
      <c r="L1011" s="50">
        <v>21</v>
      </c>
      <c r="M1011" s="50" t="s">
        <v>2477</v>
      </c>
      <c r="N1011" s="160" t="s">
        <v>2478</v>
      </c>
      <c r="O1011" s="50" t="s">
        <v>2469</v>
      </c>
    </row>
    <row r="1012" spans="2:15" ht="16.5" customHeight="1" x14ac:dyDescent="0.3">
      <c r="B1012" s="50">
        <v>55100057</v>
      </c>
      <c r="C1012" s="39">
        <v>1</v>
      </c>
      <c r="D1012" s="39"/>
      <c r="E1012" s="39"/>
      <c r="F1012" s="39"/>
      <c r="G1012" s="39">
        <v>1</v>
      </c>
      <c r="H1012" s="50">
        <v>55100057</v>
      </c>
      <c r="I1012" s="39" t="s">
        <v>186</v>
      </c>
      <c r="J1012" s="39">
        <v>21</v>
      </c>
      <c r="K1012" s="105">
        <v>1067554</v>
      </c>
      <c r="L1012" s="50">
        <v>21</v>
      </c>
      <c r="M1012" s="50" t="s">
        <v>2479</v>
      </c>
      <c r="N1012" s="160" t="s">
        <v>2480</v>
      </c>
      <c r="O1012" s="50" t="s">
        <v>2469</v>
      </c>
    </row>
    <row r="1013" spans="2:15" ht="16.5" customHeight="1" x14ac:dyDescent="0.3">
      <c r="B1013" s="50">
        <v>55100058</v>
      </c>
      <c r="C1013" s="39">
        <v>1</v>
      </c>
      <c r="D1013" s="39"/>
      <c r="E1013" s="39"/>
      <c r="F1013" s="39"/>
      <c r="G1013" s="39">
        <v>1</v>
      </c>
      <c r="H1013" s="50">
        <v>55100058</v>
      </c>
      <c r="I1013" s="39" t="s">
        <v>186</v>
      </c>
      <c r="J1013" s="39">
        <v>21</v>
      </c>
      <c r="K1013" s="105">
        <v>1067555</v>
      </c>
      <c r="L1013" s="50">
        <v>21</v>
      </c>
      <c r="M1013" s="50" t="s">
        <v>2481</v>
      </c>
      <c r="N1013" s="160" t="s">
        <v>2482</v>
      </c>
      <c r="O1013" s="50" t="s">
        <v>2469</v>
      </c>
    </row>
    <row r="1014" spans="2:15" ht="16.5" customHeight="1" x14ac:dyDescent="0.3">
      <c r="B1014" s="50">
        <v>55100059</v>
      </c>
      <c r="C1014" s="39">
        <v>1</v>
      </c>
      <c r="D1014" s="39"/>
      <c r="E1014" s="39"/>
      <c r="F1014" s="39"/>
      <c r="G1014" s="39">
        <v>1</v>
      </c>
      <c r="H1014" s="50">
        <v>55100059</v>
      </c>
      <c r="I1014" s="39" t="s">
        <v>186</v>
      </c>
      <c r="J1014" s="39">
        <v>21</v>
      </c>
      <c r="K1014" s="105">
        <v>1067561</v>
      </c>
      <c r="L1014" s="50">
        <v>21</v>
      </c>
      <c r="M1014" s="50" t="s">
        <v>2491</v>
      </c>
      <c r="N1014" s="160" t="s">
        <v>2492</v>
      </c>
      <c r="O1014" s="50" t="s">
        <v>2469</v>
      </c>
    </row>
    <row r="1015" spans="2:15" ht="16.5" customHeight="1" x14ac:dyDescent="0.3">
      <c r="B1015" s="50">
        <v>55100060</v>
      </c>
      <c r="C1015" s="39">
        <v>1</v>
      </c>
      <c r="D1015" s="39"/>
      <c r="E1015" s="39"/>
      <c r="F1015" s="39"/>
      <c r="G1015" s="39">
        <v>1</v>
      </c>
      <c r="H1015" s="50">
        <v>55100060</v>
      </c>
      <c r="I1015" s="39" t="s">
        <v>186</v>
      </c>
      <c r="J1015" s="39">
        <v>21</v>
      </c>
      <c r="K1015" s="105">
        <v>1067562</v>
      </c>
      <c r="L1015" s="50">
        <v>21</v>
      </c>
      <c r="M1015" s="50" t="s">
        <v>2493</v>
      </c>
      <c r="N1015" s="160" t="s">
        <v>2494</v>
      </c>
      <c r="O1015" s="50" t="s">
        <v>2469</v>
      </c>
    </row>
    <row r="1016" spans="2:15" ht="16.5" customHeight="1" x14ac:dyDescent="0.3">
      <c r="B1016" s="50">
        <v>55100061</v>
      </c>
      <c r="C1016" s="39">
        <v>1</v>
      </c>
      <c r="D1016" s="39"/>
      <c r="E1016" s="39"/>
      <c r="F1016" s="39"/>
      <c r="G1016" s="39">
        <v>1</v>
      </c>
      <c r="H1016" s="50">
        <v>55100061</v>
      </c>
      <c r="I1016" s="39" t="s">
        <v>186</v>
      </c>
      <c r="J1016" s="39">
        <v>21</v>
      </c>
      <c r="K1016" s="105">
        <v>1067563</v>
      </c>
      <c r="L1016" s="50">
        <v>21</v>
      </c>
      <c r="M1016" s="50" t="s">
        <v>1385</v>
      </c>
      <c r="N1016" s="160" t="s">
        <v>2495</v>
      </c>
      <c r="O1016" s="50" t="s">
        <v>2469</v>
      </c>
    </row>
    <row r="1017" spans="2:15" ht="16.5" customHeight="1" x14ac:dyDescent="0.3">
      <c r="B1017" s="50">
        <v>55100062</v>
      </c>
      <c r="C1017" s="39">
        <v>1</v>
      </c>
      <c r="D1017" s="39"/>
      <c r="E1017" s="39"/>
      <c r="F1017" s="39"/>
      <c r="G1017" s="39">
        <v>1</v>
      </c>
      <c r="H1017" s="50">
        <v>55100062</v>
      </c>
      <c r="I1017" s="39" t="s">
        <v>186</v>
      </c>
      <c r="J1017" s="39">
        <v>21</v>
      </c>
      <c r="K1017" s="105">
        <v>1067564</v>
      </c>
      <c r="L1017" s="50">
        <v>21</v>
      </c>
      <c r="M1017" s="50" t="s">
        <v>2496</v>
      </c>
      <c r="N1017" s="160" t="s">
        <v>2497</v>
      </c>
      <c r="O1017" s="50" t="s">
        <v>2469</v>
      </c>
    </row>
    <row r="1018" spans="2:15" ht="16.5" customHeight="1" x14ac:dyDescent="0.3">
      <c r="B1018" s="50">
        <v>55100063</v>
      </c>
      <c r="C1018" s="39">
        <v>1</v>
      </c>
      <c r="D1018" s="39"/>
      <c r="E1018" s="39"/>
      <c r="F1018" s="39"/>
      <c r="G1018" s="39">
        <v>1</v>
      </c>
      <c r="H1018" s="50">
        <v>55100063</v>
      </c>
      <c r="I1018" s="39" t="s">
        <v>186</v>
      </c>
      <c r="J1018" s="39">
        <v>21</v>
      </c>
      <c r="K1018" s="105">
        <v>1067565</v>
      </c>
      <c r="L1018" s="50">
        <v>21</v>
      </c>
      <c r="M1018" s="50" t="s">
        <v>2327</v>
      </c>
      <c r="N1018" s="160" t="s">
        <v>2498</v>
      </c>
      <c r="O1018" s="50" t="s">
        <v>2469</v>
      </c>
    </row>
    <row r="1019" spans="2:15" ht="16.5" customHeight="1" thickBot="1" x14ac:dyDescent="0.35">
      <c r="B1019" s="251">
        <v>55100064</v>
      </c>
      <c r="C1019" s="89">
        <v>1</v>
      </c>
      <c r="D1019" s="89"/>
      <c r="E1019" s="89"/>
      <c r="F1019" s="89"/>
      <c r="G1019" s="89">
        <v>1</v>
      </c>
      <c r="H1019" s="251">
        <v>55100064</v>
      </c>
      <c r="I1019" s="89" t="s">
        <v>186</v>
      </c>
      <c r="J1019" s="89">
        <v>21</v>
      </c>
      <c r="K1019" s="252">
        <v>1067566</v>
      </c>
      <c r="L1019" s="251">
        <v>21</v>
      </c>
      <c r="M1019" s="251" t="s">
        <v>2499</v>
      </c>
      <c r="N1019" s="253" t="s">
        <v>2500</v>
      </c>
      <c r="O1019" s="251" t="s">
        <v>2469</v>
      </c>
    </row>
    <row r="1020" spans="2:15" ht="16.5" customHeight="1" x14ac:dyDescent="0.3">
      <c r="B1020" s="50">
        <f t="shared" ref="B1020:B1076" si="85">H1020</f>
        <v>56000003</v>
      </c>
      <c r="C1020" s="93">
        <v>1</v>
      </c>
      <c r="D1020" s="93" t="s">
        <v>3047</v>
      </c>
      <c r="E1020" s="93">
        <v>0</v>
      </c>
      <c r="F1020" s="93" t="s">
        <v>3048</v>
      </c>
      <c r="G1020" s="93">
        <v>1</v>
      </c>
      <c r="H1020" s="50">
        <v>56000003</v>
      </c>
      <c r="I1020" s="93" t="s">
        <v>186</v>
      </c>
      <c r="J1020" s="93">
        <v>13</v>
      </c>
      <c r="K1020" s="105">
        <v>1400617</v>
      </c>
      <c r="L1020" s="50">
        <v>21</v>
      </c>
      <c r="M1020" s="50" t="s">
        <v>3052</v>
      </c>
      <c r="N1020" s="160" t="s">
        <v>3053</v>
      </c>
      <c r="O1020" s="50" t="s">
        <v>3054</v>
      </c>
    </row>
    <row r="1021" spans="2:15" ht="16.5" customHeight="1" x14ac:dyDescent="0.3">
      <c r="B1021" s="50">
        <f t="shared" si="85"/>
        <v>56000004</v>
      </c>
      <c r="C1021" s="48">
        <v>1</v>
      </c>
      <c r="D1021" s="48" t="s">
        <v>3047</v>
      </c>
      <c r="E1021" s="48">
        <v>0</v>
      </c>
      <c r="F1021" s="48" t="s">
        <v>3048</v>
      </c>
      <c r="G1021" s="48">
        <v>1</v>
      </c>
      <c r="H1021" s="50">
        <v>56000004</v>
      </c>
      <c r="I1021" s="48" t="s">
        <v>186</v>
      </c>
      <c r="J1021" s="48">
        <v>13</v>
      </c>
      <c r="K1021" s="105">
        <v>1400137</v>
      </c>
      <c r="L1021" s="50">
        <v>21</v>
      </c>
      <c r="M1021" s="50" t="s">
        <v>3049</v>
      </c>
      <c r="N1021" s="160" t="s">
        <v>3050</v>
      </c>
      <c r="O1021" s="50" t="s">
        <v>3051</v>
      </c>
    </row>
    <row r="1022" spans="2:15" ht="16.5" customHeight="1" x14ac:dyDescent="0.2">
      <c r="B1022" s="50">
        <f t="shared" si="85"/>
        <v>56100000</v>
      </c>
      <c r="C1022" s="39">
        <v>1</v>
      </c>
      <c r="D1022" s="39"/>
      <c r="E1022" s="39"/>
      <c r="F1022" s="39"/>
      <c r="G1022" s="39">
        <v>1</v>
      </c>
      <c r="H1022" s="50">
        <v>56100000</v>
      </c>
      <c r="I1022" s="21" t="s">
        <v>184</v>
      </c>
      <c r="J1022" s="39">
        <v>13</v>
      </c>
      <c r="K1022" s="105">
        <v>1033968</v>
      </c>
      <c r="L1022" s="50">
        <f>VLOOKUP(I1022,error,2,FALSE)</f>
        <v>5</v>
      </c>
      <c r="M1022" s="50" t="s">
        <v>2332</v>
      </c>
      <c r="N1022" s="50" t="s">
        <v>1107</v>
      </c>
      <c r="O1022" s="52" t="s">
        <v>1112</v>
      </c>
    </row>
    <row r="1023" spans="2:15" ht="16.5" customHeight="1" x14ac:dyDescent="0.2">
      <c r="B1023" s="50">
        <f t="shared" si="85"/>
        <v>56100001</v>
      </c>
      <c r="C1023" s="39">
        <v>1</v>
      </c>
      <c r="D1023" s="39"/>
      <c r="E1023" s="39"/>
      <c r="F1023" s="39"/>
      <c r="G1023" s="39">
        <v>1</v>
      </c>
      <c r="H1023" s="50">
        <v>56100001</v>
      </c>
      <c r="I1023" s="21" t="s">
        <v>184</v>
      </c>
      <c r="J1023" s="39">
        <v>13</v>
      </c>
      <c r="K1023" s="105">
        <v>1033969</v>
      </c>
      <c r="L1023" s="50">
        <f>VLOOKUP(I1023,error,2,FALSE)</f>
        <v>5</v>
      </c>
      <c r="M1023" s="50" t="s">
        <v>2333</v>
      </c>
      <c r="N1023" s="50" t="s">
        <v>1108</v>
      </c>
      <c r="O1023" s="52" t="s">
        <v>1113</v>
      </c>
    </row>
    <row r="1024" spans="2:15" ht="16.5" customHeight="1" x14ac:dyDescent="0.2">
      <c r="B1024" s="50">
        <f t="shared" si="85"/>
        <v>56100002</v>
      </c>
      <c r="C1024" s="39">
        <v>1</v>
      </c>
      <c r="D1024" s="39"/>
      <c r="E1024" s="39"/>
      <c r="F1024" s="39"/>
      <c r="G1024" s="39">
        <v>1</v>
      </c>
      <c r="H1024" s="50">
        <v>56100002</v>
      </c>
      <c r="I1024" s="21" t="s">
        <v>184</v>
      </c>
      <c r="J1024" s="39">
        <v>13</v>
      </c>
      <c r="K1024" s="105">
        <v>1033970</v>
      </c>
      <c r="L1024" s="50">
        <f>VLOOKUP(I1024,error,2,FALSE)</f>
        <v>5</v>
      </c>
      <c r="M1024" s="50" t="s">
        <v>2334</v>
      </c>
      <c r="N1024" s="50" t="s">
        <v>1109</v>
      </c>
      <c r="O1024" s="52" t="s">
        <v>1114</v>
      </c>
    </row>
    <row r="1025" spans="2:15" ht="16.5" customHeight="1" x14ac:dyDescent="0.2">
      <c r="B1025" s="50">
        <f t="shared" si="85"/>
        <v>56100003</v>
      </c>
      <c r="C1025" s="39">
        <v>1</v>
      </c>
      <c r="D1025" s="39"/>
      <c r="E1025" s="39"/>
      <c r="F1025" s="39"/>
      <c r="G1025" s="39">
        <v>1</v>
      </c>
      <c r="H1025" s="50">
        <v>56100003</v>
      </c>
      <c r="I1025" s="21" t="s">
        <v>184</v>
      </c>
      <c r="J1025" s="39">
        <v>13</v>
      </c>
      <c r="K1025" s="105">
        <v>1033971</v>
      </c>
      <c r="L1025" s="50">
        <f>VLOOKUP(I1025,error,2,FALSE)</f>
        <v>5</v>
      </c>
      <c r="M1025" s="50" t="s">
        <v>2335</v>
      </c>
      <c r="N1025" s="50" t="s">
        <v>1110</v>
      </c>
      <c r="O1025" s="52" t="s">
        <v>1115</v>
      </c>
    </row>
    <row r="1026" spans="2:15" ht="16.5" customHeight="1" x14ac:dyDescent="0.2">
      <c r="B1026" s="50">
        <f t="shared" si="85"/>
        <v>56100004</v>
      </c>
      <c r="C1026" s="39">
        <v>1</v>
      </c>
      <c r="D1026" s="39"/>
      <c r="E1026" s="39"/>
      <c r="F1026" s="39"/>
      <c r="G1026" s="39">
        <v>1</v>
      </c>
      <c r="H1026" s="50">
        <v>56100004</v>
      </c>
      <c r="I1026" s="21" t="s">
        <v>184</v>
      </c>
      <c r="J1026" s="39">
        <v>13</v>
      </c>
      <c r="K1026" s="105">
        <v>1033978</v>
      </c>
      <c r="L1026" s="50">
        <f>VLOOKUP(I1026,error,2,FALSE)</f>
        <v>5</v>
      </c>
      <c r="M1026" s="50" t="s">
        <v>2336</v>
      </c>
      <c r="N1026" s="50" t="s">
        <v>1111</v>
      </c>
      <c r="O1026" s="52" t="s">
        <v>1116</v>
      </c>
    </row>
    <row r="1027" spans="2:15" ht="16.5" customHeight="1" x14ac:dyDescent="0.2">
      <c r="B1027" s="50">
        <f t="shared" si="85"/>
        <v>56200000</v>
      </c>
      <c r="C1027" s="39">
        <v>1</v>
      </c>
      <c r="D1027" s="39"/>
      <c r="E1027" s="39"/>
      <c r="F1027" s="39"/>
      <c r="G1027" s="39">
        <v>1</v>
      </c>
      <c r="H1027" s="50">
        <v>56200000</v>
      </c>
      <c r="I1027" s="21" t="s">
        <v>188</v>
      </c>
      <c r="J1027" s="39">
        <v>31</v>
      </c>
      <c r="K1027" s="105">
        <v>1100005</v>
      </c>
      <c r="L1027" s="50">
        <v>21</v>
      </c>
      <c r="M1027" s="50" t="s">
        <v>2337</v>
      </c>
      <c r="N1027" s="50" t="s">
        <v>1565</v>
      </c>
      <c r="O1027" s="50" t="s">
        <v>1564</v>
      </c>
    </row>
    <row r="1028" spans="2:15" ht="16.5" customHeight="1" x14ac:dyDescent="0.2">
      <c r="B1028" s="50">
        <f t="shared" si="85"/>
        <v>56200001</v>
      </c>
      <c r="C1028" s="39">
        <v>1</v>
      </c>
      <c r="D1028" s="39"/>
      <c r="E1028" s="39"/>
      <c r="F1028" s="39"/>
      <c r="G1028" s="39">
        <v>1</v>
      </c>
      <c r="H1028" s="50">
        <v>56200001</v>
      </c>
      <c r="I1028" s="21" t="s">
        <v>188</v>
      </c>
      <c r="J1028" s="39">
        <v>31</v>
      </c>
      <c r="K1028" s="105">
        <v>1100006</v>
      </c>
      <c r="L1028" s="50">
        <v>21</v>
      </c>
      <c r="M1028" s="52" t="s">
        <v>2338</v>
      </c>
      <c r="N1028" s="50" t="s">
        <v>1566</v>
      </c>
      <c r="O1028" s="52" t="s">
        <v>1577</v>
      </c>
    </row>
    <row r="1029" spans="2:15" ht="16.5" customHeight="1" x14ac:dyDescent="0.2">
      <c r="B1029" s="50">
        <f t="shared" si="85"/>
        <v>56200002</v>
      </c>
      <c r="C1029" s="39">
        <v>1</v>
      </c>
      <c r="D1029" s="39"/>
      <c r="E1029" s="39"/>
      <c r="F1029" s="39"/>
      <c r="G1029" s="39">
        <v>1</v>
      </c>
      <c r="H1029" s="50">
        <v>56200002</v>
      </c>
      <c r="I1029" s="21" t="s">
        <v>188</v>
      </c>
      <c r="J1029" s="39">
        <v>31</v>
      </c>
      <c r="K1029" s="105">
        <v>1100007</v>
      </c>
      <c r="L1029" s="50">
        <v>21</v>
      </c>
      <c r="M1029" s="52" t="s">
        <v>2339</v>
      </c>
      <c r="N1029" s="50" t="s">
        <v>1567</v>
      </c>
      <c r="O1029" s="52" t="s">
        <v>1578</v>
      </c>
    </row>
    <row r="1030" spans="2:15" ht="16.5" customHeight="1" x14ac:dyDescent="0.2">
      <c r="B1030" s="50">
        <f t="shared" si="85"/>
        <v>56200003</v>
      </c>
      <c r="C1030" s="39">
        <v>1</v>
      </c>
      <c r="D1030" s="39"/>
      <c r="E1030" s="39"/>
      <c r="F1030" s="39"/>
      <c r="G1030" s="39">
        <v>1</v>
      </c>
      <c r="H1030" s="50">
        <v>56200003</v>
      </c>
      <c r="I1030" s="21" t="s">
        <v>188</v>
      </c>
      <c r="J1030" s="39">
        <v>31</v>
      </c>
      <c r="K1030" s="105">
        <v>1100008</v>
      </c>
      <c r="L1030" s="50">
        <v>21</v>
      </c>
      <c r="M1030" s="52" t="s">
        <v>2340</v>
      </c>
      <c r="N1030" s="50" t="s">
        <v>1568</v>
      </c>
      <c r="O1030" s="52" t="s">
        <v>1579</v>
      </c>
    </row>
    <row r="1031" spans="2:15" ht="16.5" customHeight="1" x14ac:dyDescent="0.2">
      <c r="B1031" s="50">
        <f t="shared" si="85"/>
        <v>56200004</v>
      </c>
      <c r="C1031" s="39">
        <v>1</v>
      </c>
      <c r="D1031" s="39"/>
      <c r="E1031" s="39"/>
      <c r="F1031" s="39"/>
      <c r="G1031" s="39">
        <v>1</v>
      </c>
      <c r="H1031" s="50">
        <v>56200004</v>
      </c>
      <c r="I1031" s="21" t="s">
        <v>188</v>
      </c>
      <c r="J1031" s="39">
        <v>31</v>
      </c>
      <c r="K1031" s="105">
        <v>1100009</v>
      </c>
      <c r="L1031" s="50">
        <v>21</v>
      </c>
      <c r="M1031" s="52" t="s">
        <v>2341</v>
      </c>
      <c r="N1031" s="50" t="s">
        <v>1569</v>
      </c>
      <c r="O1031" s="52" t="s">
        <v>1580</v>
      </c>
    </row>
    <row r="1032" spans="2:15" ht="16.5" customHeight="1" x14ac:dyDescent="0.2">
      <c r="B1032" s="50">
        <f t="shared" si="85"/>
        <v>56200005</v>
      </c>
      <c r="C1032" s="39">
        <v>1</v>
      </c>
      <c r="D1032" s="39"/>
      <c r="E1032" s="39"/>
      <c r="F1032" s="39"/>
      <c r="G1032" s="39">
        <v>1</v>
      </c>
      <c r="H1032" s="50">
        <v>56200005</v>
      </c>
      <c r="I1032" s="21" t="s">
        <v>188</v>
      </c>
      <c r="J1032" s="39">
        <v>31</v>
      </c>
      <c r="K1032" s="105">
        <v>1100010</v>
      </c>
      <c r="L1032" s="50">
        <v>21</v>
      </c>
      <c r="M1032" s="52" t="s">
        <v>2342</v>
      </c>
      <c r="N1032" s="50" t="s">
        <v>1570</v>
      </c>
      <c r="O1032" s="52" t="s">
        <v>1581</v>
      </c>
    </row>
    <row r="1033" spans="2:15" ht="16.5" customHeight="1" x14ac:dyDescent="0.2">
      <c r="B1033" s="50">
        <f t="shared" si="85"/>
        <v>56200006</v>
      </c>
      <c r="C1033" s="39">
        <v>1</v>
      </c>
      <c r="D1033" s="39"/>
      <c r="E1033" s="39"/>
      <c r="F1033" s="39"/>
      <c r="G1033" s="39">
        <v>1</v>
      </c>
      <c r="H1033" s="50">
        <v>56200006</v>
      </c>
      <c r="I1033" s="21" t="s">
        <v>188</v>
      </c>
      <c r="J1033" s="39">
        <v>31</v>
      </c>
      <c r="K1033" s="105">
        <v>1100011</v>
      </c>
      <c r="L1033" s="50">
        <v>21</v>
      </c>
      <c r="M1033" s="52" t="s">
        <v>2343</v>
      </c>
      <c r="N1033" s="50" t="s">
        <v>1571</v>
      </c>
      <c r="O1033" s="52" t="s">
        <v>1582</v>
      </c>
    </row>
    <row r="1034" spans="2:15" ht="16.5" customHeight="1" x14ac:dyDescent="0.2">
      <c r="B1034" s="50">
        <f t="shared" si="85"/>
        <v>56200007</v>
      </c>
      <c r="C1034" s="39">
        <v>1</v>
      </c>
      <c r="D1034" s="39"/>
      <c r="E1034" s="39"/>
      <c r="F1034" s="39"/>
      <c r="G1034" s="39">
        <v>1</v>
      </c>
      <c r="H1034" s="50">
        <v>56200007</v>
      </c>
      <c r="I1034" s="21" t="s">
        <v>188</v>
      </c>
      <c r="J1034" s="39">
        <v>31</v>
      </c>
      <c r="K1034" s="105">
        <v>1100012</v>
      </c>
      <c r="L1034" s="50">
        <v>21</v>
      </c>
      <c r="M1034" s="52" t="s">
        <v>1949</v>
      </c>
      <c r="N1034" s="50" t="s">
        <v>1572</v>
      </c>
      <c r="O1034" s="52" t="s">
        <v>1583</v>
      </c>
    </row>
    <row r="1035" spans="2:15" ht="16.5" customHeight="1" x14ac:dyDescent="0.2">
      <c r="B1035" s="50">
        <f t="shared" si="85"/>
        <v>56200008</v>
      </c>
      <c r="C1035" s="39">
        <v>1</v>
      </c>
      <c r="D1035" s="39"/>
      <c r="E1035" s="39"/>
      <c r="F1035" s="39"/>
      <c r="G1035" s="39">
        <v>1</v>
      </c>
      <c r="H1035" s="50">
        <v>56200008</v>
      </c>
      <c r="I1035" s="21" t="s">
        <v>188</v>
      </c>
      <c r="J1035" s="39">
        <v>31</v>
      </c>
      <c r="K1035" s="105">
        <v>1100013</v>
      </c>
      <c r="L1035" s="50">
        <v>21</v>
      </c>
      <c r="M1035" s="52" t="s">
        <v>2344</v>
      </c>
      <c r="N1035" s="50" t="s">
        <v>1573</v>
      </c>
      <c r="O1035" s="52" t="s">
        <v>1584</v>
      </c>
    </row>
    <row r="1036" spans="2:15" ht="16.5" customHeight="1" x14ac:dyDescent="0.2">
      <c r="B1036" s="50">
        <f t="shared" si="85"/>
        <v>56200009</v>
      </c>
      <c r="C1036" s="39">
        <v>1</v>
      </c>
      <c r="D1036" s="39"/>
      <c r="E1036" s="39"/>
      <c r="F1036" s="39"/>
      <c r="G1036" s="39">
        <v>1</v>
      </c>
      <c r="H1036" s="50">
        <v>56200009</v>
      </c>
      <c r="I1036" s="21" t="s">
        <v>188</v>
      </c>
      <c r="J1036" s="39">
        <v>31</v>
      </c>
      <c r="K1036" s="105">
        <v>1100014</v>
      </c>
      <c r="L1036" s="50">
        <v>21</v>
      </c>
      <c r="M1036" s="52" t="s">
        <v>2345</v>
      </c>
      <c r="N1036" s="50" t="s">
        <v>1574</v>
      </c>
      <c r="O1036" s="52" t="s">
        <v>1585</v>
      </c>
    </row>
    <row r="1037" spans="2:15" ht="16.5" customHeight="1" x14ac:dyDescent="0.2">
      <c r="B1037" s="50">
        <f t="shared" si="85"/>
        <v>56200010</v>
      </c>
      <c r="C1037" s="39">
        <v>1</v>
      </c>
      <c r="D1037" s="39"/>
      <c r="E1037" s="39"/>
      <c r="F1037" s="39"/>
      <c r="G1037" s="39">
        <v>1</v>
      </c>
      <c r="H1037" s="50">
        <v>56200010</v>
      </c>
      <c r="I1037" s="21" t="s">
        <v>188</v>
      </c>
      <c r="J1037" s="39">
        <v>31</v>
      </c>
      <c r="K1037" s="105">
        <v>1100015</v>
      </c>
      <c r="L1037" s="50">
        <v>21</v>
      </c>
      <c r="M1037" s="52" t="s">
        <v>2346</v>
      </c>
      <c r="N1037" s="50" t="s">
        <v>1575</v>
      </c>
      <c r="O1037" s="52" t="s">
        <v>1586</v>
      </c>
    </row>
    <row r="1038" spans="2:15" ht="16.5" customHeight="1" x14ac:dyDescent="0.2">
      <c r="B1038" s="50">
        <f t="shared" si="85"/>
        <v>56200011</v>
      </c>
      <c r="C1038" s="39">
        <v>1</v>
      </c>
      <c r="D1038" s="39"/>
      <c r="E1038" s="39"/>
      <c r="F1038" s="39"/>
      <c r="G1038" s="39">
        <v>1</v>
      </c>
      <c r="H1038" s="50">
        <v>56200011</v>
      </c>
      <c r="I1038" s="21" t="s">
        <v>188</v>
      </c>
      <c r="J1038" s="39">
        <v>31</v>
      </c>
      <c r="K1038" s="105">
        <v>1100016</v>
      </c>
      <c r="L1038" s="50">
        <v>21</v>
      </c>
      <c r="M1038" s="52" t="s">
        <v>1948</v>
      </c>
      <c r="N1038" s="50" t="s">
        <v>1576</v>
      </c>
      <c r="O1038" s="52" t="s">
        <v>1587</v>
      </c>
    </row>
    <row r="1039" spans="2:15" ht="16.5" customHeight="1" x14ac:dyDescent="0.2">
      <c r="B1039" s="50">
        <f t="shared" si="85"/>
        <v>56200012</v>
      </c>
      <c r="C1039" s="39">
        <v>1</v>
      </c>
      <c r="D1039" s="39"/>
      <c r="E1039" s="39"/>
      <c r="F1039" s="39"/>
      <c r="G1039" s="39">
        <v>1</v>
      </c>
      <c r="H1039" s="50">
        <v>56200012</v>
      </c>
      <c r="I1039" s="21" t="s">
        <v>186</v>
      </c>
      <c r="J1039" s="39">
        <v>21</v>
      </c>
      <c r="K1039" s="105">
        <v>1053050</v>
      </c>
      <c r="L1039" s="50">
        <f>VLOOKUP(I1039,error,2,FALSE)</f>
        <v>21</v>
      </c>
      <c r="M1039" s="52" t="s">
        <v>2422</v>
      </c>
      <c r="N1039" s="50" t="s">
        <v>2423</v>
      </c>
      <c r="O1039" s="52" t="s">
        <v>2424</v>
      </c>
    </row>
    <row r="1040" spans="2:15" ht="16.5" customHeight="1" x14ac:dyDescent="0.2">
      <c r="B1040" s="50">
        <f t="shared" si="85"/>
        <v>56200013</v>
      </c>
      <c r="C1040" s="39">
        <v>1</v>
      </c>
      <c r="D1040" s="39"/>
      <c r="E1040" s="39"/>
      <c r="F1040" s="39"/>
      <c r="G1040" s="39">
        <v>1</v>
      </c>
      <c r="H1040" s="50">
        <v>56200013</v>
      </c>
      <c r="I1040" s="21" t="s">
        <v>186</v>
      </c>
      <c r="J1040" s="39">
        <v>21</v>
      </c>
      <c r="K1040" s="105">
        <v>1053051</v>
      </c>
      <c r="L1040" s="50">
        <f>VLOOKUP(I1040,error,2,FALSE)</f>
        <v>21</v>
      </c>
      <c r="M1040" s="52" t="s">
        <v>2425</v>
      </c>
      <c r="N1040" s="50" t="s">
        <v>2426</v>
      </c>
      <c r="O1040" s="52" t="s">
        <v>2427</v>
      </c>
    </row>
    <row r="1041" spans="2:15" ht="16.5" customHeight="1" x14ac:dyDescent="0.2">
      <c r="B1041" s="50">
        <f t="shared" si="85"/>
        <v>56200014</v>
      </c>
      <c r="C1041" s="39">
        <v>1</v>
      </c>
      <c r="D1041" s="39"/>
      <c r="E1041" s="39"/>
      <c r="F1041" s="39"/>
      <c r="G1041" s="39">
        <v>1</v>
      </c>
      <c r="H1041" s="50">
        <v>56200014</v>
      </c>
      <c r="I1041" s="21" t="s">
        <v>186</v>
      </c>
      <c r="J1041" s="39">
        <v>21</v>
      </c>
      <c r="K1041" s="105">
        <v>1053053</v>
      </c>
      <c r="L1041" s="50">
        <f>VLOOKUP(I1041,error,2,FALSE)</f>
        <v>21</v>
      </c>
      <c r="M1041" s="52" t="s">
        <v>2428</v>
      </c>
      <c r="N1041" s="50" t="s">
        <v>2429</v>
      </c>
      <c r="O1041" s="52" t="s">
        <v>2430</v>
      </c>
    </row>
    <row r="1042" spans="2:15" ht="16.5" customHeight="1" x14ac:dyDescent="0.2">
      <c r="B1042" s="50">
        <f t="shared" ref="B1042" si="86">H1042</f>
        <v>56200017</v>
      </c>
      <c r="C1042" s="39">
        <v>1</v>
      </c>
      <c r="D1042" s="39"/>
      <c r="E1042" s="39"/>
      <c r="F1042" s="39"/>
      <c r="G1042" s="39">
        <v>1</v>
      </c>
      <c r="H1042" s="50">
        <v>56200017</v>
      </c>
      <c r="I1042" s="21" t="s">
        <v>186</v>
      </c>
      <c r="J1042" s="39">
        <v>21</v>
      </c>
      <c r="K1042" s="105">
        <v>2610024</v>
      </c>
      <c r="L1042" s="50">
        <f>VLOOKUP(I1042,error,2,FALSE)</f>
        <v>21</v>
      </c>
      <c r="M1042" s="52" t="s">
        <v>3219</v>
      </c>
      <c r="N1042" s="50" t="s">
        <v>3220</v>
      </c>
      <c r="O1042" s="52"/>
    </row>
    <row r="1043" spans="2:15" x14ac:dyDescent="0.3">
      <c r="B1043" s="50">
        <f t="shared" si="85"/>
        <v>60000000</v>
      </c>
      <c r="C1043" s="39">
        <v>1</v>
      </c>
      <c r="D1043" s="39"/>
      <c r="E1043" s="39"/>
      <c r="F1043" s="39"/>
      <c r="G1043" s="39">
        <v>1</v>
      </c>
      <c r="H1043" s="50">
        <v>60000000</v>
      </c>
      <c r="I1043" s="39" t="s">
        <v>186</v>
      </c>
      <c r="J1043" s="39">
        <v>13</v>
      </c>
      <c r="K1043" s="105">
        <v>1065301</v>
      </c>
      <c r="L1043" s="50">
        <v>21</v>
      </c>
      <c r="M1043" s="50" t="s">
        <v>1667</v>
      </c>
      <c r="N1043" s="50" t="s">
        <v>1668</v>
      </c>
    </row>
    <row r="1044" spans="2:15" x14ac:dyDescent="0.3">
      <c r="B1044" s="50">
        <f t="shared" si="85"/>
        <v>60000001</v>
      </c>
      <c r="C1044" s="39">
        <v>1</v>
      </c>
      <c r="D1044" s="39"/>
      <c r="E1044" s="39"/>
      <c r="F1044" s="39"/>
      <c r="G1044" s="39">
        <v>1</v>
      </c>
      <c r="H1044" s="50">
        <v>60000001</v>
      </c>
      <c r="I1044" s="39" t="s">
        <v>186</v>
      </c>
      <c r="J1044" s="39">
        <v>13</v>
      </c>
      <c r="K1044" s="105">
        <v>1065302</v>
      </c>
      <c r="L1044" s="50">
        <v>21</v>
      </c>
      <c r="M1044" s="50" t="s">
        <v>1669</v>
      </c>
      <c r="N1044" s="50" t="s">
        <v>1670</v>
      </c>
    </row>
    <row r="1045" spans="2:15" x14ac:dyDescent="0.3">
      <c r="B1045" s="50">
        <f t="shared" si="85"/>
        <v>60000003</v>
      </c>
      <c r="C1045" s="39">
        <v>1</v>
      </c>
      <c r="D1045" s="39"/>
      <c r="E1045" s="39"/>
      <c r="F1045" s="39"/>
      <c r="G1045" s="39">
        <v>1</v>
      </c>
      <c r="H1045" s="50">
        <v>60000003</v>
      </c>
      <c r="I1045" s="39" t="s">
        <v>186</v>
      </c>
      <c r="J1045" s="39">
        <v>13</v>
      </c>
      <c r="K1045" s="105">
        <v>1065303</v>
      </c>
      <c r="L1045" s="50">
        <v>21</v>
      </c>
      <c r="M1045" s="50" t="s">
        <v>1892</v>
      </c>
      <c r="N1045" s="50" t="s">
        <v>1671</v>
      </c>
    </row>
    <row r="1046" spans="2:15" x14ac:dyDescent="0.3">
      <c r="B1046" s="50">
        <f t="shared" si="85"/>
        <v>60000006</v>
      </c>
      <c r="C1046" s="39">
        <v>1</v>
      </c>
      <c r="D1046" s="39"/>
      <c r="E1046" s="39"/>
      <c r="F1046" s="39"/>
      <c r="G1046" s="39">
        <v>1</v>
      </c>
      <c r="H1046" s="50">
        <v>60000006</v>
      </c>
      <c r="I1046" s="39" t="s">
        <v>186</v>
      </c>
      <c r="J1046" s="39">
        <v>13</v>
      </c>
      <c r="K1046" s="105">
        <v>1065304</v>
      </c>
      <c r="L1046" s="50">
        <v>21</v>
      </c>
      <c r="M1046" s="50" t="s">
        <v>1672</v>
      </c>
      <c r="N1046" s="50" t="s">
        <v>1673</v>
      </c>
    </row>
    <row r="1047" spans="2:15" x14ac:dyDescent="0.3">
      <c r="B1047" s="50">
        <f t="shared" si="85"/>
        <v>60000007</v>
      </c>
      <c r="C1047" s="39">
        <v>1</v>
      </c>
      <c r="D1047" s="39"/>
      <c r="E1047" s="39"/>
      <c r="F1047" s="39"/>
      <c r="G1047" s="39">
        <v>1</v>
      </c>
      <c r="H1047" s="50">
        <v>60000007</v>
      </c>
      <c r="I1047" s="39" t="s">
        <v>186</v>
      </c>
      <c r="J1047" s="39">
        <v>13</v>
      </c>
      <c r="K1047" s="105">
        <v>1065305</v>
      </c>
      <c r="L1047" s="50">
        <v>21</v>
      </c>
      <c r="M1047" s="50" t="s">
        <v>1674</v>
      </c>
      <c r="N1047" s="50" t="s">
        <v>1675</v>
      </c>
    </row>
    <row r="1048" spans="2:15" x14ac:dyDescent="0.3">
      <c r="B1048" s="50">
        <f t="shared" si="85"/>
        <v>60000008</v>
      </c>
      <c r="C1048" s="39">
        <v>1</v>
      </c>
      <c r="D1048" s="39"/>
      <c r="E1048" s="39"/>
      <c r="F1048" s="39"/>
      <c r="G1048" s="39">
        <v>1</v>
      </c>
      <c r="H1048" s="50">
        <v>60000008</v>
      </c>
      <c r="I1048" s="39" t="s">
        <v>186</v>
      </c>
      <c r="J1048" s="39">
        <v>13</v>
      </c>
      <c r="K1048" s="105">
        <v>1065306</v>
      </c>
      <c r="L1048" s="50">
        <v>21</v>
      </c>
      <c r="M1048" s="50" t="s">
        <v>1893</v>
      </c>
      <c r="N1048" s="50" t="s">
        <v>1676</v>
      </c>
    </row>
    <row r="1049" spans="2:15" x14ac:dyDescent="0.3">
      <c r="B1049" s="50">
        <f t="shared" si="85"/>
        <v>60000010</v>
      </c>
      <c r="C1049" s="39">
        <v>1</v>
      </c>
      <c r="D1049" s="39"/>
      <c r="E1049" s="39"/>
      <c r="F1049" s="39"/>
      <c r="G1049" s="39">
        <v>1</v>
      </c>
      <c r="H1049" s="50">
        <v>60000010</v>
      </c>
      <c r="I1049" s="39" t="s">
        <v>186</v>
      </c>
      <c r="J1049" s="39">
        <v>13</v>
      </c>
      <c r="K1049" s="105">
        <v>1065307</v>
      </c>
      <c r="L1049" s="50">
        <v>21</v>
      </c>
      <c r="M1049" s="50" t="s">
        <v>1677</v>
      </c>
      <c r="N1049" s="50" t="s">
        <v>1678</v>
      </c>
    </row>
    <row r="1050" spans="2:15" x14ac:dyDescent="0.3">
      <c r="B1050" s="50">
        <f t="shared" si="85"/>
        <v>60000011</v>
      </c>
      <c r="C1050" s="39">
        <v>1</v>
      </c>
      <c r="D1050" s="39"/>
      <c r="E1050" s="39"/>
      <c r="F1050" s="39"/>
      <c r="G1050" s="39">
        <v>1</v>
      </c>
      <c r="H1050" s="50">
        <v>60000011</v>
      </c>
      <c r="I1050" s="39" t="s">
        <v>186</v>
      </c>
      <c r="J1050" s="39">
        <v>13</v>
      </c>
      <c r="K1050" s="105">
        <v>1065308</v>
      </c>
      <c r="L1050" s="50">
        <v>21</v>
      </c>
      <c r="M1050" s="50" t="s">
        <v>1679</v>
      </c>
      <c r="N1050" s="50" t="s">
        <v>1680</v>
      </c>
    </row>
    <row r="1051" spans="2:15" x14ac:dyDescent="0.3">
      <c r="B1051" s="50">
        <f t="shared" si="85"/>
        <v>60000012</v>
      </c>
      <c r="C1051" s="39">
        <v>1</v>
      </c>
      <c r="D1051" s="39"/>
      <c r="E1051" s="39"/>
      <c r="F1051" s="39"/>
      <c r="G1051" s="39">
        <v>1</v>
      </c>
      <c r="H1051" s="50">
        <v>60000012</v>
      </c>
      <c r="I1051" s="39" t="s">
        <v>186</v>
      </c>
      <c r="J1051" s="39">
        <v>13</v>
      </c>
      <c r="K1051" s="105">
        <v>1065309</v>
      </c>
      <c r="L1051" s="50">
        <v>21</v>
      </c>
      <c r="M1051" s="50" t="s">
        <v>1681</v>
      </c>
      <c r="N1051" s="50" t="s">
        <v>1682</v>
      </c>
    </row>
    <row r="1052" spans="2:15" x14ac:dyDescent="0.3">
      <c r="B1052" s="50">
        <f t="shared" si="85"/>
        <v>60000013</v>
      </c>
      <c r="C1052" s="39">
        <v>1</v>
      </c>
      <c r="D1052" s="39"/>
      <c r="E1052" s="39"/>
      <c r="F1052" s="39"/>
      <c r="G1052" s="39">
        <v>1</v>
      </c>
      <c r="H1052" s="50">
        <v>60000013</v>
      </c>
      <c r="I1052" s="39" t="s">
        <v>186</v>
      </c>
      <c r="J1052" s="39">
        <v>13</v>
      </c>
      <c r="K1052" s="105">
        <v>1065310</v>
      </c>
      <c r="L1052" s="50">
        <v>21</v>
      </c>
      <c r="M1052" s="50" t="s">
        <v>1683</v>
      </c>
      <c r="N1052" s="50" t="s">
        <v>1684</v>
      </c>
    </row>
    <row r="1053" spans="2:15" x14ac:dyDescent="0.3">
      <c r="B1053" s="50">
        <f t="shared" si="85"/>
        <v>60000014</v>
      </c>
      <c r="C1053" s="39">
        <v>1</v>
      </c>
      <c r="D1053" s="39"/>
      <c r="E1053" s="39"/>
      <c r="F1053" s="39"/>
      <c r="G1053" s="39">
        <v>1</v>
      </c>
      <c r="H1053" s="50">
        <v>60000014</v>
      </c>
      <c r="I1053" s="39" t="s">
        <v>186</v>
      </c>
      <c r="J1053" s="39">
        <v>13</v>
      </c>
      <c r="K1053" s="105">
        <v>1065311</v>
      </c>
      <c r="L1053" s="50">
        <v>21</v>
      </c>
      <c r="M1053" s="50" t="s">
        <v>1685</v>
      </c>
      <c r="N1053" s="50" t="s">
        <v>1686</v>
      </c>
    </row>
    <row r="1054" spans="2:15" x14ac:dyDescent="0.3">
      <c r="B1054" s="50">
        <f t="shared" si="85"/>
        <v>60000015</v>
      </c>
      <c r="C1054" s="39">
        <v>1</v>
      </c>
      <c r="D1054" s="39"/>
      <c r="E1054" s="39"/>
      <c r="F1054" s="39"/>
      <c r="G1054" s="39">
        <v>1</v>
      </c>
      <c r="H1054" s="50">
        <v>60000015</v>
      </c>
      <c r="I1054" s="39" t="s">
        <v>186</v>
      </c>
      <c r="J1054" s="39">
        <v>13</v>
      </c>
      <c r="K1054" s="105">
        <v>1065325</v>
      </c>
      <c r="L1054" s="50">
        <v>21</v>
      </c>
      <c r="M1054" s="50" t="s">
        <v>2390</v>
      </c>
      <c r="N1054" s="50" t="s">
        <v>1898</v>
      </c>
    </row>
    <row r="1055" spans="2:15" x14ac:dyDescent="0.3">
      <c r="B1055" s="50">
        <f t="shared" si="85"/>
        <v>60000019</v>
      </c>
      <c r="C1055" s="39">
        <v>1</v>
      </c>
      <c r="D1055" s="39"/>
      <c r="E1055" s="39"/>
      <c r="F1055" s="39"/>
      <c r="G1055" s="39">
        <v>1</v>
      </c>
      <c r="H1055" s="50">
        <v>60000019</v>
      </c>
      <c r="I1055" s="39" t="s">
        <v>186</v>
      </c>
      <c r="J1055" s="39">
        <v>13</v>
      </c>
      <c r="K1055" s="105">
        <v>1065326</v>
      </c>
      <c r="L1055" s="50">
        <v>21</v>
      </c>
      <c r="M1055" s="50" t="s">
        <v>2391</v>
      </c>
      <c r="N1055" s="50" t="s">
        <v>1899</v>
      </c>
    </row>
    <row r="1056" spans="2:15" x14ac:dyDescent="0.3">
      <c r="B1056" s="50">
        <f t="shared" si="85"/>
        <v>60000020</v>
      </c>
      <c r="C1056" s="39">
        <v>1</v>
      </c>
      <c r="D1056" s="39"/>
      <c r="E1056" s="39"/>
      <c r="F1056" s="39"/>
      <c r="G1056" s="39">
        <v>1</v>
      </c>
      <c r="H1056" s="50">
        <v>60000020</v>
      </c>
      <c r="I1056" s="39" t="s">
        <v>186</v>
      </c>
      <c r="J1056" s="39">
        <v>13</v>
      </c>
      <c r="K1056" s="105">
        <v>1065312</v>
      </c>
      <c r="L1056" s="50">
        <v>21</v>
      </c>
      <c r="M1056" s="50" t="s">
        <v>1894</v>
      </c>
      <c r="N1056" s="50" t="s">
        <v>1687</v>
      </c>
    </row>
    <row r="1057" spans="2:15" x14ac:dyDescent="0.3">
      <c r="B1057" s="50">
        <f t="shared" si="85"/>
        <v>60000021</v>
      </c>
      <c r="C1057" s="39">
        <v>1</v>
      </c>
      <c r="D1057" s="39"/>
      <c r="E1057" s="39"/>
      <c r="F1057" s="39"/>
      <c r="G1057" s="39">
        <v>1</v>
      </c>
      <c r="H1057" s="50">
        <v>60000021</v>
      </c>
      <c r="I1057" s="39" t="s">
        <v>186</v>
      </c>
      <c r="J1057" s="39">
        <v>13</v>
      </c>
      <c r="K1057" s="105">
        <v>1065313</v>
      </c>
      <c r="L1057" s="50">
        <v>21</v>
      </c>
      <c r="M1057" s="50" t="s">
        <v>1688</v>
      </c>
      <c r="N1057" s="50" t="s">
        <v>1689</v>
      </c>
    </row>
    <row r="1058" spans="2:15" x14ac:dyDescent="0.3">
      <c r="B1058" s="50">
        <f t="shared" si="85"/>
        <v>60000022</v>
      </c>
      <c r="C1058" s="39">
        <v>1</v>
      </c>
      <c r="D1058" s="39"/>
      <c r="E1058" s="39"/>
      <c r="F1058" s="39"/>
      <c r="G1058" s="39">
        <v>1</v>
      </c>
      <c r="H1058" s="50">
        <v>60000022</v>
      </c>
      <c r="I1058" s="39" t="s">
        <v>186</v>
      </c>
      <c r="J1058" s="39">
        <v>13</v>
      </c>
      <c r="K1058" s="105">
        <v>1065327</v>
      </c>
      <c r="L1058" s="50">
        <v>21</v>
      </c>
      <c r="M1058" s="50" t="s">
        <v>2392</v>
      </c>
      <c r="N1058" s="50" t="s">
        <v>1900</v>
      </c>
    </row>
    <row r="1059" spans="2:15" x14ac:dyDescent="0.3">
      <c r="B1059" s="50">
        <f t="shared" si="85"/>
        <v>60000024</v>
      </c>
      <c r="C1059" s="39">
        <v>1</v>
      </c>
      <c r="D1059" s="39"/>
      <c r="E1059" s="39"/>
      <c r="F1059" s="39"/>
      <c r="G1059" s="39">
        <v>1</v>
      </c>
      <c r="H1059" s="50">
        <v>60000024</v>
      </c>
      <c r="I1059" s="39" t="s">
        <v>186</v>
      </c>
      <c r="J1059" s="39">
        <v>13</v>
      </c>
      <c r="K1059" s="105">
        <v>1065314</v>
      </c>
      <c r="L1059" s="50">
        <v>21</v>
      </c>
      <c r="M1059" s="50" t="s">
        <v>1690</v>
      </c>
      <c r="N1059" s="50" t="s">
        <v>1691</v>
      </c>
    </row>
    <row r="1060" spans="2:15" x14ac:dyDescent="0.3">
      <c r="B1060" s="50">
        <f t="shared" si="85"/>
        <v>60000025</v>
      </c>
      <c r="C1060" s="39">
        <v>1</v>
      </c>
      <c r="D1060" s="39"/>
      <c r="E1060" s="39"/>
      <c r="F1060" s="39"/>
      <c r="G1060" s="39">
        <v>1</v>
      </c>
      <c r="H1060" s="50">
        <v>60000025</v>
      </c>
      <c r="I1060" s="39" t="s">
        <v>186</v>
      </c>
      <c r="J1060" s="39">
        <v>13</v>
      </c>
      <c r="K1060" s="105">
        <v>1065315</v>
      </c>
      <c r="L1060" s="50">
        <v>21</v>
      </c>
      <c r="M1060" s="50" t="s">
        <v>1692</v>
      </c>
      <c r="N1060" s="50" t="s">
        <v>1693</v>
      </c>
    </row>
    <row r="1061" spans="2:15" x14ac:dyDescent="0.3">
      <c r="B1061" s="50">
        <f t="shared" si="85"/>
        <v>60000026</v>
      </c>
      <c r="C1061" s="39">
        <v>1</v>
      </c>
      <c r="D1061" s="39"/>
      <c r="E1061" s="39"/>
      <c r="F1061" s="39"/>
      <c r="G1061" s="39">
        <v>1</v>
      </c>
      <c r="H1061" s="50">
        <v>60000026</v>
      </c>
      <c r="I1061" s="39" t="s">
        <v>186</v>
      </c>
      <c r="J1061" s="39">
        <v>13</v>
      </c>
      <c r="K1061" s="105">
        <v>1065316</v>
      </c>
      <c r="L1061" s="50">
        <v>21</v>
      </c>
      <c r="M1061" s="50" t="s">
        <v>1694</v>
      </c>
      <c r="N1061" s="50" t="s">
        <v>1695</v>
      </c>
    </row>
    <row r="1062" spans="2:15" x14ac:dyDescent="0.3">
      <c r="B1062" s="50">
        <f t="shared" si="85"/>
        <v>60000027</v>
      </c>
      <c r="C1062" s="39">
        <v>1</v>
      </c>
      <c r="D1062" s="39"/>
      <c r="E1062" s="39"/>
      <c r="F1062" s="39"/>
      <c r="G1062" s="39">
        <v>1</v>
      </c>
      <c r="H1062" s="50">
        <v>60000027</v>
      </c>
      <c r="I1062" s="39" t="s">
        <v>186</v>
      </c>
      <c r="J1062" s="39">
        <v>13</v>
      </c>
      <c r="K1062" s="105">
        <v>1065317</v>
      </c>
      <c r="L1062" s="50">
        <v>21</v>
      </c>
      <c r="M1062" s="50" t="s">
        <v>1696</v>
      </c>
      <c r="N1062" s="50" t="s">
        <v>1697</v>
      </c>
    </row>
    <row r="1063" spans="2:15" x14ac:dyDescent="0.3">
      <c r="B1063" s="50">
        <f t="shared" si="85"/>
        <v>60000028</v>
      </c>
      <c r="C1063" s="39">
        <v>1</v>
      </c>
      <c r="D1063" s="39"/>
      <c r="E1063" s="39"/>
      <c r="F1063" s="39"/>
      <c r="G1063" s="39">
        <v>1</v>
      </c>
      <c r="H1063" s="50">
        <v>60000028</v>
      </c>
      <c r="I1063" s="39" t="s">
        <v>186</v>
      </c>
      <c r="J1063" s="39">
        <v>13</v>
      </c>
      <c r="K1063" s="105">
        <v>1065318</v>
      </c>
      <c r="L1063" s="50">
        <v>21</v>
      </c>
      <c r="M1063" s="50" t="s">
        <v>1698</v>
      </c>
      <c r="N1063" s="50" t="s">
        <v>1699</v>
      </c>
    </row>
    <row r="1064" spans="2:15" x14ac:dyDescent="0.3">
      <c r="B1064" s="50">
        <f t="shared" si="85"/>
        <v>60000029</v>
      </c>
      <c r="C1064" s="39">
        <v>1</v>
      </c>
      <c r="D1064" s="39"/>
      <c r="E1064" s="39"/>
      <c r="F1064" s="39"/>
      <c r="G1064" s="39">
        <v>1</v>
      </c>
      <c r="H1064" s="50">
        <v>60000029</v>
      </c>
      <c r="I1064" s="39" t="s">
        <v>186</v>
      </c>
      <c r="J1064" s="39">
        <v>13</v>
      </c>
      <c r="K1064" s="105">
        <v>1065319</v>
      </c>
      <c r="L1064" s="50">
        <v>21</v>
      </c>
      <c r="M1064" s="50" t="s">
        <v>1700</v>
      </c>
      <c r="N1064" s="50" t="s">
        <v>1701</v>
      </c>
    </row>
    <row r="1065" spans="2:15" x14ac:dyDescent="0.3">
      <c r="B1065" s="50">
        <f t="shared" si="85"/>
        <v>60000030</v>
      </c>
      <c r="C1065" s="39">
        <v>1</v>
      </c>
      <c r="D1065" s="39"/>
      <c r="E1065" s="39"/>
      <c r="F1065" s="39"/>
      <c r="G1065" s="39">
        <v>1</v>
      </c>
      <c r="H1065" s="50">
        <v>60000030</v>
      </c>
      <c r="I1065" s="39" t="s">
        <v>186</v>
      </c>
      <c r="J1065" s="39">
        <v>13</v>
      </c>
      <c r="K1065" s="105">
        <v>1065320</v>
      </c>
      <c r="L1065" s="50">
        <v>21</v>
      </c>
      <c r="M1065" s="50" t="s">
        <v>1702</v>
      </c>
      <c r="N1065" s="50" t="s">
        <v>1703</v>
      </c>
    </row>
    <row r="1066" spans="2:15" x14ac:dyDescent="0.3">
      <c r="B1066" s="50">
        <f t="shared" si="85"/>
        <v>60000035</v>
      </c>
      <c r="C1066" s="39">
        <v>1</v>
      </c>
      <c r="D1066" s="39"/>
      <c r="E1066" s="39"/>
      <c r="F1066" s="39"/>
      <c r="G1066" s="39">
        <v>1</v>
      </c>
      <c r="H1066" s="50">
        <v>60000035</v>
      </c>
      <c r="I1066" s="39" t="s">
        <v>186</v>
      </c>
      <c r="J1066" s="39">
        <v>13</v>
      </c>
      <c r="K1066" s="105">
        <v>1065321</v>
      </c>
      <c r="L1066" s="50">
        <v>21</v>
      </c>
      <c r="M1066" s="50" t="s">
        <v>1704</v>
      </c>
      <c r="N1066" s="50" t="s">
        <v>1705</v>
      </c>
    </row>
    <row r="1067" spans="2:15" x14ac:dyDescent="0.3">
      <c r="B1067" s="50">
        <f t="shared" si="85"/>
        <v>60000036</v>
      </c>
      <c r="C1067" s="39">
        <v>1</v>
      </c>
      <c r="D1067" s="39"/>
      <c r="E1067" s="39"/>
      <c r="F1067" s="39"/>
      <c r="G1067" s="39">
        <v>1</v>
      </c>
      <c r="H1067" s="50">
        <v>60000036</v>
      </c>
      <c r="I1067" s="39" t="s">
        <v>186</v>
      </c>
      <c r="J1067" s="39">
        <v>13</v>
      </c>
      <c r="K1067" s="105">
        <v>1065322</v>
      </c>
      <c r="L1067" s="50">
        <v>21</v>
      </c>
      <c r="M1067" s="50" t="s">
        <v>1688</v>
      </c>
      <c r="N1067" s="50" t="s">
        <v>1706</v>
      </c>
    </row>
    <row r="1068" spans="2:15" x14ac:dyDescent="0.3">
      <c r="B1068" s="50">
        <f t="shared" si="85"/>
        <v>60000037</v>
      </c>
      <c r="C1068" s="39">
        <v>1</v>
      </c>
      <c r="D1068" s="39"/>
      <c r="E1068" s="39"/>
      <c r="F1068" s="39"/>
      <c r="G1068" s="39">
        <v>1</v>
      </c>
      <c r="H1068" s="50">
        <v>60000037</v>
      </c>
      <c r="I1068" s="39" t="s">
        <v>186</v>
      </c>
      <c r="J1068" s="39">
        <v>13</v>
      </c>
      <c r="K1068" s="105">
        <v>1065322</v>
      </c>
      <c r="L1068" s="50">
        <v>21</v>
      </c>
      <c r="M1068" s="50" t="s">
        <v>1707</v>
      </c>
      <c r="N1068" s="50" t="s">
        <v>1708</v>
      </c>
    </row>
    <row r="1069" spans="2:15" x14ac:dyDescent="0.3">
      <c r="B1069" s="50">
        <f t="shared" si="85"/>
        <v>60000038</v>
      </c>
      <c r="C1069" s="39">
        <v>1</v>
      </c>
      <c r="D1069" s="39"/>
      <c r="E1069" s="39"/>
      <c r="F1069" s="39"/>
      <c r="G1069" s="39">
        <v>1</v>
      </c>
      <c r="H1069" s="50">
        <v>60000038</v>
      </c>
      <c r="I1069" s="39" t="s">
        <v>186</v>
      </c>
      <c r="J1069" s="39">
        <v>13</v>
      </c>
      <c r="K1069" s="105">
        <v>1065323</v>
      </c>
      <c r="L1069" s="50">
        <v>21</v>
      </c>
      <c r="M1069" s="50" t="s">
        <v>1895</v>
      </c>
      <c r="N1069" s="50" t="s">
        <v>1709</v>
      </c>
    </row>
    <row r="1070" spans="2:15" x14ac:dyDescent="0.3">
      <c r="B1070" s="50">
        <f t="shared" si="85"/>
        <v>60000039</v>
      </c>
      <c r="C1070" s="39">
        <v>1</v>
      </c>
      <c r="D1070" s="39"/>
      <c r="E1070" s="39"/>
      <c r="F1070" s="39"/>
      <c r="G1070" s="39">
        <v>1</v>
      </c>
      <c r="H1070" s="50">
        <v>60000039</v>
      </c>
      <c r="I1070" s="39" t="s">
        <v>186</v>
      </c>
      <c r="J1070" s="39">
        <v>13</v>
      </c>
      <c r="K1070" s="105">
        <v>1065066</v>
      </c>
      <c r="L1070" s="50">
        <v>21</v>
      </c>
      <c r="M1070" s="50" t="s">
        <v>1926</v>
      </c>
      <c r="N1070" s="50" t="s">
        <v>1927</v>
      </c>
    </row>
    <row r="1071" spans="2:15" x14ac:dyDescent="0.3">
      <c r="B1071" s="50">
        <f t="shared" si="85"/>
        <v>60000040</v>
      </c>
      <c r="C1071" s="39">
        <v>1</v>
      </c>
      <c r="D1071" s="39"/>
      <c r="E1071" s="39"/>
      <c r="F1071" s="39"/>
      <c r="G1071" s="39">
        <v>1</v>
      </c>
      <c r="H1071" s="50">
        <v>60000040</v>
      </c>
      <c r="I1071" s="39" t="s">
        <v>186</v>
      </c>
      <c r="J1071" s="39">
        <v>13</v>
      </c>
      <c r="K1071" s="105">
        <v>1065329</v>
      </c>
      <c r="L1071" s="50">
        <v>21</v>
      </c>
      <c r="M1071" s="50" t="s">
        <v>2501</v>
      </c>
      <c r="N1071" s="50" t="s">
        <v>2502</v>
      </c>
      <c r="O1071" s="50" t="s">
        <v>2503</v>
      </c>
    </row>
    <row r="1072" spans="2:15" x14ac:dyDescent="0.3">
      <c r="B1072" s="50">
        <f t="shared" si="85"/>
        <v>60000041</v>
      </c>
      <c r="C1072" s="39">
        <v>1</v>
      </c>
      <c r="D1072" s="39"/>
      <c r="E1072" s="39"/>
      <c r="F1072" s="39"/>
      <c r="G1072" s="39">
        <v>1</v>
      </c>
      <c r="H1072" s="50">
        <v>60000041</v>
      </c>
      <c r="I1072" s="39" t="s">
        <v>186</v>
      </c>
      <c r="J1072" s="39">
        <v>13</v>
      </c>
      <c r="K1072" s="105">
        <v>1065330</v>
      </c>
      <c r="L1072" s="50">
        <v>21</v>
      </c>
      <c r="M1072" s="50" t="s">
        <v>4357</v>
      </c>
      <c r="N1072" s="50" t="s">
        <v>4358</v>
      </c>
      <c r="O1072" s="50" t="s">
        <v>4367</v>
      </c>
    </row>
    <row r="1073" spans="2:15" x14ac:dyDescent="0.3">
      <c r="B1073" s="50">
        <f t="shared" si="85"/>
        <v>60000042</v>
      </c>
      <c r="C1073" s="39">
        <v>1</v>
      </c>
      <c r="D1073" s="39"/>
      <c r="E1073" s="39"/>
      <c r="F1073" s="39"/>
      <c r="G1073" s="39">
        <v>1</v>
      </c>
      <c r="H1073" s="50">
        <v>60000042</v>
      </c>
      <c r="I1073" s="39" t="s">
        <v>186</v>
      </c>
      <c r="J1073" s="39">
        <v>13</v>
      </c>
      <c r="K1073" s="105">
        <v>1065331</v>
      </c>
      <c r="L1073" s="50">
        <v>21</v>
      </c>
      <c r="M1073" s="50" t="s">
        <v>4359</v>
      </c>
      <c r="N1073" s="50" t="s">
        <v>4360</v>
      </c>
      <c r="O1073" s="50" t="s">
        <v>4368</v>
      </c>
    </row>
    <row r="1074" spans="2:15" x14ac:dyDescent="0.3">
      <c r="B1074" s="50">
        <f t="shared" si="85"/>
        <v>60000043</v>
      </c>
      <c r="C1074" s="39">
        <v>1</v>
      </c>
      <c r="D1074" s="39"/>
      <c r="E1074" s="39"/>
      <c r="F1074" s="39"/>
      <c r="G1074" s="39">
        <v>1</v>
      </c>
      <c r="H1074" s="50">
        <v>60000043</v>
      </c>
      <c r="I1074" s="39" t="s">
        <v>186</v>
      </c>
      <c r="J1074" s="39">
        <v>13</v>
      </c>
      <c r="K1074" s="105">
        <v>1065332</v>
      </c>
      <c r="L1074" s="50">
        <v>21</v>
      </c>
      <c r="M1074" s="50" t="s">
        <v>4361</v>
      </c>
      <c r="N1074" s="50" t="s">
        <v>4362</v>
      </c>
      <c r="O1074" s="50" t="s">
        <v>4369</v>
      </c>
    </row>
    <row r="1075" spans="2:15" x14ac:dyDescent="0.3">
      <c r="B1075" s="50">
        <f t="shared" si="85"/>
        <v>60000044</v>
      </c>
      <c r="C1075" s="39">
        <v>1</v>
      </c>
      <c r="D1075" s="39"/>
      <c r="E1075" s="39"/>
      <c r="F1075" s="39"/>
      <c r="G1075" s="39">
        <v>1</v>
      </c>
      <c r="H1075" s="50">
        <v>60000044</v>
      </c>
      <c r="I1075" s="39" t="s">
        <v>186</v>
      </c>
      <c r="J1075" s="39">
        <v>13</v>
      </c>
      <c r="K1075" s="105">
        <v>1065333</v>
      </c>
      <c r="L1075" s="50">
        <v>21</v>
      </c>
      <c r="M1075" s="50" t="s">
        <v>4363</v>
      </c>
      <c r="N1075" s="50" t="s">
        <v>4364</v>
      </c>
      <c r="O1075" s="50" t="s">
        <v>4370</v>
      </c>
    </row>
    <row r="1076" spans="2:15" x14ac:dyDescent="0.3">
      <c r="B1076" s="50">
        <f t="shared" si="85"/>
        <v>60000045</v>
      </c>
      <c r="C1076" s="39">
        <v>1</v>
      </c>
      <c r="D1076" s="39"/>
      <c r="E1076" s="39"/>
      <c r="F1076" s="39"/>
      <c r="G1076" s="39">
        <v>1</v>
      </c>
      <c r="H1076" s="50">
        <v>60000045</v>
      </c>
      <c r="I1076" s="39" t="s">
        <v>186</v>
      </c>
      <c r="J1076" s="39">
        <v>13</v>
      </c>
      <c r="K1076" s="105">
        <v>1065334</v>
      </c>
      <c r="L1076" s="50">
        <v>21</v>
      </c>
      <c r="M1076" s="50" t="s">
        <v>4365</v>
      </c>
      <c r="N1076" s="50" t="s">
        <v>4366</v>
      </c>
      <c r="O1076" s="50" t="s">
        <v>4371</v>
      </c>
    </row>
    <row r="1077" spans="2:15" ht="16.5" customHeight="1" x14ac:dyDescent="0.2">
      <c r="B1077" s="50">
        <f t="shared" ref="B1077:B1120" si="87">H1077</f>
        <v>61000000</v>
      </c>
      <c r="C1077" s="39">
        <v>1</v>
      </c>
      <c r="D1077" s="39"/>
      <c r="E1077" s="39"/>
      <c r="F1077" s="39"/>
      <c r="G1077" s="39">
        <v>1</v>
      </c>
      <c r="H1077" s="50">
        <v>61000000</v>
      </c>
      <c r="I1077" s="39" t="s">
        <v>186</v>
      </c>
      <c r="J1077" s="39">
        <v>13</v>
      </c>
      <c r="K1077" s="105">
        <v>1910001</v>
      </c>
      <c r="L1077" s="50">
        <v>31</v>
      </c>
      <c r="M1077" s="50" t="s">
        <v>1859</v>
      </c>
      <c r="N1077" s="50" t="s">
        <v>1653</v>
      </c>
      <c r="O1077" s="215" t="s">
        <v>2993</v>
      </c>
    </row>
    <row r="1078" spans="2:15" ht="16.5" customHeight="1" x14ac:dyDescent="0.2">
      <c r="B1078" s="50">
        <f t="shared" si="87"/>
        <v>61000001</v>
      </c>
      <c r="C1078" s="39">
        <v>1</v>
      </c>
      <c r="D1078" s="39"/>
      <c r="E1078" s="39"/>
      <c r="F1078" s="39"/>
      <c r="G1078" s="39">
        <v>1</v>
      </c>
      <c r="H1078" s="50">
        <v>61000001</v>
      </c>
      <c r="I1078" s="39" t="s">
        <v>186</v>
      </c>
      <c r="J1078" s="39">
        <v>13</v>
      </c>
      <c r="K1078" s="105">
        <v>1910002</v>
      </c>
      <c r="L1078" s="50">
        <v>31</v>
      </c>
      <c r="M1078" s="50" t="s">
        <v>1860</v>
      </c>
      <c r="N1078" s="50" t="s">
        <v>1654</v>
      </c>
      <c r="O1078" s="216" t="s">
        <v>2994</v>
      </c>
    </row>
    <row r="1079" spans="2:15" ht="16.5" customHeight="1" x14ac:dyDescent="0.2">
      <c r="B1079" s="50">
        <f t="shared" si="87"/>
        <v>61000002</v>
      </c>
      <c r="C1079" s="39">
        <v>1</v>
      </c>
      <c r="D1079" s="39"/>
      <c r="E1079" s="39"/>
      <c r="F1079" s="39"/>
      <c r="G1079" s="39">
        <v>1</v>
      </c>
      <c r="H1079" s="50">
        <v>61000002</v>
      </c>
      <c r="I1079" s="39" t="s">
        <v>186</v>
      </c>
      <c r="J1079" s="39">
        <v>13</v>
      </c>
      <c r="K1079" s="105">
        <v>1910003</v>
      </c>
      <c r="L1079" s="50">
        <v>31</v>
      </c>
      <c r="M1079" s="50" t="s">
        <v>1861</v>
      </c>
      <c r="N1079" s="50" t="s">
        <v>1655</v>
      </c>
      <c r="O1079" s="216" t="s">
        <v>2995</v>
      </c>
    </row>
    <row r="1080" spans="2:15" ht="16.5" customHeight="1" x14ac:dyDescent="0.2">
      <c r="B1080" s="50">
        <f t="shared" si="87"/>
        <v>61000003</v>
      </c>
      <c r="C1080" s="39">
        <v>1</v>
      </c>
      <c r="D1080" s="39"/>
      <c r="E1080" s="39"/>
      <c r="F1080" s="39"/>
      <c r="G1080" s="39">
        <v>1</v>
      </c>
      <c r="H1080" s="50">
        <v>61000003</v>
      </c>
      <c r="I1080" s="39" t="s">
        <v>186</v>
      </c>
      <c r="J1080" s="39">
        <v>13</v>
      </c>
      <c r="K1080" s="105">
        <v>1910004</v>
      </c>
      <c r="L1080" s="50">
        <v>31</v>
      </c>
      <c r="M1080" s="50" t="s">
        <v>1862</v>
      </c>
      <c r="N1080" s="50" t="s">
        <v>1656</v>
      </c>
      <c r="O1080" s="216" t="s">
        <v>2996</v>
      </c>
    </row>
    <row r="1081" spans="2:15" ht="16.5" customHeight="1" x14ac:dyDescent="0.2">
      <c r="B1081" s="50">
        <f t="shared" si="87"/>
        <v>61000004</v>
      </c>
      <c r="C1081" s="39">
        <v>1</v>
      </c>
      <c r="D1081" s="39"/>
      <c r="E1081" s="39"/>
      <c r="F1081" s="39"/>
      <c r="G1081" s="39">
        <v>1</v>
      </c>
      <c r="H1081" s="50">
        <v>61000004</v>
      </c>
      <c r="I1081" s="39" t="s">
        <v>186</v>
      </c>
      <c r="J1081" s="39">
        <v>13</v>
      </c>
      <c r="K1081" s="46">
        <v>1910005</v>
      </c>
      <c r="L1081" s="50">
        <v>31</v>
      </c>
      <c r="M1081" s="50" t="s">
        <v>1863</v>
      </c>
      <c r="N1081" s="50" t="s">
        <v>1657</v>
      </c>
      <c r="O1081" s="216" t="s">
        <v>2997</v>
      </c>
    </row>
    <row r="1082" spans="2:15" ht="16.5" customHeight="1" x14ac:dyDescent="0.2">
      <c r="B1082" s="50">
        <f t="shared" si="87"/>
        <v>61000005</v>
      </c>
      <c r="C1082" s="39">
        <v>1</v>
      </c>
      <c r="D1082" s="39"/>
      <c r="E1082" s="39"/>
      <c r="F1082" s="39"/>
      <c r="G1082" s="39">
        <v>1</v>
      </c>
      <c r="H1082" s="50">
        <v>61000005</v>
      </c>
      <c r="I1082" s="39" t="s">
        <v>186</v>
      </c>
      <c r="J1082" s="39">
        <v>13</v>
      </c>
      <c r="K1082" s="46">
        <v>1910006</v>
      </c>
      <c r="L1082" s="50">
        <v>31</v>
      </c>
      <c r="M1082" s="50" t="s">
        <v>1864</v>
      </c>
      <c r="N1082" s="50" t="s">
        <v>1658</v>
      </c>
      <c r="O1082" s="216" t="s">
        <v>2998</v>
      </c>
    </row>
    <row r="1083" spans="2:15" ht="16.5" customHeight="1" x14ac:dyDescent="0.2">
      <c r="B1083" s="50">
        <f t="shared" si="87"/>
        <v>61000006</v>
      </c>
      <c r="C1083" s="39">
        <v>1</v>
      </c>
      <c r="D1083" s="39"/>
      <c r="E1083" s="39"/>
      <c r="F1083" s="39"/>
      <c r="G1083" s="39">
        <v>1</v>
      </c>
      <c r="H1083" s="50">
        <v>61000006</v>
      </c>
      <c r="I1083" s="39" t="s">
        <v>186</v>
      </c>
      <c r="J1083" s="39">
        <v>13</v>
      </c>
      <c r="K1083" s="46">
        <v>1910007</v>
      </c>
      <c r="L1083" s="50">
        <v>31</v>
      </c>
      <c r="M1083" s="50" t="s">
        <v>1865</v>
      </c>
      <c r="N1083" s="50" t="s">
        <v>1659</v>
      </c>
      <c r="O1083" s="216" t="s">
        <v>2999</v>
      </c>
    </row>
    <row r="1084" spans="2:15" ht="16.5" customHeight="1" x14ac:dyDescent="0.2">
      <c r="B1084" s="50">
        <f t="shared" si="87"/>
        <v>61000007</v>
      </c>
      <c r="C1084" s="39">
        <v>1</v>
      </c>
      <c r="D1084" s="39"/>
      <c r="E1084" s="39"/>
      <c r="F1084" s="39"/>
      <c r="G1084" s="39">
        <v>1</v>
      </c>
      <c r="H1084" s="50">
        <v>61000007</v>
      </c>
      <c r="I1084" s="39" t="s">
        <v>186</v>
      </c>
      <c r="J1084" s="39">
        <v>13</v>
      </c>
      <c r="K1084" s="46">
        <v>1910008</v>
      </c>
      <c r="L1084" s="50">
        <v>31</v>
      </c>
      <c r="M1084" s="50" t="s">
        <v>1866</v>
      </c>
      <c r="N1084" s="50" t="s">
        <v>1660</v>
      </c>
      <c r="O1084" s="216" t="s">
        <v>3000</v>
      </c>
    </row>
    <row r="1085" spans="2:15" ht="16.5" customHeight="1" x14ac:dyDescent="0.2">
      <c r="B1085" s="50">
        <f t="shared" si="87"/>
        <v>61000008</v>
      </c>
      <c r="C1085" s="39">
        <v>1</v>
      </c>
      <c r="D1085" s="39"/>
      <c r="E1085" s="39"/>
      <c r="F1085" s="39"/>
      <c r="G1085" s="39">
        <v>1</v>
      </c>
      <c r="H1085" s="50">
        <v>61000008</v>
      </c>
      <c r="I1085" s="39" t="s">
        <v>186</v>
      </c>
      <c r="J1085" s="39">
        <v>13</v>
      </c>
      <c r="K1085" s="46">
        <v>1910009</v>
      </c>
      <c r="L1085" s="50">
        <v>31</v>
      </c>
      <c r="M1085" s="50" t="s">
        <v>1867</v>
      </c>
      <c r="N1085" s="50" t="s">
        <v>1661</v>
      </c>
      <c r="O1085" s="216" t="s">
        <v>3001</v>
      </c>
    </row>
    <row r="1086" spans="2:15" ht="16.5" customHeight="1" x14ac:dyDescent="0.2">
      <c r="B1086" s="50">
        <f t="shared" si="87"/>
        <v>61000009</v>
      </c>
      <c r="C1086" s="39">
        <v>1</v>
      </c>
      <c r="D1086" s="39"/>
      <c r="E1086" s="39"/>
      <c r="F1086" s="39"/>
      <c r="G1086" s="39">
        <v>1</v>
      </c>
      <c r="H1086" s="50">
        <v>61000009</v>
      </c>
      <c r="I1086" s="39" t="s">
        <v>186</v>
      </c>
      <c r="J1086" s="39">
        <v>13</v>
      </c>
      <c r="K1086" s="46">
        <v>1910010</v>
      </c>
      <c r="L1086" s="50">
        <v>31</v>
      </c>
      <c r="M1086" s="50" t="s">
        <v>1868</v>
      </c>
      <c r="N1086" s="50" t="s">
        <v>1662</v>
      </c>
      <c r="O1086" s="216" t="s">
        <v>3002</v>
      </c>
    </row>
    <row r="1087" spans="2:15" ht="16.5" customHeight="1" x14ac:dyDescent="0.2">
      <c r="B1087" s="50">
        <f t="shared" si="87"/>
        <v>61000010</v>
      </c>
      <c r="C1087" s="39">
        <v>1</v>
      </c>
      <c r="D1087" s="39"/>
      <c r="E1087" s="39"/>
      <c r="F1087" s="39"/>
      <c r="G1087" s="39">
        <v>1</v>
      </c>
      <c r="H1087" s="50">
        <v>61000010</v>
      </c>
      <c r="I1087" s="39" t="s">
        <v>186</v>
      </c>
      <c r="J1087" s="39">
        <v>13</v>
      </c>
      <c r="K1087" s="46">
        <v>1910011</v>
      </c>
      <c r="L1087" s="50">
        <v>31</v>
      </c>
      <c r="M1087" s="50" t="s">
        <v>1869</v>
      </c>
      <c r="N1087" s="50" t="s">
        <v>1663</v>
      </c>
      <c r="O1087" s="216" t="s">
        <v>3003</v>
      </c>
    </row>
    <row r="1088" spans="2:15" ht="16.5" customHeight="1" x14ac:dyDescent="0.2">
      <c r="B1088" s="50">
        <f t="shared" si="87"/>
        <v>61000011</v>
      </c>
      <c r="C1088" s="39">
        <v>1</v>
      </c>
      <c r="D1088" s="39"/>
      <c r="E1088" s="39"/>
      <c r="F1088" s="39"/>
      <c r="G1088" s="39">
        <v>1</v>
      </c>
      <c r="H1088" s="50">
        <v>61000011</v>
      </c>
      <c r="I1088" s="39" t="s">
        <v>186</v>
      </c>
      <c r="J1088" s="39">
        <v>13</v>
      </c>
      <c r="K1088" s="46">
        <v>1910012</v>
      </c>
      <c r="L1088" s="50">
        <v>31</v>
      </c>
      <c r="M1088" s="50" t="s">
        <v>1870</v>
      </c>
      <c r="N1088" s="50" t="s">
        <v>1664</v>
      </c>
      <c r="O1088" s="216" t="s">
        <v>3004</v>
      </c>
    </row>
    <row r="1089" spans="2:15" ht="16.5" customHeight="1" x14ac:dyDescent="0.2">
      <c r="B1089" s="50">
        <f t="shared" si="87"/>
        <v>61000012</v>
      </c>
      <c r="C1089" s="39">
        <v>1</v>
      </c>
      <c r="D1089" s="39"/>
      <c r="E1089" s="39"/>
      <c r="F1089" s="39"/>
      <c r="G1089" s="39">
        <v>1</v>
      </c>
      <c r="H1089" s="50">
        <v>61000012</v>
      </c>
      <c r="I1089" s="39" t="s">
        <v>186</v>
      </c>
      <c r="J1089" s="39">
        <v>13</v>
      </c>
      <c r="K1089" s="46">
        <v>1910013</v>
      </c>
      <c r="L1089" s="50">
        <v>31</v>
      </c>
      <c r="M1089" s="50" t="s">
        <v>1871</v>
      </c>
      <c r="N1089" s="50" t="s">
        <v>1665</v>
      </c>
      <c r="O1089" s="216" t="s">
        <v>3005</v>
      </c>
    </row>
    <row r="1090" spans="2:15" ht="16.5" customHeight="1" x14ac:dyDescent="0.2">
      <c r="B1090" s="50">
        <f t="shared" si="87"/>
        <v>61000013</v>
      </c>
      <c r="C1090" s="39">
        <v>1</v>
      </c>
      <c r="D1090" s="39"/>
      <c r="E1090" s="39"/>
      <c r="F1090" s="39"/>
      <c r="G1090" s="39">
        <v>1</v>
      </c>
      <c r="H1090" s="50">
        <v>61000013</v>
      </c>
      <c r="I1090" s="39" t="s">
        <v>186</v>
      </c>
      <c r="J1090" s="39">
        <v>13</v>
      </c>
      <c r="K1090" s="46">
        <v>1910014</v>
      </c>
      <c r="L1090" s="50">
        <v>31</v>
      </c>
      <c r="M1090" s="50" t="s">
        <v>1872</v>
      </c>
      <c r="N1090" s="50" t="s">
        <v>1666</v>
      </c>
      <c r="O1090" s="216" t="s">
        <v>3006</v>
      </c>
    </row>
    <row r="1091" spans="2:15" ht="16.5" customHeight="1" x14ac:dyDescent="0.2">
      <c r="B1091" s="50">
        <f t="shared" si="87"/>
        <v>61000014</v>
      </c>
      <c r="C1091" s="39">
        <v>1</v>
      </c>
      <c r="D1091" s="39"/>
      <c r="E1091" s="39"/>
      <c r="F1091" s="39"/>
      <c r="G1091" s="39">
        <v>1</v>
      </c>
      <c r="H1091" s="50">
        <v>61000014</v>
      </c>
      <c r="I1091" s="39" t="s">
        <v>186</v>
      </c>
      <c r="J1091" s="39">
        <v>21</v>
      </c>
      <c r="K1091" s="46">
        <v>1056072</v>
      </c>
      <c r="L1091" s="50">
        <v>21</v>
      </c>
      <c r="M1091" s="50" t="s">
        <v>2918</v>
      </c>
      <c r="N1091" s="50" t="s">
        <v>2919</v>
      </c>
      <c r="O1091" s="216" t="s">
        <v>2920</v>
      </c>
    </row>
    <row r="1092" spans="2:15" ht="16.5" customHeight="1" x14ac:dyDescent="0.2">
      <c r="B1092" s="50">
        <f t="shared" si="87"/>
        <v>62000000</v>
      </c>
      <c r="C1092" s="39">
        <v>1</v>
      </c>
      <c r="D1092" s="39"/>
      <c r="E1092" s="39"/>
      <c r="F1092" s="39"/>
      <c r="G1092" s="39">
        <v>1</v>
      </c>
      <c r="H1092" s="50">
        <v>62000000</v>
      </c>
      <c r="I1092" s="39" t="s">
        <v>187</v>
      </c>
      <c r="J1092" s="39">
        <v>21</v>
      </c>
      <c r="K1092" s="46">
        <v>1400443</v>
      </c>
      <c r="L1092" s="50">
        <f>VLOOKUP(I1092,error,2,FALSE)</f>
        <v>21</v>
      </c>
      <c r="M1092" s="50" t="s">
        <v>2347</v>
      </c>
      <c r="N1092" s="50" t="s">
        <v>1168</v>
      </c>
      <c r="O1092" s="52"/>
    </row>
    <row r="1093" spans="2:15" ht="16.5" customHeight="1" x14ac:dyDescent="0.2">
      <c r="B1093" s="50">
        <f t="shared" si="87"/>
        <v>62150000</v>
      </c>
      <c r="C1093" s="39">
        <v>1</v>
      </c>
      <c r="D1093" s="39"/>
      <c r="E1093" s="39"/>
      <c r="F1093" s="39"/>
      <c r="G1093" s="39">
        <v>1</v>
      </c>
      <c r="H1093" s="50">
        <v>62150000</v>
      </c>
      <c r="I1093" s="39" t="s">
        <v>187</v>
      </c>
      <c r="J1093" s="39">
        <v>21</v>
      </c>
      <c r="K1093" s="46">
        <v>1099054</v>
      </c>
      <c r="L1093" s="50">
        <v>21</v>
      </c>
      <c r="M1093" s="50" t="s">
        <v>1730</v>
      </c>
      <c r="N1093" s="50" t="s">
        <v>1734</v>
      </c>
      <c r="O1093" s="52" t="s">
        <v>1738</v>
      </c>
    </row>
    <row r="1094" spans="2:15" ht="16.5" customHeight="1" x14ac:dyDescent="0.2">
      <c r="B1094" s="50">
        <f t="shared" si="87"/>
        <v>62150001</v>
      </c>
      <c r="C1094" s="39">
        <v>1</v>
      </c>
      <c r="D1094" s="39"/>
      <c r="E1094" s="39"/>
      <c r="F1094" s="39"/>
      <c r="G1094" s="39">
        <v>1</v>
      </c>
      <c r="H1094" s="50">
        <v>62150001</v>
      </c>
      <c r="I1094" s="39" t="s">
        <v>187</v>
      </c>
      <c r="J1094" s="39">
        <v>21</v>
      </c>
      <c r="K1094" s="46">
        <v>1099055</v>
      </c>
      <c r="L1094" s="50">
        <v>21</v>
      </c>
      <c r="M1094" s="50" t="s">
        <v>1731</v>
      </c>
      <c r="N1094" s="50" t="s">
        <v>1735</v>
      </c>
      <c r="O1094" s="52" t="s">
        <v>1739</v>
      </c>
    </row>
    <row r="1095" spans="2:15" ht="16.5" customHeight="1" x14ac:dyDescent="0.2">
      <c r="B1095" s="50">
        <f t="shared" si="87"/>
        <v>62150002</v>
      </c>
      <c r="C1095" s="39">
        <v>1</v>
      </c>
      <c r="D1095" s="39"/>
      <c r="E1095" s="39"/>
      <c r="F1095" s="39"/>
      <c r="G1095" s="39">
        <v>1</v>
      </c>
      <c r="H1095" s="50">
        <v>62150002</v>
      </c>
      <c r="I1095" s="39" t="s">
        <v>187</v>
      </c>
      <c r="J1095" s="39">
        <v>21</v>
      </c>
      <c r="K1095" s="46">
        <v>1099056</v>
      </c>
      <c r="L1095" s="50">
        <v>21</v>
      </c>
      <c r="M1095" s="50" t="s">
        <v>1732</v>
      </c>
      <c r="N1095" s="50" t="s">
        <v>1736</v>
      </c>
      <c r="O1095" s="52" t="s">
        <v>1740</v>
      </c>
    </row>
    <row r="1096" spans="2:15" ht="16.5" customHeight="1" x14ac:dyDescent="0.2">
      <c r="B1096" s="50">
        <f t="shared" si="87"/>
        <v>62150003</v>
      </c>
      <c r="C1096" s="39">
        <v>1</v>
      </c>
      <c r="D1096" s="39"/>
      <c r="E1096" s="39"/>
      <c r="F1096" s="39"/>
      <c r="G1096" s="39">
        <v>1</v>
      </c>
      <c r="H1096" s="50">
        <v>62150003</v>
      </c>
      <c r="I1096" s="39" t="s">
        <v>187</v>
      </c>
      <c r="J1096" s="39">
        <v>21</v>
      </c>
      <c r="K1096" s="46">
        <v>1099057</v>
      </c>
      <c r="L1096" s="50">
        <v>21</v>
      </c>
      <c r="M1096" s="50" t="s">
        <v>1733</v>
      </c>
      <c r="N1096" s="50" t="s">
        <v>1737</v>
      </c>
      <c r="O1096" s="52" t="s">
        <v>1741</v>
      </c>
    </row>
    <row r="1097" spans="2:15" ht="16.5" customHeight="1" x14ac:dyDescent="0.2">
      <c r="B1097" s="50">
        <f t="shared" ref="B1097:B1104" si="88">H1097</f>
        <v>62150004</v>
      </c>
      <c r="C1097" s="39">
        <v>1</v>
      </c>
      <c r="D1097" s="39"/>
      <c r="E1097" s="39"/>
      <c r="F1097" s="39"/>
      <c r="G1097" s="39">
        <v>1</v>
      </c>
      <c r="H1097" s="50">
        <v>62150004</v>
      </c>
      <c r="I1097" s="39" t="s">
        <v>187</v>
      </c>
      <c r="J1097" s="39">
        <v>21</v>
      </c>
      <c r="K1097" s="106">
        <v>1099079</v>
      </c>
      <c r="L1097" s="50">
        <v>21</v>
      </c>
      <c r="M1097" s="50" t="s">
        <v>2856</v>
      </c>
      <c r="N1097" s="50" t="s">
        <v>2857</v>
      </c>
      <c r="O1097" s="52" t="s">
        <v>2858</v>
      </c>
    </row>
    <row r="1098" spans="2:15" ht="16.5" customHeight="1" x14ac:dyDescent="0.2">
      <c r="B1098" s="50">
        <f t="shared" si="88"/>
        <v>62150005</v>
      </c>
      <c r="C1098" s="210">
        <v>1</v>
      </c>
      <c r="D1098" s="210" t="s">
        <v>4255</v>
      </c>
      <c r="E1098" s="210">
        <v>0</v>
      </c>
      <c r="F1098" s="210" t="s">
        <v>4256</v>
      </c>
      <c r="G1098" s="210">
        <v>1</v>
      </c>
      <c r="H1098" s="50">
        <v>62150005</v>
      </c>
      <c r="I1098" s="39" t="s">
        <v>187</v>
      </c>
      <c r="J1098" s="39">
        <v>21</v>
      </c>
      <c r="K1098" s="106">
        <v>2637001</v>
      </c>
      <c r="L1098" s="50">
        <v>21</v>
      </c>
      <c r="M1098" s="52" t="s">
        <v>4257</v>
      </c>
      <c r="N1098" s="50" t="s">
        <v>4258</v>
      </c>
      <c r="O1098" s="52" t="s">
        <v>4259</v>
      </c>
    </row>
    <row r="1099" spans="2:15" ht="16.5" customHeight="1" x14ac:dyDescent="0.2">
      <c r="B1099" s="50">
        <f t="shared" si="88"/>
        <v>62150006</v>
      </c>
      <c r="C1099" s="210">
        <v>1</v>
      </c>
      <c r="D1099" s="210" t="s">
        <v>4255</v>
      </c>
      <c r="E1099" s="210">
        <v>0</v>
      </c>
      <c r="F1099" s="210" t="s">
        <v>4256</v>
      </c>
      <c r="G1099" s="210">
        <v>1</v>
      </c>
      <c r="H1099" s="50">
        <v>62150006</v>
      </c>
      <c r="I1099" s="39" t="s">
        <v>187</v>
      </c>
      <c r="J1099" s="39">
        <v>21</v>
      </c>
      <c r="K1099" s="106">
        <v>2637002</v>
      </c>
      <c r="L1099" s="50">
        <v>21</v>
      </c>
      <c r="M1099" s="52" t="s">
        <v>4260</v>
      </c>
      <c r="N1099" s="50" t="s">
        <v>4261</v>
      </c>
      <c r="O1099" s="52" t="s">
        <v>4262</v>
      </c>
    </row>
    <row r="1100" spans="2:15" ht="16.5" customHeight="1" x14ac:dyDescent="0.2">
      <c r="B1100" s="50">
        <f t="shared" si="88"/>
        <v>62150007</v>
      </c>
      <c r="C1100" s="210">
        <v>1</v>
      </c>
      <c r="D1100" s="210" t="s">
        <v>4255</v>
      </c>
      <c r="E1100" s="210">
        <v>0</v>
      </c>
      <c r="F1100" s="210" t="s">
        <v>4256</v>
      </c>
      <c r="G1100" s="210">
        <v>1</v>
      </c>
      <c r="H1100" s="50">
        <v>62150007</v>
      </c>
      <c r="I1100" s="39" t="s">
        <v>187</v>
      </c>
      <c r="J1100" s="39">
        <v>21</v>
      </c>
      <c r="K1100" s="106">
        <v>2637003</v>
      </c>
      <c r="L1100" s="50">
        <v>21</v>
      </c>
      <c r="M1100" s="52" t="s">
        <v>4263</v>
      </c>
      <c r="N1100" s="50" t="s">
        <v>4264</v>
      </c>
      <c r="O1100" s="52" t="s">
        <v>4265</v>
      </c>
    </row>
    <row r="1101" spans="2:15" ht="16.5" customHeight="1" x14ac:dyDescent="0.2">
      <c r="B1101" s="50">
        <f t="shared" si="88"/>
        <v>62150008</v>
      </c>
      <c r="C1101" s="210">
        <v>1</v>
      </c>
      <c r="D1101" s="210" t="s">
        <v>4255</v>
      </c>
      <c r="E1101" s="210">
        <v>0</v>
      </c>
      <c r="F1101" s="210" t="s">
        <v>4256</v>
      </c>
      <c r="G1101" s="210">
        <v>1</v>
      </c>
      <c r="H1101" s="50">
        <v>62150008</v>
      </c>
      <c r="I1101" s="39" t="s">
        <v>187</v>
      </c>
      <c r="J1101" s="39">
        <v>21</v>
      </c>
      <c r="K1101" s="106">
        <v>2637004</v>
      </c>
      <c r="L1101" s="50">
        <v>21</v>
      </c>
      <c r="M1101" s="52" t="s">
        <v>4266</v>
      </c>
      <c r="N1101" s="50" t="s">
        <v>4267</v>
      </c>
      <c r="O1101" s="52" t="s">
        <v>4268</v>
      </c>
    </row>
    <row r="1102" spans="2:15" ht="16.5" customHeight="1" x14ac:dyDescent="0.2">
      <c r="B1102" s="50">
        <f t="shared" si="88"/>
        <v>62150009</v>
      </c>
      <c r="C1102" s="210">
        <v>1</v>
      </c>
      <c r="D1102" s="210" t="s">
        <v>4255</v>
      </c>
      <c r="E1102" s="210">
        <v>0</v>
      </c>
      <c r="F1102" s="210" t="s">
        <v>4256</v>
      </c>
      <c r="G1102" s="210">
        <v>1</v>
      </c>
      <c r="H1102" s="50">
        <v>62150009</v>
      </c>
      <c r="I1102" s="39" t="s">
        <v>187</v>
      </c>
      <c r="J1102" s="39">
        <v>21</v>
      </c>
      <c r="K1102" s="106">
        <v>2637005</v>
      </c>
      <c r="L1102" s="50">
        <v>21</v>
      </c>
      <c r="M1102" s="52" t="s">
        <v>4269</v>
      </c>
      <c r="N1102" s="50" t="s">
        <v>4270</v>
      </c>
      <c r="O1102" s="52" t="s">
        <v>4271</v>
      </c>
    </row>
    <row r="1103" spans="2:15" ht="16.5" customHeight="1" x14ac:dyDescent="0.2">
      <c r="B1103" s="50">
        <f t="shared" si="88"/>
        <v>62150010</v>
      </c>
      <c r="C1103" s="210">
        <v>1</v>
      </c>
      <c r="D1103" s="210" t="s">
        <v>4255</v>
      </c>
      <c r="E1103" s="210">
        <v>0</v>
      </c>
      <c r="F1103" s="210" t="s">
        <v>4256</v>
      </c>
      <c r="G1103" s="210">
        <v>1</v>
      </c>
      <c r="H1103" s="50">
        <v>62150010</v>
      </c>
      <c r="I1103" s="39" t="s">
        <v>187</v>
      </c>
      <c r="J1103" s="39">
        <v>21</v>
      </c>
      <c r="K1103" s="106">
        <v>2637006</v>
      </c>
      <c r="L1103" s="50">
        <v>21</v>
      </c>
      <c r="M1103" s="52" t="s">
        <v>4272</v>
      </c>
      <c r="N1103" s="50" t="s">
        <v>4273</v>
      </c>
      <c r="O1103" s="52" t="s">
        <v>4274</v>
      </c>
    </row>
    <row r="1104" spans="2:15" ht="16.5" customHeight="1" x14ac:dyDescent="0.2">
      <c r="B1104" s="50">
        <f t="shared" si="88"/>
        <v>62150100</v>
      </c>
      <c r="C1104" s="210">
        <v>1</v>
      </c>
      <c r="D1104" s="210" t="s">
        <v>4255</v>
      </c>
      <c r="E1104" s="210">
        <v>0</v>
      </c>
      <c r="F1104" s="210" t="s">
        <v>4256</v>
      </c>
      <c r="G1104" s="210">
        <v>1</v>
      </c>
      <c r="H1104" s="50">
        <v>62150100</v>
      </c>
      <c r="I1104" s="39" t="s">
        <v>186</v>
      </c>
      <c r="J1104" s="39">
        <v>21</v>
      </c>
      <c r="K1104" s="106">
        <v>2637007</v>
      </c>
      <c r="L1104" s="50">
        <v>21</v>
      </c>
      <c r="M1104" s="52" t="s">
        <v>4275</v>
      </c>
      <c r="N1104" s="50" t="s">
        <v>4276</v>
      </c>
      <c r="O1104" s="52" t="s">
        <v>4277</v>
      </c>
    </row>
    <row r="1105" spans="2:15" x14ac:dyDescent="0.3">
      <c r="B1105" s="50">
        <f t="shared" si="87"/>
        <v>63000000</v>
      </c>
      <c r="C1105" s="39">
        <v>1</v>
      </c>
      <c r="D1105" s="39"/>
      <c r="E1105" s="39"/>
      <c r="F1105" s="39"/>
      <c r="G1105" s="39">
        <v>1</v>
      </c>
      <c r="H1105" s="50">
        <v>63000000</v>
      </c>
      <c r="I1105" s="48" t="s">
        <v>187</v>
      </c>
      <c r="J1105" s="48">
        <v>21</v>
      </c>
      <c r="K1105" s="106">
        <v>1400444</v>
      </c>
      <c r="L1105" s="50">
        <f t="shared" ref="L1105:L1167" si="89">VLOOKUP(I1105,error,2,FALSE)</f>
        <v>21</v>
      </c>
      <c r="M1105" s="50" t="s">
        <v>1504</v>
      </c>
      <c r="N1105" s="50" t="s">
        <v>1169</v>
      </c>
    </row>
    <row r="1106" spans="2:15" x14ac:dyDescent="0.3">
      <c r="B1106" s="50">
        <f t="shared" si="87"/>
        <v>63000001</v>
      </c>
      <c r="C1106" s="39">
        <v>1</v>
      </c>
      <c r="D1106" s="39"/>
      <c r="E1106" s="39"/>
      <c r="F1106" s="39"/>
      <c r="G1106" s="39">
        <v>1</v>
      </c>
      <c r="H1106" s="50">
        <v>63000001</v>
      </c>
      <c r="I1106" s="48" t="s">
        <v>187</v>
      </c>
      <c r="J1106" s="48">
        <v>21</v>
      </c>
      <c r="K1106" s="106">
        <v>1400445</v>
      </c>
      <c r="L1106" s="50">
        <f t="shared" si="89"/>
        <v>21</v>
      </c>
      <c r="M1106" s="50" t="s">
        <v>2348</v>
      </c>
      <c r="N1106" s="50" t="s">
        <v>1170</v>
      </c>
    </row>
    <row r="1107" spans="2:15" x14ac:dyDescent="0.3">
      <c r="B1107" s="50">
        <f t="shared" si="87"/>
        <v>63000002</v>
      </c>
      <c r="C1107" s="39">
        <v>1</v>
      </c>
      <c r="D1107" s="39"/>
      <c r="E1107" s="39"/>
      <c r="F1107" s="39"/>
      <c r="G1107" s="39">
        <v>1</v>
      </c>
      <c r="H1107" s="50">
        <v>63000002</v>
      </c>
      <c r="I1107" s="48" t="s">
        <v>187</v>
      </c>
      <c r="J1107" s="48">
        <v>21</v>
      </c>
      <c r="K1107" s="106">
        <v>1400446</v>
      </c>
      <c r="L1107" s="50">
        <f t="shared" si="89"/>
        <v>21</v>
      </c>
      <c r="M1107" s="50" t="s">
        <v>2349</v>
      </c>
      <c r="N1107" s="50" t="s">
        <v>1171</v>
      </c>
    </row>
    <row r="1108" spans="2:15" x14ac:dyDescent="0.3">
      <c r="B1108" s="50">
        <f t="shared" si="87"/>
        <v>63000003</v>
      </c>
      <c r="C1108" s="39">
        <v>1</v>
      </c>
      <c r="D1108" s="39"/>
      <c r="E1108" s="39"/>
      <c r="F1108" s="39"/>
      <c r="G1108" s="39">
        <v>1</v>
      </c>
      <c r="H1108" s="50">
        <v>63000003</v>
      </c>
      <c r="I1108" s="48" t="s">
        <v>187</v>
      </c>
      <c r="J1108" s="48">
        <v>21</v>
      </c>
      <c r="K1108" s="106">
        <v>1400447</v>
      </c>
      <c r="L1108" s="50">
        <f t="shared" si="89"/>
        <v>21</v>
      </c>
      <c r="M1108" s="50" t="s">
        <v>2350</v>
      </c>
      <c r="N1108" s="50" t="s">
        <v>1172</v>
      </c>
    </row>
    <row r="1109" spans="2:15" x14ac:dyDescent="0.3">
      <c r="B1109" s="50">
        <f t="shared" si="87"/>
        <v>63000004</v>
      </c>
      <c r="C1109" s="39">
        <v>1</v>
      </c>
      <c r="D1109" s="39"/>
      <c r="E1109" s="39"/>
      <c r="F1109" s="39"/>
      <c r="G1109" s="39">
        <v>1</v>
      </c>
      <c r="H1109" s="50">
        <v>63000004</v>
      </c>
      <c r="I1109" s="48" t="s">
        <v>187</v>
      </c>
      <c r="J1109" s="48">
        <v>21</v>
      </c>
      <c r="K1109" s="106">
        <v>1400448</v>
      </c>
      <c r="L1109" s="50">
        <f t="shared" si="89"/>
        <v>21</v>
      </c>
      <c r="M1109" s="50" t="s">
        <v>2351</v>
      </c>
      <c r="N1109" s="50" t="s">
        <v>1173</v>
      </c>
    </row>
    <row r="1110" spans="2:15" x14ac:dyDescent="0.3">
      <c r="B1110" s="50">
        <f t="shared" si="87"/>
        <v>63000005</v>
      </c>
      <c r="C1110" s="39">
        <v>1</v>
      </c>
      <c r="D1110" s="39"/>
      <c r="E1110" s="39"/>
      <c r="F1110" s="39"/>
      <c r="G1110" s="39">
        <v>1</v>
      </c>
      <c r="H1110" s="50">
        <v>63000005</v>
      </c>
      <c r="I1110" s="48" t="s">
        <v>187</v>
      </c>
      <c r="J1110" s="48">
        <v>21</v>
      </c>
      <c r="K1110" s="106">
        <v>1400449</v>
      </c>
      <c r="L1110" s="50">
        <f t="shared" si="89"/>
        <v>21</v>
      </c>
      <c r="M1110" s="50" t="s">
        <v>2352</v>
      </c>
      <c r="N1110" s="50" t="s">
        <v>1174</v>
      </c>
    </row>
    <row r="1111" spans="2:15" x14ac:dyDescent="0.3">
      <c r="B1111" s="50">
        <f t="shared" si="87"/>
        <v>63000006</v>
      </c>
      <c r="C1111" s="39">
        <v>1</v>
      </c>
      <c r="D1111" s="39"/>
      <c r="E1111" s="39"/>
      <c r="F1111" s="39"/>
      <c r="G1111" s="39">
        <v>1</v>
      </c>
      <c r="H1111" s="50">
        <v>63000006</v>
      </c>
      <c r="I1111" s="48" t="s">
        <v>187</v>
      </c>
      <c r="J1111" s="48">
        <v>21</v>
      </c>
      <c r="K1111" s="106">
        <v>1400450</v>
      </c>
      <c r="L1111" s="50">
        <f t="shared" si="89"/>
        <v>21</v>
      </c>
      <c r="M1111" s="50" t="s">
        <v>2353</v>
      </c>
      <c r="N1111" s="50" t="s">
        <v>1175</v>
      </c>
    </row>
    <row r="1112" spans="2:15" x14ac:dyDescent="0.3">
      <c r="B1112" s="50">
        <f t="shared" si="87"/>
        <v>63000007</v>
      </c>
      <c r="C1112" s="39">
        <v>1</v>
      </c>
      <c r="D1112" s="39" t="s">
        <v>2762</v>
      </c>
      <c r="E1112" s="39"/>
      <c r="F1112" s="39" t="s">
        <v>2763</v>
      </c>
      <c r="G1112" s="39">
        <v>1</v>
      </c>
      <c r="H1112" s="50">
        <v>63000007</v>
      </c>
      <c r="I1112" s="48" t="s">
        <v>186</v>
      </c>
      <c r="J1112" s="48">
        <v>0</v>
      </c>
      <c r="K1112" s="106">
        <v>1066708</v>
      </c>
      <c r="L1112" s="50">
        <f t="shared" si="89"/>
        <v>21</v>
      </c>
      <c r="M1112" s="50" t="s">
        <v>2764</v>
      </c>
      <c r="N1112" s="50" t="s">
        <v>2765</v>
      </c>
      <c r="O1112" s="50" t="s">
        <v>2766</v>
      </c>
    </row>
    <row r="1113" spans="2:15" x14ac:dyDescent="0.3">
      <c r="B1113" s="50">
        <f t="shared" si="87"/>
        <v>63000008</v>
      </c>
      <c r="C1113" s="39">
        <v>1</v>
      </c>
      <c r="D1113" s="39" t="s">
        <v>2762</v>
      </c>
      <c r="E1113" s="39"/>
      <c r="F1113" s="39" t="s">
        <v>2763</v>
      </c>
      <c r="G1113" s="39">
        <v>1</v>
      </c>
      <c r="H1113" s="50">
        <v>63000008</v>
      </c>
      <c r="I1113" s="48" t="s">
        <v>186</v>
      </c>
      <c r="J1113" s="48">
        <v>0</v>
      </c>
      <c r="K1113" s="106">
        <v>1066709</v>
      </c>
      <c r="L1113" s="50">
        <f t="shared" si="89"/>
        <v>21</v>
      </c>
      <c r="M1113" s="50" t="s">
        <v>2767</v>
      </c>
      <c r="N1113" s="50" t="s">
        <v>2768</v>
      </c>
      <c r="O1113" s="50" t="s">
        <v>2769</v>
      </c>
    </row>
    <row r="1114" spans="2:15" x14ac:dyDescent="0.3">
      <c r="B1114" s="50">
        <f t="shared" si="87"/>
        <v>63000009</v>
      </c>
      <c r="C1114" s="39">
        <v>1</v>
      </c>
      <c r="D1114" s="39" t="s">
        <v>2762</v>
      </c>
      <c r="E1114" s="39"/>
      <c r="F1114" s="39" t="s">
        <v>2763</v>
      </c>
      <c r="G1114" s="39">
        <v>1</v>
      </c>
      <c r="H1114" s="50">
        <v>63000009</v>
      </c>
      <c r="I1114" s="48" t="s">
        <v>186</v>
      </c>
      <c r="J1114" s="48">
        <v>0</v>
      </c>
      <c r="K1114" s="106">
        <v>1066710</v>
      </c>
      <c r="L1114" s="50">
        <f t="shared" si="89"/>
        <v>21</v>
      </c>
      <c r="M1114" s="50" t="s">
        <v>2770</v>
      </c>
      <c r="N1114" s="50" t="s">
        <v>2771</v>
      </c>
      <c r="O1114" s="50" t="s">
        <v>2772</v>
      </c>
    </row>
    <row r="1115" spans="2:15" x14ac:dyDescent="0.3">
      <c r="B1115" s="50">
        <f t="shared" si="87"/>
        <v>63000010</v>
      </c>
      <c r="C1115" s="39">
        <v>1</v>
      </c>
      <c r="D1115" s="39" t="s">
        <v>2762</v>
      </c>
      <c r="E1115" s="39"/>
      <c r="F1115" s="39" t="s">
        <v>2763</v>
      </c>
      <c r="G1115" s="39">
        <v>1</v>
      </c>
      <c r="H1115" s="50">
        <v>63000010</v>
      </c>
      <c r="I1115" s="48" t="s">
        <v>186</v>
      </c>
      <c r="J1115" s="48">
        <v>21</v>
      </c>
      <c r="K1115" s="106">
        <v>1066711</v>
      </c>
      <c r="L1115" s="50">
        <f t="shared" si="89"/>
        <v>21</v>
      </c>
      <c r="M1115" s="50" t="s">
        <v>2773</v>
      </c>
      <c r="N1115" s="50" t="s">
        <v>2774</v>
      </c>
      <c r="O1115" s="50" t="s">
        <v>2775</v>
      </c>
    </row>
    <row r="1116" spans="2:15" x14ac:dyDescent="0.3">
      <c r="B1116" s="50">
        <f t="shared" si="87"/>
        <v>63000011</v>
      </c>
      <c r="C1116" s="39">
        <v>1</v>
      </c>
      <c r="D1116" s="39" t="s">
        <v>2762</v>
      </c>
      <c r="E1116" s="39"/>
      <c r="F1116" s="39" t="s">
        <v>2763</v>
      </c>
      <c r="G1116" s="39">
        <v>1</v>
      </c>
      <c r="H1116" s="50">
        <v>63000011</v>
      </c>
      <c r="I1116" s="48" t="s">
        <v>186</v>
      </c>
      <c r="J1116" s="48">
        <v>21</v>
      </c>
      <c r="K1116" s="106">
        <v>1066712</v>
      </c>
      <c r="L1116" s="50">
        <f t="shared" si="89"/>
        <v>21</v>
      </c>
      <c r="M1116" s="50" t="s">
        <v>2776</v>
      </c>
      <c r="N1116" s="50" t="s">
        <v>2777</v>
      </c>
      <c r="O1116" s="50" t="s">
        <v>2778</v>
      </c>
    </row>
    <row r="1117" spans="2:15" x14ac:dyDescent="0.3">
      <c r="B1117" s="50">
        <f t="shared" si="87"/>
        <v>63100000</v>
      </c>
      <c r="C1117" s="39">
        <v>1</v>
      </c>
      <c r="D1117" s="39"/>
      <c r="E1117" s="39"/>
      <c r="F1117" s="39"/>
      <c r="G1117" s="39">
        <v>1</v>
      </c>
      <c r="H1117" s="50">
        <v>63100000</v>
      </c>
      <c r="I1117" s="48" t="s">
        <v>187</v>
      </c>
      <c r="J1117" s="48">
        <v>21</v>
      </c>
      <c r="K1117" s="106">
        <v>1104009</v>
      </c>
      <c r="L1117" s="50">
        <f t="shared" si="89"/>
        <v>21</v>
      </c>
      <c r="M1117" s="50" t="s">
        <v>1196</v>
      </c>
      <c r="N1117" s="50" t="s">
        <v>1210</v>
      </c>
    </row>
    <row r="1118" spans="2:15" ht="16.5" customHeight="1" x14ac:dyDescent="0.3">
      <c r="B1118" s="39">
        <f t="shared" si="87"/>
        <v>63100001</v>
      </c>
      <c r="C1118" s="39">
        <v>1</v>
      </c>
      <c r="D1118" s="39"/>
      <c r="E1118" s="39"/>
      <c r="F1118" s="39"/>
      <c r="G1118" s="39">
        <v>1</v>
      </c>
      <c r="H1118" s="39">
        <v>63100001</v>
      </c>
      <c r="I1118" s="39" t="s">
        <v>187</v>
      </c>
      <c r="J1118" s="39">
        <v>21</v>
      </c>
      <c r="K1118" s="46">
        <v>1104010</v>
      </c>
      <c r="L1118" s="39">
        <f t="shared" si="89"/>
        <v>21</v>
      </c>
      <c r="M1118" s="39" t="s">
        <v>1197</v>
      </c>
      <c r="N1118" s="39" t="s">
        <v>1211</v>
      </c>
      <c r="O1118" s="39"/>
    </row>
    <row r="1119" spans="2:15" ht="16.5" customHeight="1" x14ac:dyDescent="0.3">
      <c r="B1119" s="39">
        <f t="shared" si="87"/>
        <v>63100002</v>
      </c>
      <c r="C1119" s="39">
        <v>1</v>
      </c>
      <c r="D1119" s="39"/>
      <c r="E1119" s="39"/>
      <c r="F1119" s="39"/>
      <c r="G1119" s="39">
        <v>1</v>
      </c>
      <c r="H1119" s="39">
        <v>63100002</v>
      </c>
      <c r="I1119" s="39" t="s">
        <v>187</v>
      </c>
      <c r="J1119" s="39">
        <v>21</v>
      </c>
      <c r="K1119" s="46">
        <v>1104011</v>
      </c>
      <c r="L1119" s="39">
        <f t="shared" si="89"/>
        <v>21</v>
      </c>
      <c r="M1119" s="39" t="s">
        <v>1198</v>
      </c>
      <c r="N1119" s="39" t="s">
        <v>1212</v>
      </c>
      <c r="O1119" s="39"/>
    </row>
    <row r="1120" spans="2:15" ht="16.5" customHeight="1" x14ac:dyDescent="0.3">
      <c r="B1120" s="39">
        <f t="shared" si="87"/>
        <v>63100003</v>
      </c>
      <c r="C1120" s="39">
        <v>1</v>
      </c>
      <c r="D1120" s="39"/>
      <c r="E1120" s="39"/>
      <c r="F1120" s="39"/>
      <c r="G1120" s="39">
        <v>1</v>
      </c>
      <c r="H1120" s="39">
        <v>63100003</v>
      </c>
      <c r="I1120" s="39" t="s">
        <v>187</v>
      </c>
      <c r="J1120" s="39">
        <v>21</v>
      </c>
      <c r="K1120" s="46">
        <v>1104012</v>
      </c>
      <c r="L1120" s="39">
        <f t="shared" si="89"/>
        <v>21</v>
      </c>
      <c r="M1120" s="39" t="s">
        <v>1199</v>
      </c>
      <c r="N1120" s="39" t="s">
        <v>1213</v>
      </c>
      <c r="O1120" s="39"/>
    </row>
    <row r="1121" spans="1:15" ht="16.5" customHeight="1" x14ac:dyDescent="0.3">
      <c r="B1121" s="39">
        <f t="shared" ref="B1121:B1165" si="90">H1121</f>
        <v>63100004</v>
      </c>
      <c r="C1121" s="39">
        <v>1</v>
      </c>
      <c r="D1121" s="39"/>
      <c r="E1121" s="39"/>
      <c r="F1121" s="39"/>
      <c r="G1121" s="39">
        <v>1</v>
      </c>
      <c r="H1121" s="39">
        <v>63100004</v>
      </c>
      <c r="I1121" s="39" t="s">
        <v>187</v>
      </c>
      <c r="J1121" s="39">
        <v>21</v>
      </c>
      <c r="K1121" s="46">
        <v>1104013</v>
      </c>
      <c r="L1121" s="39">
        <f t="shared" si="89"/>
        <v>21</v>
      </c>
      <c r="M1121" s="39" t="s">
        <v>1200</v>
      </c>
      <c r="N1121" s="39" t="s">
        <v>1214</v>
      </c>
      <c r="O1121" s="39"/>
    </row>
    <row r="1122" spans="1:15" ht="17.25" customHeight="1" thickBot="1" x14ac:dyDescent="0.35">
      <c r="B1122" s="44">
        <f t="shared" si="90"/>
        <v>63100005</v>
      </c>
      <c r="C1122" s="39">
        <v>1</v>
      </c>
      <c r="D1122" s="39"/>
      <c r="E1122" s="39"/>
      <c r="F1122" s="39"/>
      <c r="G1122" s="39">
        <v>1</v>
      </c>
      <c r="H1122" s="44">
        <v>63100005</v>
      </c>
      <c r="I1122" s="44" t="s">
        <v>187</v>
      </c>
      <c r="J1122" s="44">
        <v>21</v>
      </c>
      <c r="K1122" s="54">
        <v>1104014</v>
      </c>
      <c r="L1122" s="44">
        <f t="shared" si="89"/>
        <v>21</v>
      </c>
      <c r="M1122" s="44" t="s">
        <v>1201</v>
      </c>
      <c r="N1122" s="44" t="s">
        <v>1215</v>
      </c>
      <c r="O1122" s="44"/>
    </row>
    <row r="1123" spans="1:15" s="199" customFormat="1" ht="12.75" thickTop="1" x14ac:dyDescent="0.3">
      <c r="A1123" s="50"/>
      <c r="B1123" s="217">
        <f t="shared" si="90"/>
        <v>63100006</v>
      </c>
      <c r="C1123" s="39">
        <v>1</v>
      </c>
      <c r="D1123" s="39"/>
      <c r="E1123" s="39"/>
      <c r="F1123" s="39"/>
      <c r="G1123" s="39">
        <v>1</v>
      </c>
      <c r="H1123" s="49">
        <v>63100006</v>
      </c>
      <c r="I1123" s="49" t="s">
        <v>187</v>
      </c>
      <c r="J1123" s="49">
        <v>21</v>
      </c>
      <c r="K1123" s="218">
        <v>1104015</v>
      </c>
      <c r="L1123" s="49">
        <f t="shared" si="89"/>
        <v>21</v>
      </c>
      <c r="M1123" s="49" t="s">
        <v>1202</v>
      </c>
      <c r="N1123" s="49" t="s">
        <v>1216</v>
      </c>
      <c r="O1123" s="138"/>
    </row>
    <row r="1124" spans="1:15" s="199" customFormat="1" x14ac:dyDescent="0.3">
      <c r="A1124" s="50"/>
      <c r="B1124" s="129">
        <f t="shared" si="90"/>
        <v>63100007</v>
      </c>
      <c r="C1124" s="39">
        <v>1</v>
      </c>
      <c r="D1124" s="39"/>
      <c r="E1124" s="39"/>
      <c r="F1124" s="39"/>
      <c r="G1124" s="39">
        <v>1</v>
      </c>
      <c r="H1124" s="47">
        <v>63100007</v>
      </c>
      <c r="I1124" s="47" t="s">
        <v>187</v>
      </c>
      <c r="J1124" s="47">
        <v>21</v>
      </c>
      <c r="K1124" s="198">
        <v>1104016</v>
      </c>
      <c r="L1124" s="47">
        <f t="shared" si="89"/>
        <v>21</v>
      </c>
      <c r="M1124" s="47" t="s">
        <v>1203</v>
      </c>
      <c r="N1124" s="47" t="s">
        <v>1217</v>
      </c>
      <c r="O1124" s="141"/>
    </row>
    <row r="1125" spans="1:15" s="199" customFormat="1" x14ac:dyDescent="0.3">
      <c r="A1125" s="50"/>
      <c r="B1125" s="129">
        <f t="shared" si="90"/>
        <v>63100008</v>
      </c>
      <c r="C1125" s="39">
        <v>1</v>
      </c>
      <c r="D1125" s="39"/>
      <c r="E1125" s="39"/>
      <c r="F1125" s="39"/>
      <c r="G1125" s="39">
        <v>1</v>
      </c>
      <c r="H1125" s="47">
        <v>63100008</v>
      </c>
      <c r="I1125" s="47" t="s">
        <v>187</v>
      </c>
      <c r="J1125" s="47">
        <v>21</v>
      </c>
      <c r="K1125" s="198">
        <v>1104017</v>
      </c>
      <c r="L1125" s="47">
        <f t="shared" si="89"/>
        <v>21</v>
      </c>
      <c r="M1125" s="47" t="s">
        <v>1204</v>
      </c>
      <c r="N1125" s="47" t="s">
        <v>1218</v>
      </c>
      <c r="O1125" s="141"/>
    </row>
    <row r="1126" spans="1:15" s="199" customFormat="1" x14ac:dyDescent="0.3">
      <c r="A1126" s="50"/>
      <c r="B1126" s="129">
        <f t="shared" si="90"/>
        <v>63100009</v>
      </c>
      <c r="C1126" s="39">
        <v>1</v>
      </c>
      <c r="D1126" s="39"/>
      <c r="E1126" s="39"/>
      <c r="F1126" s="39"/>
      <c r="G1126" s="39">
        <v>1</v>
      </c>
      <c r="H1126" s="47">
        <v>63100009</v>
      </c>
      <c r="I1126" s="47" t="s">
        <v>187</v>
      </c>
      <c r="J1126" s="47">
        <v>21</v>
      </c>
      <c r="K1126" s="198">
        <v>1104018</v>
      </c>
      <c r="L1126" s="47">
        <f t="shared" si="89"/>
        <v>21</v>
      </c>
      <c r="M1126" s="47" t="s">
        <v>1205</v>
      </c>
      <c r="N1126" s="47" t="s">
        <v>1219</v>
      </c>
      <c r="O1126" s="141"/>
    </row>
    <row r="1127" spans="1:15" s="199" customFormat="1" x14ac:dyDescent="0.3">
      <c r="A1127" s="50"/>
      <c r="B1127" s="129">
        <f t="shared" si="90"/>
        <v>63100010</v>
      </c>
      <c r="C1127" s="39">
        <v>1</v>
      </c>
      <c r="D1127" s="39"/>
      <c r="E1127" s="39"/>
      <c r="F1127" s="39"/>
      <c r="G1127" s="39">
        <v>1</v>
      </c>
      <c r="H1127" s="47">
        <v>63100010</v>
      </c>
      <c r="I1127" s="47" t="s">
        <v>187</v>
      </c>
      <c r="J1127" s="47">
        <v>21</v>
      </c>
      <c r="K1127" s="198">
        <v>1104019</v>
      </c>
      <c r="L1127" s="47">
        <f t="shared" si="89"/>
        <v>21</v>
      </c>
      <c r="M1127" s="47" t="s">
        <v>1206</v>
      </c>
      <c r="N1127" s="47" t="s">
        <v>1220</v>
      </c>
      <c r="O1127" s="141"/>
    </row>
    <row r="1128" spans="1:15" s="199" customFormat="1" x14ac:dyDescent="0.3">
      <c r="A1128" s="50"/>
      <c r="B1128" s="129">
        <f t="shared" si="90"/>
        <v>63100011</v>
      </c>
      <c r="C1128" s="39">
        <v>1</v>
      </c>
      <c r="D1128" s="39"/>
      <c r="E1128" s="39"/>
      <c r="F1128" s="39"/>
      <c r="G1128" s="39">
        <v>1</v>
      </c>
      <c r="H1128" s="47">
        <v>63100011</v>
      </c>
      <c r="I1128" s="47" t="s">
        <v>187</v>
      </c>
      <c r="J1128" s="47">
        <v>21</v>
      </c>
      <c r="K1128" s="198">
        <v>1104020</v>
      </c>
      <c r="L1128" s="47">
        <f t="shared" si="89"/>
        <v>21</v>
      </c>
      <c r="M1128" s="47" t="s">
        <v>1207</v>
      </c>
      <c r="N1128" s="47" t="s">
        <v>1221</v>
      </c>
      <c r="O1128" s="141"/>
    </row>
    <row r="1129" spans="1:15" s="199" customFormat="1" x14ac:dyDescent="0.3">
      <c r="A1129" s="50"/>
      <c r="B1129" s="129">
        <f t="shared" si="90"/>
        <v>63100012</v>
      </c>
      <c r="C1129" s="39">
        <v>1</v>
      </c>
      <c r="D1129" s="39"/>
      <c r="E1129" s="39"/>
      <c r="F1129" s="39"/>
      <c r="G1129" s="39">
        <v>1</v>
      </c>
      <c r="H1129" s="47">
        <v>63100012</v>
      </c>
      <c r="I1129" s="47" t="s">
        <v>187</v>
      </c>
      <c r="J1129" s="47">
        <v>21</v>
      </c>
      <c r="K1129" s="198">
        <v>1104021</v>
      </c>
      <c r="L1129" s="47">
        <f t="shared" si="89"/>
        <v>21</v>
      </c>
      <c r="M1129" s="47" t="s">
        <v>1208</v>
      </c>
      <c r="N1129" s="47" t="s">
        <v>1222</v>
      </c>
      <c r="O1129" s="141"/>
    </row>
    <row r="1130" spans="1:15" s="199" customFormat="1" x14ac:dyDescent="0.3">
      <c r="A1130" s="50"/>
      <c r="B1130" s="129">
        <f t="shared" si="90"/>
        <v>63100013</v>
      </c>
      <c r="C1130" s="39">
        <v>1</v>
      </c>
      <c r="D1130" s="39"/>
      <c r="E1130" s="39"/>
      <c r="F1130" s="39"/>
      <c r="G1130" s="39">
        <v>1</v>
      </c>
      <c r="H1130" s="47">
        <v>63100013</v>
      </c>
      <c r="I1130" s="47" t="s">
        <v>187</v>
      </c>
      <c r="J1130" s="47">
        <v>21</v>
      </c>
      <c r="K1130" s="198">
        <v>1104022</v>
      </c>
      <c r="L1130" s="47">
        <f t="shared" si="89"/>
        <v>21</v>
      </c>
      <c r="M1130" s="47" t="s">
        <v>1209</v>
      </c>
      <c r="N1130" s="47" t="s">
        <v>1223</v>
      </c>
      <c r="O1130" s="141"/>
    </row>
    <row r="1131" spans="1:15" x14ac:dyDescent="0.3">
      <c r="B1131" s="129">
        <f t="shared" si="90"/>
        <v>63100014</v>
      </c>
      <c r="C1131" s="39">
        <v>1</v>
      </c>
      <c r="D1131" s="39"/>
      <c r="E1131" s="39"/>
      <c r="F1131" s="39"/>
      <c r="G1131" s="39">
        <v>1</v>
      </c>
      <c r="H1131" s="47">
        <v>63100014</v>
      </c>
      <c r="I1131" s="47" t="s">
        <v>187</v>
      </c>
      <c r="J1131" s="47">
        <v>21</v>
      </c>
      <c r="K1131" s="198">
        <v>1104047</v>
      </c>
      <c r="L1131" s="47">
        <f t="shared" si="89"/>
        <v>21</v>
      </c>
      <c r="M1131" s="47" t="s">
        <v>2354</v>
      </c>
      <c r="N1131" s="47" t="s">
        <v>1310</v>
      </c>
      <c r="O1131" s="47"/>
    </row>
    <row r="1132" spans="1:15" x14ac:dyDescent="0.3">
      <c r="B1132" s="129">
        <f t="shared" si="90"/>
        <v>63110000</v>
      </c>
      <c r="C1132" s="39">
        <v>1</v>
      </c>
      <c r="D1132" s="39"/>
      <c r="E1132" s="39"/>
      <c r="F1132" s="39"/>
      <c r="G1132" s="39">
        <v>1</v>
      </c>
      <c r="H1132" s="219">
        <v>63110000</v>
      </c>
      <c r="I1132" s="47" t="s">
        <v>187</v>
      </c>
      <c r="J1132" s="47">
        <v>21</v>
      </c>
      <c r="K1132" s="198">
        <v>1072100</v>
      </c>
      <c r="L1132" s="47">
        <f t="shared" si="89"/>
        <v>21</v>
      </c>
      <c r="M1132" s="47" t="s">
        <v>2355</v>
      </c>
      <c r="N1132" s="219" t="s">
        <v>1756</v>
      </c>
      <c r="O1132" s="47"/>
    </row>
    <row r="1133" spans="1:15" x14ac:dyDescent="0.3">
      <c r="B1133" s="129">
        <f t="shared" si="90"/>
        <v>63110001</v>
      </c>
      <c r="C1133" s="39">
        <v>1</v>
      </c>
      <c r="D1133" s="39"/>
      <c r="E1133" s="39"/>
      <c r="F1133" s="39"/>
      <c r="G1133" s="39">
        <v>1</v>
      </c>
      <c r="H1133" s="219">
        <v>63110001</v>
      </c>
      <c r="I1133" s="47" t="s">
        <v>187</v>
      </c>
      <c r="J1133" s="47">
        <v>21</v>
      </c>
      <c r="K1133" s="198">
        <v>1072101</v>
      </c>
      <c r="L1133" s="47">
        <f t="shared" si="89"/>
        <v>21</v>
      </c>
      <c r="M1133" s="47" t="s">
        <v>2356</v>
      </c>
      <c r="N1133" s="219" t="s">
        <v>1757</v>
      </c>
      <c r="O1133" s="141"/>
    </row>
    <row r="1134" spans="1:15" x14ac:dyDescent="0.3">
      <c r="B1134" s="129">
        <f t="shared" si="90"/>
        <v>63110002</v>
      </c>
      <c r="C1134" s="39">
        <v>1</v>
      </c>
      <c r="D1134" s="39" t="s">
        <v>3169</v>
      </c>
      <c r="E1134" s="39"/>
      <c r="F1134" s="39" t="s">
        <v>3170</v>
      </c>
      <c r="G1134" s="39">
        <v>1</v>
      </c>
      <c r="H1134" s="219">
        <v>63110002</v>
      </c>
      <c r="I1134" s="47" t="s">
        <v>186</v>
      </c>
      <c r="J1134" s="47">
        <v>21</v>
      </c>
      <c r="K1134" s="198">
        <v>1072128</v>
      </c>
      <c r="L1134" s="47">
        <f t="shared" si="89"/>
        <v>21</v>
      </c>
      <c r="M1134" s="47" t="s">
        <v>3171</v>
      </c>
      <c r="N1134" s="219" t="s">
        <v>3172</v>
      </c>
      <c r="O1134" s="141" t="s">
        <v>3173</v>
      </c>
    </row>
    <row r="1135" spans="1:15" x14ac:dyDescent="0.3">
      <c r="B1135" s="129">
        <f t="shared" si="90"/>
        <v>63110003</v>
      </c>
      <c r="C1135" s="39">
        <v>1</v>
      </c>
      <c r="D1135" s="39" t="s">
        <v>3169</v>
      </c>
      <c r="E1135" s="39"/>
      <c r="F1135" s="39" t="s">
        <v>3170</v>
      </c>
      <c r="G1135" s="39">
        <v>1</v>
      </c>
      <c r="H1135" s="219">
        <v>63110003</v>
      </c>
      <c r="I1135" s="47" t="s">
        <v>186</v>
      </c>
      <c r="J1135" s="47">
        <v>21</v>
      </c>
      <c r="K1135" s="198">
        <v>1072129</v>
      </c>
      <c r="L1135" s="47">
        <f t="shared" si="89"/>
        <v>21</v>
      </c>
      <c r="M1135" s="47" t="s">
        <v>3174</v>
      </c>
      <c r="N1135" s="219" t="s">
        <v>3175</v>
      </c>
      <c r="O1135" s="141" t="s">
        <v>3176</v>
      </c>
    </row>
    <row r="1136" spans="1:15" x14ac:dyDescent="0.3">
      <c r="B1136" s="129">
        <f t="shared" si="90"/>
        <v>63110004</v>
      </c>
      <c r="C1136" s="39">
        <v>1</v>
      </c>
      <c r="D1136" s="39" t="s">
        <v>3169</v>
      </c>
      <c r="E1136" s="39"/>
      <c r="F1136" s="39" t="s">
        <v>3170</v>
      </c>
      <c r="G1136" s="39">
        <v>1</v>
      </c>
      <c r="H1136" s="219">
        <v>63110004</v>
      </c>
      <c r="I1136" s="47" t="s">
        <v>186</v>
      </c>
      <c r="J1136" s="47">
        <v>21</v>
      </c>
      <c r="K1136" s="198">
        <v>1072123</v>
      </c>
      <c r="L1136" s="47">
        <f t="shared" si="89"/>
        <v>21</v>
      </c>
      <c r="M1136" s="47" t="s">
        <v>3177</v>
      </c>
      <c r="N1136" s="219" t="s">
        <v>3178</v>
      </c>
      <c r="O1136" s="141" t="s">
        <v>3179</v>
      </c>
    </row>
    <row r="1137" spans="2:15" x14ac:dyDescent="0.3">
      <c r="B1137" s="129">
        <f t="shared" si="90"/>
        <v>63110005</v>
      </c>
      <c r="C1137" s="39">
        <v>1</v>
      </c>
      <c r="D1137" s="39" t="s">
        <v>3169</v>
      </c>
      <c r="E1137" s="39"/>
      <c r="F1137" s="39" t="s">
        <v>3170</v>
      </c>
      <c r="G1137" s="39">
        <v>1</v>
      </c>
      <c r="H1137" s="219">
        <v>63110005</v>
      </c>
      <c r="I1137" s="47" t="s">
        <v>186</v>
      </c>
      <c r="J1137" s="47">
        <v>21</v>
      </c>
      <c r="K1137" s="198">
        <v>1072129</v>
      </c>
      <c r="L1137" s="47">
        <f t="shared" si="89"/>
        <v>21</v>
      </c>
      <c r="M1137" s="47" t="s">
        <v>3174</v>
      </c>
      <c r="N1137" s="219" t="s">
        <v>3180</v>
      </c>
      <c r="O1137" s="141" t="s">
        <v>3181</v>
      </c>
    </row>
    <row r="1138" spans="2:15" x14ac:dyDescent="0.3">
      <c r="B1138" s="129">
        <f t="shared" si="90"/>
        <v>63110006</v>
      </c>
      <c r="C1138" s="39">
        <v>1</v>
      </c>
      <c r="D1138" s="39" t="s">
        <v>3169</v>
      </c>
      <c r="E1138" s="39"/>
      <c r="F1138" s="39" t="s">
        <v>3170</v>
      </c>
      <c r="G1138" s="39">
        <v>1</v>
      </c>
      <c r="H1138" s="219">
        <v>63110006</v>
      </c>
      <c r="I1138" s="47" t="s">
        <v>186</v>
      </c>
      <c r="J1138" s="47">
        <v>21</v>
      </c>
      <c r="K1138" s="198">
        <v>1072122</v>
      </c>
      <c r="L1138" s="47">
        <f t="shared" si="89"/>
        <v>21</v>
      </c>
      <c r="M1138" s="47" t="s">
        <v>3182</v>
      </c>
      <c r="N1138" s="219" t="s">
        <v>3183</v>
      </c>
      <c r="O1138" s="141" t="s">
        <v>3184</v>
      </c>
    </row>
    <row r="1139" spans="2:15" x14ac:dyDescent="0.3">
      <c r="B1139" s="129">
        <f t="shared" si="90"/>
        <v>63110007</v>
      </c>
      <c r="C1139" s="39">
        <v>1</v>
      </c>
      <c r="D1139" s="39" t="s">
        <v>3169</v>
      </c>
      <c r="E1139" s="39"/>
      <c r="F1139" s="39" t="s">
        <v>3170</v>
      </c>
      <c r="G1139" s="39">
        <v>1</v>
      </c>
      <c r="H1139" s="219">
        <v>63110007</v>
      </c>
      <c r="I1139" s="47" t="s">
        <v>186</v>
      </c>
      <c r="J1139" s="47">
        <v>21</v>
      </c>
      <c r="K1139" s="198">
        <v>1072130</v>
      </c>
      <c r="L1139" s="47">
        <f t="shared" si="89"/>
        <v>21</v>
      </c>
      <c r="M1139" s="47" t="s">
        <v>3185</v>
      </c>
      <c r="N1139" s="219" t="s">
        <v>3186</v>
      </c>
      <c r="O1139" s="141" t="s">
        <v>3187</v>
      </c>
    </row>
    <row r="1140" spans="2:15" x14ac:dyDescent="0.3">
      <c r="B1140" s="129">
        <f t="shared" si="90"/>
        <v>63200000</v>
      </c>
      <c r="C1140" s="39">
        <v>1</v>
      </c>
      <c r="D1140" s="39"/>
      <c r="E1140" s="39"/>
      <c r="F1140" s="39"/>
      <c r="G1140" s="39">
        <v>1</v>
      </c>
      <c r="H1140" s="47">
        <v>63200000</v>
      </c>
      <c r="I1140" s="47" t="s">
        <v>187</v>
      </c>
      <c r="J1140" s="47">
        <v>21</v>
      </c>
      <c r="K1140" s="198">
        <v>1060508</v>
      </c>
      <c r="L1140" s="47">
        <f t="shared" si="89"/>
        <v>21</v>
      </c>
      <c r="M1140" s="47" t="s">
        <v>1849</v>
      </c>
      <c r="N1140" s="47" t="s">
        <v>1180</v>
      </c>
      <c r="O1140" s="141"/>
    </row>
    <row r="1141" spans="2:15" x14ac:dyDescent="0.3">
      <c r="B1141" s="129">
        <f t="shared" si="90"/>
        <v>63200001</v>
      </c>
      <c r="C1141" s="39">
        <v>1</v>
      </c>
      <c r="D1141" s="39"/>
      <c r="E1141" s="39"/>
      <c r="F1141" s="39"/>
      <c r="G1141" s="39">
        <v>1</v>
      </c>
      <c r="H1141" s="47">
        <v>63200001</v>
      </c>
      <c r="I1141" s="47" t="s">
        <v>187</v>
      </c>
      <c r="J1141" s="47">
        <v>21</v>
      </c>
      <c r="K1141" s="198">
        <v>1060505</v>
      </c>
      <c r="L1141" s="47">
        <f t="shared" si="89"/>
        <v>21</v>
      </c>
      <c r="M1141" s="47" t="s">
        <v>1850</v>
      </c>
      <c r="N1141" s="47" t="s">
        <v>1181</v>
      </c>
      <c r="O1141" s="141"/>
    </row>
    <row r="1142" spans="2:15" x14ac:dyDescent="0.3">
      <c r="B1142" s="61">
        <f t="shared" si="90"/>
        <v>63200002</v>
      </c>
      <c r="C1142" s="39">
        <v>1</v>
      </c>
      <c r="D1142" s="39"/>
      <c r="E1142" s="39"/>
      <c r="F1142" s="39"/>
      <c r="G1142" s="39">
        <v>1</v>
      </c>
      <c r="H1142" s="61">
        <v>63200002</v>
      </c>
      <c r="I1142" s="61" t="s">
        <v>187</v>
      </c>
      <c r="J1142" s="61">
        <v>21</v>
      </c>
      <c r="K1142" s="220">
        <v>1060506</v>
      </c>
      <c r="L1142" s="61">
        <f t="shared" si="89"/>
        <v>21</v>
      </c>
      <c r="M1142" s="61" t="s">
        <v>1851</v>
      </c>
      <c r="N1142" s="61" t="s">
        <v>1182</v>
      </c>
      <c r="O1142" s="61"/>
    </row>
    <row r="1143" spans="2:15" x14ac:dyDescent="0.3">
      <c r="B1143" s="61">
        <f t="shared" si="90"/>
        <v>63200003</v>
      </c>
      <c r="C1143" s="39">
        <v>1</v>
      </c>
      <c r="D1143" s="39"/>
      <c r="E1143" s="39"/>
      <c r="F1143" s="39"/>
      <c r="G1143" s="39">
        <v>1</v>
      </c>
      <c r="H1143" s="61">
        <v>63200003</v>
      </c>
      <c r="I1143" s="61" t="s">
        <v>187</v>
      </c>
      <c r="J1143" s="61">
        <v>21</v>
      </c>
      <c r="K1143" s="220">
        <v>1060502</v>
      </c>
      <c r="L1143" s="61">
        <f t="shared" si="89"/>
        <v>21</v>
      </c>
      <c r="M1143" s="61" t="s">
        <v>1852</v>
      </c>
      <c r="N1143" s="61" t="s">
        <v>1183</v>
      </c>
      <c r="O1143" s="61"/>
    </row>
    <row r="1144" spans="2:15" x14ac:dyDescent="0.3">
      <c r="B1144" s="61">
        <f t="shared" si="90"/>
        <v>63200004</v>
      </c>
      <c r="C1144" s="39">
        <v>1</v>
      </c>
      <c r="D1144" s="39"/>
      <c r="E1144" s="39"/>
      <c r="F1144" s="39"/>
      <c r="G1144" s="39">
        <v>1</v>
      </c>
      <c r="H1144" s="61">
        <v>63200004</v>
      </c>
      <c r="I1144" s="61" t="s">
        <v>187</v>
      </c>
      <c r="J1144" s="61">
        <v>21</v>
      </c>
      <c r="K1144" s="220">
        <v>1060509</v>
      </c>
      <c r="L1144" s="61">
        <f t="shared" si="89"/>
        <v>21</v>
      </c>
      <c r="M1144" s="61" t="s">
        <v>1853</v>
      </c>
      <c r="N1144" s="61" t="s">
        <v>1184</v>
      </c>
      <c r="O1144" s="61"/>
    </row>
    <row r="1145" spans="2:15" x14ac:dyDescent="0.3">
      <c r="B1145" s="61">
        <f t="shared" si="90"/>
        <v>63200005</v>
      </c>
      <c r="C1145" s="39">
        <v>1</v>
      </c>
      <c r="D1145" s="39"/>
      <c r="E1145" s="39"/>
      <c r="F1145" s="39"/>
      <c r="G1145" s="39">
        <v>1</v>
      </c>
      <c r="H1145" s="61">
        <v>63200005</v>
      </c>
      <c r="I1145" s="61" t="s">
        <v>187</v>
      </c>
      <c r="J1145" s="61">
        <v>21</v>
      </c>
      <c r="K1145" s="220">
        <v>1060501</v>
      </c>
      <c r="L1145" s="61">
        <f t="shared" si="89"/>
        <v>21</v>
      </c>
      <c r="M1145" s="61" t="s">
        <v>1854</v>
      </c>
      <c r="N1145" s="61" t="s">
        <v>1185</v>
      </c>
      <c r="O1145" s="61"/>
    </row>
    <row r="1146" spans="2:15" x14ac:dyDescent="0.3">
      <c r="B1146" s="50">
        <f t="shared" si="90"/>
        <v>63200006</v>
      </c>
      <c r="C1146" s="39">
        <v>1</v>
      </c>
      <c r="D1146" s="39"/>
      <c r="E1146" s="39"/>
      <c r="F1146" s="39"/>
      <c r="G1146" s="39">
        <v>1</v>
      </c>
      <c r="H1146" s="50">
        <v>63200006</v>
      </c>
      <c r="I1146" s="50" t="s">
        <v>187</v>
      </c>
      <c r="J1146" s="50">
        <v>21</v>
      </c>
      <c r="K1146" s="105">
        <v>1060510</v>
      </c>
      <c r="L1146" s="50">
        <f t="shared" si="89"/>
        <v>21</v>
      </c>
      <c r="M1146" s="50" t="s">
        <v>1855</v>
      </c>
      <c r="N1146" s="50" t="s">
        <v>1605</v>
      </c>
    </row>
    <row r="1147" spans="2:15" x14ac:dyDescent="0.3">
      <c r="B1147" s="50">
        <f t="shared" si="90"/>
        <v>63200007</v>
      </c>
      <c r="C1147" s="39">
        <v>1</v>
      </c>
      <c r="D1147" s="39"/>
      <c r="E1147" s="39"/>
      <c r="F1147" s="39"/>
      <c r="G1147" s="39">
        <v>1</v>
      </c>
      <c r="H1147" s="50">
        <v>63200007</v>
      </c>
      <c r="I1147" s="50" t="s">
        <v>187</v>
      </c>
      <c r="J1147" s="50">
        <v>21</v>
      </c>
      <c r="K1147" s="105">
        <v>1060512</v>
      </c>
      <c r="L1147" s="50">
        <f t="shared" si="89"/>
        <v>21</v>
      </c>
      <c r="M1147" s="50" t="s">
        <v>1920</v>
      </c>
      <c r="N1147" s="50" t="s">
        <v>1919</v>
      </c>
    </row>
    <row r="1148" spans="2:15" x14ac:dyDescent="0.3">
      <c r="B1148" s="111">
        <f t="shared" si="90"/>
        <v>63200010</v>
      </c>
      <c r="C1148" s="39">
        <v>1</v>
      </c>
      <c r="D1148" s="39"/>
      <c r="E1148" s="39"/>
      <c r="F1148" s="39"/>
      <c r="G1148" s="39">
        <v>1</v>
      </c>
      <c r="H1148" s="111">
        <v>63200010</v>
      </c>
      <c r="I1148" s="111" t="s">
        <v>187</v>
      </c>
      <c r="J1148" s="50">
        <v>21</v>
      </c>
      <c r="K1148" s="105">
        <v>1060918</v>
      </c>
      <c r="L1148" s="50">
        <f t="shared" si="89"/>
        <v>21</v>
      </c>
      <c r="M1148" s="50" t="s">
        <v>2559</v>
      </c>
      <c r="N1148" s="50" t="s">
        <v>2558</v>
      </c>
    </row>
    <row r="1149" spans="2:15" x14ac:dyDescent="0.3">
      <c r="B1149" s="112">
        <f t="shared" si="90"/>
        <v>63200011</v>
      </c>
      <c r="C1149" s="39">
        <v>1</v>
      </c>
      <c r="D1149" s="39"/>
      <c r="E1149" s="39"/>
      <c r="F1149" s="39"/>
      <c r="G1149" s="39">
        <v>1</v>
      </c>
      <c r="H1149" s="112">
        <v>63200011</v>
      </c>
      <c r="I1149" s="112" t="s">
        <v>187</v>
      </c>
      <c r="J1149" s="50">
        <v>21</v>
      </c>
      <c r="K1149" s="221">
        <v>1060806</v>
      </c>
      <c r="L1149" s="50">
        <f t="shared" si="89"/>
        <v>21</v>
      </c>
      <c r="M1149" s="50" t="s">
        <v>2560</v>
      </c>
      <c r="N1149" s="50" t="s">
        <v>2561</v>
      </c>
    </row>
    <row r="1150" spans="2:15" x14ac:dyDescent="0.3">
      <c r="B1150" s="112">
        <f t="shared" si="90"/>
        <v>63200012</v>
      </c>
      <c r="C1150" s="39">
        <v>1</v>
      </c>
      <c r="D1150" s="39"/>
      <c r="E1150" s="39"/>
      <c r="F1150" s="39"/>
      <c r="G1150" s="39">
        <v>1</v>
      </c>
      <c r="H1150" s="112">
        <v>63200012</v>
      </c>
      <c r="I1150" s="112" t="s">
        <v>187</v>
      </c>
      <c r="J1150" s="50">
        <v>21</v>
      </c>
      <c r="K1150" s="221">
        <v>1060807</v>
      </c>
      <c r="L1150" s="50">
        <f t="shared" si="89"/>
        <v>21</v>
      </c>
      <c r="M1150" s="50" t="s">
        <v>2562</v>
      </c>
      <c r="N1150" s="50" t="s">
        <v>2563</v>
      </c>
    </row>
    <row r="1151" spans="2:15" x14ac:dyDescent="0.3">
      <c r="B1151" s="112">
        <f t="shared" si="90"/>
        <v>63200013</v>
      </c>
      <c r="C1151" s="39">
        <v>1</v>
      </c>
      <c r="D1151" s="39"/>
      <c r="E1151" s="39"/>
      <c r="F1151" s="39"/>
      <c r="G1151" s="39">
        <v>1</v>
      </c>
      <c r="H1151" s="112">
        <v>63200013</v>
      </c>
      <c r="I1151" s="112" t="s">
        <v>187</v>
      </c>
      <c r="J1151" s="50">
        <v>21</v>
      </c>
      <c r="K1151" s="221">
        <v>1060810</v>
      </c>
      <c r="L1151" s="50">
        <f t="shared" si="89"/>
        <v>21</v>
      </c>
      <c r="M1151" s="50" t="s">
        <v>2564</v>
      </c>
      <c r="N1151" s="50" t="s">
        <v>2565</v>
      </c>
    </row>
    <row r="1152" spans="2:15" x14ac:dyDescent="0.3">
      <c r="B1152" s="112">
        <f t="shared" si="90"/>
        <v>63200014</v>
      </c>
      <c r="C1152" s="39">
        <v>1</v>
      </c>
      <c r="D1152" s="39"/>
      <c r="E1152" s="39"/>
      <c r="F1152" s="39"/>
      <c r="G1152" s="39">
        <v>1</v>
      </c>
      <c r="H1152" s="112">
        <v>63200014</v>
      </c>
      <c r="I1152" s="112" t="s">
        <v>187</v>
      </c>
      <c r="J1152" s="50">
        <v>21</v>
      </c>
      <c r="K1152" s="221">
        <v>1060802</v>
      </c>
      <c r="L1152" s="50">
        <f t="shared" si="89"/>
        <v>21</v>
      </c>
      <c r="M1152" s="50" t="s">
        <v>2566</v>
      </c>
      <c r="N1152" s="50" t="s">
        <v>2567</v>
      </c>
    </row>
    <row r="1153" spans="2:15" x14ac:dyDescent="0.3">
      <c r="B1153" s="112">
        <f t="shared" si="90"/>
        <v>63200015</v>
      </c>
      <c r="C1153" s="39">
        <v>1</v>
      </c>
      <c r="D1153" s="39"/>
      <c r="E1153" s="39"/>
      <c r="F1153" s="39"/>
      <c r="G1153" s="39">
        <v>1</v>
      </c>
      <c r="H1153" s="112">
        <v>63200015</v>
      </c>
      <c r="I1153" s="112" t="s">
        <v>187</v>
      </c>
      <c r="J1153" s="50">
        <v>21</v>
      </c>
      <c r="K1153" s="221">
        <v>1060811</v>
      </c>
      <c r="L1153" s="50">
        <f t="shared" si="89"/>
        <v>21</v>
      </c>
      <c r="M1153" s="50" t="s">
        <v>2568</v>
      </c>
      <c r="N1153" s="50" t="s">
        <v>2569</v>
      </c>
    </row>
    <row r="1154" spans="2:15" x14ac:dyDescent="0.3">
      <c r="B1154" s="112">
        <f t="shared" si="90"/>
        <v>63200016</v>
      </c>
      <c r="C1154" s="39">
        <v>1</v>
      </c>
      <c r="D1154" s="39"/>
      <c r="E1154" s="39"/>
      <c r="F1154" s="39"/>
      <c r="G1154" s="39">
        <v>1</v>
      </c>
      <c r="H1154" s="112">
        <v>63200016</v>
      </c>
      <c r="I1154" s="112" t="s">
        <v>187</v>
      </c>
      <c r="J1154" s="50">
        <v>21</v>
      </c>
      <c r="K1154" s="221">
        <v>1060813</v>
      </c>
      <c r="L1154" s="50">
        <f t="shared" si="89"/>
        <v>21</v>
      </c>
      <c r="M1154" s="50" t="s">
        <v>2570</v>
      </c>
      <c r="N1154" s="50" t="s">
        <v>2571</v>
      </c>
    </row>
    <row r="1155" spans="2:15" ht="16.5" customHeight="1" x14ac:dyDescent="0.3">
      <c r="B1155" s="48">
        <f t="shared" si="90"/>
        <v>63210000</v>
      </c>
      <c r="C1155" s="39">
        <v>1</v>
      </c>
      <c r="D1155" s="39"/>
      <c r="E1155" s="39"/>
      <c r="F1155" s="39"/>
      <c r="G1155" s="39">
        <v>1</v>
      </c>
      <c r="H1155" s="48">
        <v>63210000</v>
      </c>
      <c r="I1155" s="48" t="s">
        <v>187</v>
      </c>
      <c r="J1155" s="50">
        <v>21</v>
      </c>
      <c r="K1155" s="106">
        <v>1057508</v>
      </c>
      <c r="L1155" s="48">
        <f t="shared" si="89"/>
        <v>21</v>
      </c>
      <c r="M1155" s="48" t="s">
        <v>1232</v>
      </c>
      <c r="N1155" s="48" t="s">
        <v>1240</v>
      </c>
      <c r="O1155" s="48"/>
    </row>
    <row r="1156" spans="2:15" ht="16.5" customHeight="1" x14ac:dyDescent="0.3">
      <c r="B1156" s="39">
        <f t="shared" si="90"/>
        <v>63210001</v>
      </c>
      <c r="C1156" s="39">
        <v>1</v>
      </c>
      <c r="D1156" s="39"/>
      <c r="E1156" s="39"/>
      <c r="F1156" s="39"/>
      <c r="G1156" s="39">
        <v>1</v>
      </c>
      <c r="H1156" s="39">
        <v>63210001</v>
      </c>
      <c r="I1156" s="39" t="s">
        <v>187</v>
      </c>
      <c r="J1156" s="39">
        <v>21</v>
      </c>
      <c r="K1156" s="46">
        <v>1057509</v>
      </c>
      <c r="L1156" s="39">
        <f t="shared" si="89"/>
        <v>21</v>
      </c>
      <c r="M1156" s="48" t="s">
        <v>1233</v>
      </c>
      <c r="N1156" s="39" t="s">
        <v>1241</v>
      </c>
      <c r="O1156" s="39"/>
    </row>
    <row r="1157" spans="2:15" ht="16.5" customHeight="1" x14ac:dyDescent="0.3">
      <c r="B1157" s="39">
        <f t="shared" si="90"/>
        <v>63210002</v>
      </c>
      <c r="C1157" s="39">
        <v>1</v>
      </c>
      <c r="D1157" s="39"/>
      <c r="E1157" s="39"/>
      <c r="F1157" s="39"/>
      <c r="G1157" s="39">
        <v>1</v>
      </c>
      <c r="H1157" s="39">
        <v>63210002</v>
      </c>
      <c r="I1157" s="39" t="s">
        <v>187</v>
      </c>
      <c r="J1157" s="39">
        <v>21</v>
      </c>
      <c r="K1157" s="46">
        <v>1057510</v>
      </c>
      <c r="L1157" s="39">
        <f t="shared" si="89"/>
        <v>21</v>
      </c>
      <c r="M1157" s="48" t="s">
        <v>1234</v>
      </c>
      <c r="N1157" s="39" t="s">
        <v>1242</v>
      </c>
      <c r="O1157" s="39"/>
    </row>
    <row r="1158" spans="2:15" ht="16.5" customHeight="1" x14ac:dyDescent="0.3">
      <c r="B1158" s="39">
        <f t="shared" si="90"/>
        <v>63210003</v>
      </c>
      <c r="C1158" s="39">
        <v>1</v>
      </c>
      <c r="D1158" s="39"/>
      <c r="E1158" s="39"/>
      <c r="F1158" s="39"/>
      <c r="G1158" s="39">
        <v>1</v>
      </c>
      <c r="H1158" s="39">
        <v>63210003</v>
      </c>
      <c r="I1158" s="39" t="s">
        <v>187</v>
      </c>
      <c r="J1158" s="39">
        <v>21</v>
      </c>
      <c r="K1158" s="46">
        <v>1057511</v>
      </c>
      <c r="L1158" s="39">
        <f t="shared" si="89"/>
        <v>21</v>
      </c>
      <c r="M1158" s="48" t="s">
        <v>1235</v>
      </c>
      <c r="N1158" s="39" t="s">
        <v>1243</v>
      </c>
      <c r="O1158" s="39"/>
    </row>
    <row r="1159" spans="2:15" ht="16.5" customHeight="1" x14ac:dyDescent="0.3">
      <c r="B1159" s="39">
        <f t="shared" si="90"/>
        <v>63210004</v>
      </c>
      <c r="C1159" s="39">
        <v>1</v>
      </c>
      <c r="D1159" s="39"/>
      <c r="E1159" s="39"/>
      <c r="F1159" s="39"/>
      <c r="G1159" s="39">
        <v>1</v>
      </c>
      <c r="H1159" s="39">
        <v>63210004</v>
      </c>
      <c r="I1159" s="39" t="s">
        <v>187</v>
      </c>
      <c r="J1159" s="39">
        <v>21</v>
      </c>
      <c r="K1159" s="46">
        <v>1057512</v>
      </c>
      <c r="L1159" s="39">
        <f t="shared" si="89"/>
        <v>21</v>
      </c>
      <c r="M1159" s="48" t="s">
        <v>1236</v>
      </c>
      <c r="N1159" s="39" t="s">
        <v>1244</v>
      </c>
      <c r="O1159" s="39"/>
    </row>
    <row r="1160" spans="2:15" ht="16.5" customHeight="1" x14ac:dyDescent="0.3">
      <c r="B1160" s="39">
        <f t="shared" si="90"/>
        <v>63210005</v>
      </c>
      <c r="C1160" s="39">
        <v>1</v>
      </c>
      <c r="D1160" s="39"/>
      <c r="E1160" s="39"/>
      <c r="F1160" s="39"/>
      <c r="G1160" s="39">
        <v>1</v>
      </c>
      <c r="H1160" s="39">
        <v>63210005</v>
      </c>
      <c r="I1160" s="39" t="s">
        <v>187</v>
      </c>
      <c r="J1160" s="39">
        <v>21</v>
      </c>
      <c r="K1160" s="46">
        <v>1057513</v>
      </c>
      <c r="L1160" s="39">
        <f t="shared" si="89"/>
        <v>21</v>
      </c>
      <c r="M1160" s="48" t="s">
        <v>1237</v>
      </c>
      <c r="N1160" s="39" t="s">
        <v>1245</v>
      </c>
      <c r="O1160" s="39"/>
    </row>
    <row r="1161" spans="2:15" ht="16.5" customHeight="1" x14ac:dyDescent="0.3">
      <c r="B1161" s="39">
        <f t="shared" si="90"/>
        <v>63210006</v>
      </c>
      <c r="C1161" s="39">
        <v>1</v>
      </c>
      <c r="D1161" s="39"/>
      <c r="E1161" s="39"/>
      <c r="F1161" s="39"/>
      <c r="G1161" s="39">
        <v>1</v>
      </c>
      <c r="H1161" s="39">
        <v>63210006</v>
      </c>
      <c r="I1161" s="39" t="s">
        <v>187</v>
      </c>
      <c r="J1161" s="39">
        <v>21</v>
      </c>
      <c r="K1161" s="46">
        <v>1057514</v>
      </c>
      <c r="L1161" s="39">
        <f t="shared" si="89"/>
        <v>21</v>
      </c>
      <c r="M1161" s="48" t="s">
        <v>1235</v>
      </c>
      <c r="N1161" s="39" t="s">
        <v>1246</v>
      </c>
      <c r="O1161" s="39"/>
    </row>
    <row r="1162" spans="2:15" ht="16.5" customHeight="1" x14ac:dyDescent="0.3">
      <c r="B1162" s="39">
        <f t="shared" si="90"/>
        <v>63210007</v>
      </c>
      <c r="C1162" s="39">
        <v>1</v>
      </c>
      <c r="D1162" s="39"/>
      <c r="E1162" s="39"/>
      <c r="F1162" s="39"/>
      <c r="G1162" s="39">
        <v>1</v>
      </c>
      <c r="H1162" s="39">
        <v>63210007</v>
      </c>
      <c r="I1162" s="39" t="s">
        <v>187</v>
      </c>
      <c r="J1162" s="39">
        <v>21</v>
      </c>
      <c r="K1162" s="46">
        <v>1057515</v>
      </c>
      <c r="L1162" s="39">
        <f t="shared" si="89"/>
        <v>21</v>
      </c>
      <c r="M1162" s="48" t="s">
        <v>1238</v>
      </c>
      <c r="N1162" s="39" t="s">
        <v>1247</v>
      </c>
      <c r="O1162" s="39"/>
    </row>
    <row r="1163" spans="2:15" ht="16.5" customHeight="1" x14ac:dyDescent="0.3">
      <c r="B1163" s="39">
        <f t="shared" si="90"/>
        <v>63210008</v>
      </c>
      <c r="C1163" s="39">
        <v>1</v>
      </c>
      <c r="D1163" s="39"/>
      <c r="E1163" s="39"/>
      <c r="F1163" s="39"/>
      <c r="G1163" s="39">
        <v>1</v>
      </c>
      <c r="H1163" s="39">
        <v>63210008</v>
      </c>
      <c r="I1163" s="39" t="s">
        <v>187</v>
      </c>
      <c r="J1163" s="39">
        <v>21</v>
      </c>
      <c r="K1163" s="46">
        <v>1057516</v>
      </c>
      <c r="L1163" s="39">
        <f t="shared" si="89"/>
        <v>21</v>
      </c>
      <c r="M1163" s="48" t="s">
        <v>1239</v>
      </c>
      <c r="N1163" s="39" t="s">
        <v>1248</v>
      </c>
      <c r="O1163" s="39"/>
    </row>
    <row r="1164" spans="2:15" ht="16.5" customHeight="1" x14ac:dyDescent="0.3">
      <c r="B1164" s="39">
        <f t="shared" si="90"/>
        <v>63210009</v>
      </c>
      <c r="C1164" s="39">
        <v>1</v>
      </c>
      <c r="D1164" s="39"/>
      <c r="E1164" s="39"/>
      <c r="F1164" s="39"/>
      <c r="G1164" s="39">
        <v>1</v>
      </c>
      <c r="H1164" s="39">
        <v>63210009</v>
      </c>
      <c r="I1164" s="39" t="s">
        <v>187</v>
      </c>
      <c r="J1164" s="39">
        <v>21</v>
      </c>
      <c r="K1164" s="46">
        <v>1057524</v>
      </c>
      <c r="L1164" s="39">
        <f t="shared" si="89"/>
        <v>21</v>
      </c>
      <c r="M1164" s="48" t="s">
        <v>1856</v>
      </c>
      <c r="N1164" s="39" t="s">
        <v>1311</v>
      </c>
      <c r="O1164" s="39"/>
    </row>
    <row r="1165" spans="2:15" ht="16.5" customHeight="1" x14ac:dyDescent="0.3">
      <c r="B1165" s="39">
        <f t="shared" si="90"/>
        <v>63210010</v>
      </c>
      <c r="C1165" s="39">
        <v>1</v>
      </c>
      <c r="D1165" s="39"/>
      <c r="E1165" s="39"/>
      <c r="F1165" s="39"/>
      <c r="G1165" s="39">
        <v>1</v>
      </c>
      <c r="H1165" s="39">
        <v>63210010</v>
      </c>
      <c r="I1165" s="39" t="s">
        <v>187</v>
      </c>
      <c r="J1165" s="39">
        <v>21</v>
      </c>
      <c r="K1165" s="46">
        <v>1057526</v>
      </c>
      <c r="L1165" s="39">
        <f t="shared" si="89"/>
        <v>21</v>
      </c>
      <c r="M1165" s="48" t="s">
        <v>1857</v>
      </c>
      <c r="N1165" s="39" t="s">
        <v>1596</v>
      </c>
      <c r="O1165" s="39"/>
    </row>
    <row r="1166" spans="2:15" ht="16.5" customHeight="1" x14ac:dyDescent="0.3">
      <c r="B1166" s="39">
        <f t="shared" ref="B1166:B1167" si="91">H1166</f>
        <v>63210011</v>
      </c>
      <c r="C1166" s="39">
        <v>1</v>
      </c>
      <c r="D1166" s="39"/>
      <c r="E1166" s="39"/>
      <c r="F1166" s="39"/>
      <c r="G1166" s="39">
        <v>1</v>
      </c>
      <c r="H1166" s="39">
        <v>63210011</v>
      </c>
      <c r="I1166" s="39" t="s">
        <v>187</v>
      </c>
      <c r="J1166" s="39">
        <v>21</v>
      </c>
      <c r="K1166" s="46">
        <v>1057525</v>
      </c>
      <c r="L1166" s="39">
        <f t="shared" si="89"/>
        <v>21</v>
      </c>
      <c r="M1166" s="48" t="s">
        <v>1858</v>
      </c>
      <c r="N1166" s="39" t="s">
        <v>1312</v>
      </c>
      <c r="O1166" s="39"/>
    </row>
    <row r="1167" spans="2:15" ht="16.5" customHeight="1" x14ac:dyDescent="0.3">
      <c r="B1167" s="39">
        <f t="shared" si="91"/>
        <v>63210012</v>
      </c>
      <c r="C1167" s="39">
        <v>1</v>
      </c>
      <c r="D1167" s="39"/>
      <c r="E1167" s="39"/>
      <c r="F1167" s="39"/>
      <c r="G1167" s="39">
        <v>1</v>
      </c>
      <c r="H1167" s="39">
        <v>63210012</v>
      </c>
      <c r="I1167" s="39" t="s">
        <v>187</v>
      </c>
      <c r="J1167" s="39">
        <v>21</v>
      </c>
      <c r="K1167" s="46">
        <v>1057528</v>
      </c>
      <c r="L1167" s="39">
        <f t="shared" si="89"/>
        <v>21</v>
      </c>
      <c r="M1167" s="48" t="s">
        <v>2357</v>
      </c>
      <c r="N1167" s="39" t="s">
        <v>2104</v>
      </c>
      <c r="O1167" s="39"/>
    </row>
    <row r="1168" spans="2:15" ht="17.25" customHeight="1" thickBot="1" x14ac:dyDescent="0.35">
      <c r="B1168" s="39">
        <v>63220000</v>
      </c>
      <c r="C1168" s="39">
        <v>1</v>
      </c>
      <c r="D1168" s="39"/>
      <c r="E1168" s="39"/>
      <c r="F1168" s="39"/>
      <c r="G1168" s="39">
        <v>1</v>
      </c>
      <c r="H1168" s="39">
        <v>63220000</v>
      </c>
      <c r="I1168" s="39" t="s">
        <v>186</v>
      </c>
      <c r="J1168" s="39">
        <v>13</v>
      </c>
      <c r="K1168" s="46">
        <v>1073107</v>
      </c>
      <c r="L1168" s="39">
        <v>21</v>
      </c>
      <c r="M1168" s="48" t="s">
        <v>2387</v>
      </c>
      <c r="N1168" s="39" t="s">
        <v>1711</v>
      </c>
      <c r="O1168" s="39"/>
    </row>
    <row r="1169" spans="1:15" ht="12.75" thickTop="1" x14ac:dyDescent="0.3">
      <c r="B1169" s="217">
        <f>H1169</f>
        <v>63220001</v>
      </c>
      <c r="C1169" s="39">
        <v>1</v>
      </c>
      <c r="D1169" s="39"/>
      <c r="E1169" s="39"/>
      <c r="F1169" s="39"/>
      <c r="G1169" s="39">
        <v>1</v>
      </c>
      <c r="H1169" s="49">
        <v>63220001</v>
      </c>
      <c r="I1169" s="49" t="s">
        <v>187</v>
      </c>
      <c r="J1169" s="49">
        <v>21</v>
      </c>
      <c r="K1169" s="218">
        <v>1073106</v>
      </c>
      <c r="L1169" s="49">
        <f>VLOOKUP(I1169,error,2,FALSE)</f>
        <v>21</v>
      </c>
      <c r="M1169" s="49" t="s">
        <v>2358</v>
      </c>
      <c r="N1169" s="49"/>
      <c r="O1169" s="138"/>
    </row>
    <row r="1170" spans="1:15" s="199" customFormat="1" ht="12.75" thickBot="1" x14ac:dyDescent="0.35">
      <c r="A1170" s="50"/>
      <c r="B1170" s="222">
        <v>63220002</v>
      </c>
      <c r="C1170" s="39">
        <v>1</v>
      </c>
      <c r="D1170" s="39"/>
      <c r="E1170" s="39"/>
      <c r="F1170" s="39"/>
      <c r="G1170" s="39">
        <v>1</v>
      </c>
      <c r="H1170" s="59">
        <v>63220002</v>
      </c>
      <c r="I1170" s="59" t="s">
        <v>186</v>
      </c>
      <c r="J1170" s="59">
        <v>13</v>
      </c>
      <c r="K1170" s="223">
        <v>1073108</v>
      </c>
      <c r="L1170" s="59">
        <v>21</v>
      </c>
      <c r="M1170" s="59" t="s">
        <v>2388</v>
      </c>
      <c r="N1170" s="59" t="s">
        <v>1712</v>
      </c>
      <c r="O1170" s="224"/>
    </row>
    <row r="1171" spans="1:15" s="199" customFormat="1" ht="12.75" thickTop="1" x14ac:dyDescent="0.3">
      <c r="A1171" s="50"/>
      <c r="B1171" s="217">
        <f>H1171</f>
        <v>63220003</v>
      </c>
      <c r="C1171" s="39">
        <v>1</v>
      </c>
      <c r="D1171" s="39"/>
      <c r="E1171" s="39"/>
      <c r="F1171" s="39"/>
      <c r="G1171" s="39">
        <v>1</v>
      </c>
      <c r="H1171" s="49">
        <v>63220003</v>
      </c>
      <c r="I1171" s="49" t="s">
        <v>186</v>
      </c>
      <c r="J1171" s="49">
        <v>21</v>
      </c>
      <c r="K1171" s="218">
        <v>1074103</v>
      </c>
      <c r="L1171" s="49">
        <f>VLOOKUP(I1171,error,2,FALSE)</f>
        <v>21</v>
      </c>
      <c r="M1171" s="49" t="s">
        <v>2359</v>
      </c>
      <c r="N1171" s="49" t="s">
        <v>1252</v>
      </c>
      <c r="O1171" s="138"/>
    </row>
    <row r="1172" spans="1:15" s="199" customFormat="1" ht="12.75" thickBot="1" x14ac:dyDescent="0.35">
      <c r="A1172" s="50"/>
      <c r="B1172" s="222">
        <f>H1172</f>
        <v>63220004</v>
      </c>
      <c r="C1172" s="39">
        <v>1</v>
      </c>
      <c r="D1172" s="39"/>
      <c r="E1172" s="39"/>
      <c r="F1172" s="39"/>
      <c r="G1172" s="39">
        <v>1</v>
      </c>
      <c r="H1172" s="59">
        <v>63220004</v>
      </c>
      <c r="I1172" s="59" t="s">
        <v>186</v>
      </c>
      <c r="J1172" s="59">
        <v>21</v>
      </c>
      <c r="K1172" s="223">
        <v>1074104</v>
      </c>
      <c r="L1172" s="59">
        <f>VLOOKUP(I1172,error,2,FALSE)</f>
        <v>21</v>
      </c>
      <c r="M1172" s="59" t="s">
        <v>2360</v>
      </c>
      <c r="N1172" s="59" t="s">
        <v>1253</v>
      </c>
      <c r="O1172" s="224"/>
    </row>
    <row r="1173" spans="1:15" s="199" customFormat="1" ht="13.5" thickTop="1" thickBot="1" x14ac:dyDescent="0.35">
      <c r="A1173" s="50"/>
      <c r="B1173" s="225">
        <f>H1173</f>
        <v>63220005</v>
      </c>
      <c r="C1173" s="39">
        <v>1</v>
      </c>
      <c r="D1173" s="39"/>
      <c r="E1173" s="39"/>
      <c r="F1173" s="39"/>
      <c r="G1173" s="39">
        <v>1</v>
      </c>
      <c r="H1173" s="58">
        <v>63220005</v>
      </c>
      <c r="I1173" s="58" t="s">
        <v>186</v>
      </c>
      <c r="J1173" s="58">
        <v>21</v>
      </c>
      <c r="K1173" s="226">
        <v>1074102</v>
      </c>
      <c r="L1173" s="58">
        <f>VLOOKUP(I1173,error,2,FALSE)</f>
        <v>21</v>
      </c>
      <c r="M1173" s="58" t="s">
        <v>2361</v>
      </c>
      <c r="N1173" s="58" t="s">
        <v>1254</v>
      </c>
      <c r="O1173" s="227"/>
    </row>
    <row r="1174" spans="1:15" s="199" customFormat="1" ht="12.75" thickTop="1" x14ac:dyDescent="0.3">
      <c r="A1174" s="50"/>
      <c r="B1174" s="217">
        <v>63220006</v>
      </c>
      <c r="C1174" s="39">
        <v>1</v>
      </c>
      <c r="D1174" s="39"/>
      <c r="E1174" s="39"/>
      <c r="F1174" s="39"/>
      <c r="G1174" s="39">
        <v>1</v>
      </c>
      <c r="H1174" s="49">
        <v>63220006</v>
      </c>
      <c r="I1174" s="49" t="s">
        <v>186</v>
      </c>
      <c r="J1174" s="49">
        <v>13</v>
      </c>
      <c r="K1174" s="218">
        <v>1074106</v>
      </c>
      <c r="L1174" s="49">
        <v>21</v>
      </c>
      <c r="M1174" s="49" t="s">
        <v>1957</v>
      </c>
      <c r="N1174" s="49" t="s">
        <v>1959</v>
      </c>
      <c r="O1174" s="138"/>
    </row>
    <row r="1175" spans="1:15" s="199" customFormat="1" x14ac:dyDescent="0.3">
      <c r="A1175" s="50"/>
      <c r="B1175" s="129">
        <f t="shared" ref="B1175:B1208" si="92">H1175</f>
        <v>63230001</v>
      </c>
      <c r="C1175" s="39">
        <v>1</v>
      </c>
      <c r="D1175" s="39"/>
      <c r="E1175" s="39"/>
      <c r="F1175" s="39"/>
      <c r="G1175" s="39">
        <v>1</v>
      </c>
      <c r="H1175" s="47">
        <v>63230001</v>
      </c>
      <c r="I1175" s="47" t="s">
        <v>186</v>
      </c>
      <c r="J1175" s="47">
        <v>13</v>
      </c>
      <c r="K1175" s="198">
        <v>1107100</v>
      </c>
      <c r="L1175" s="47">
        <f t="shared" ref="L1175:L1208" si="93">VLOOKUP(I1175,error,2,FALSE)</f>
        <v>21</v>
      </c>
      <c r="M1175" s="47" t="s">
        <v>2362</v>
      </c>
      <c r="N1175" s="47" t="s">
        <v>1438</v>
      </c>
      <c r="O1175" s="141" t="s">
        <v>1439</v>
      </c>
    </row>
    <row r="1176" spans="1:15" s="199" customFormat="1" x14ac:dyDescent="0.3">
      <c r="A1176" s="50"/>
      <c r="B1176" s="129">
        <f t="shared" si="92"/>
        <v>63230002</v>
      </c>
      <c r="C1176" s="39">
        <v>1</v>
      </c>
      <c r="D1176" s="39"/>
      <c r="E1176" s="39"/>
      <c r="F1176" s="39"/>
      <c r="G1176" s="39">
        <v>1</v>
      </c>
      <c r="H1176" s="47">
        <v>63230002</v>
      </c>
      <c r="I1176" s="47" t="s">
        <v>186</v>
      </c>
      <c r="J1176" s="47">
        <v>13</v>
      </c>
      <c r="K1176" s="198">
        <v>1107101</v>
      </c>
      <c r="L1176" s="47">
        <f t="shared" si="93"/>
        <v>21</v>
      </c>
      <c r="M1176" s="47" t="s">
        <v>2363</v>
      </c>
      <c r="N1176" s="47" t="s">
        <v>1440</v>
      </c>
      <c r="O1176" s="141" t="s">
        <v>1441</v>
      </c>
    </row>
    <row r="1177" spans="1:15" s="199" customFormat="1" x14ac:dyDescent="0.3">
      <c r="A1177" s="50"/>
      <c r="B1177" s="129">
        <f t="shared" si="92"/>
        <v>63230003</v>
      </c>
      <c r="C1177" s="39">
        <v>1</v>
      </c>
      <c r="D1177" s="39"/>
      <c r="E1177" s="39"/>
      <c r="F1177" s="39"/>
      <c r="G1177" s="39">
        <v>1</v>
      </c>
      <c r="H1177" s="47">
        <v>63230003</v>
      </c>
      <c r="I1177" s="47" t="s">
        <v>186</v>
      </c>
      <c r="J1177" s="47">
        <v>13</v>
      </c>
      <c r="K1177" s="198">
        <v>1107102</v>
      </c>
      <c r="L1177" s="47">
        <f t="shared" si="93"/>
        <v>21</v>
      </c>
      <c r="M1177" s="47" t="s">
        <v>2364</v>
      </c>
      <c r="N1177" s="47" t="s">
        <v>1442</v>
      </c>
      <c r="O1177" s="141" t="s">
        <v>1443</v>
      </c>
    </row>
    <row r="1178" spans="1:15" s="199" customFormat="1" x14ac:dyDescent="0.3">
      <c r="A1178" s="50"/>
      <c r="B1178" s="129">
        <f t="shared" si="92"/>
        <v>63230004</v>
      </c>
      <c r="C1178" s="39">
        <v>1</v>
      </c>
      <c r="D1178" s="39"/>
      <c r="E1178" s="39"/>
      <c r="F1178" s="39"/>
      <c r="G1178" s="39">
        <v>1</v>
      </c>
      <c r="H1178" s="47">
        <v>63230004</v>
      </c>
      <c r="I1178" s="47" t="s">
        <v>186</v>
      </c>
      <c r="J1178" s="47">
        <v>13</v>
      </c>
      <c r="K1178" s="198">
        <v>1107103</v>
      </c>
      <c r="L1178" s="47">
        <f t="shared" si="93"/>
        <v>21</v>
      </c>
      <c r="M1178" s="47" t="s">
        <v>2365</v>
      </c>
      <c r="N1178" s="47" t="s">
        <v>1444</v>
      </c>
      <c r="O1178" s="141" t="s">
        <v>1445</v>
      </c>
    </row>
    <row r="1179" spans="1:15" s="199" customFormat="1" x14ac:dyDescent="0.3">
      <c r="A1179" s="50"/>
      <c r="B1179" s="129">
        <f t="shared" si="92"/>
        <v>63230005</v>
      </c>
      <c r="C1179" s="39">
        <v>1</v>
      </c>
      <c r="D1179" s="39"/>
      <c r="E1179" s="39"/>
      <c r="F1179" s="39"/>
      <c r="G1179" s="39">
        <v>1</v>
      </c>
      <c r="H1179" s="47">
        <v>63230005</v>
      </c>
      <c r="I1179" s="47" t="s">
        <v>186</v>
      </c>
      <c r="J1179" s="47">
        <v>13</v>
      </c>
      <c r="K1179" s="198">
        <v>1107104</v>
      </c>
      <c r="L1179" s="47">
        <f t="shared" si="93"/>
        <v>21</v>
      </c>
      <c r="M1179" s="47" t="s">
        <v>2366</v>
      </c>
      <c r="N1179" s="47" t="s">
        <v>1446</v>
      </c>
      <c r="O1179" s="141" t="s">
        <v>1447</v>
      </c>
    </row>
    <row r="1180" spans="1:15" s="199" customFormat="1" x14ac:dyDescent="0.3">
      <c r="A1180" s="50"/>
      <c r="B1180" s="129">
        <f t="shared" si="92"/>
        <v>63230006</v>
      </c>
      <c r="C1180" s="39">
        <v>1</v>
      </c>
      <c r="D1180" s="39"/>
      <c r="E1180" s="39"/>
      <c r="F1180" s="39"/>
      <c r="G1180" s="39">
        <v>1</v>
      </c>
      <c r="H1180" s="47">
        <v>63230006</v>
      </c>
      <c r="I1180" s="47" t="s">
        <v>186</v>
      </c>
      <c r="J1180" s="47">
        <v>13</v>
      </c>
      <c r="K1180" s="198">
        <v>1107105</v>
      </c>
      <c r="L1180" s="47">
        <f t="shared" si="93"/>
        <v>21</v>
      </c>
      <c r="M1180" s="47" t="s">
        <v>2367</v>
      </c>
      <c r="N1180" s="47" t="s">
        <v>1448</v>
      </c>
      <c r="O1180" s="141" t="s">
        <v>1449</v>
      </c>
    </row>
    <row r="1181" spans="1:15" s="199" customFormat="1" x14ac:dyDescent="0.3">
      <c r="A1181" s="50"/>
      <c r="B1181" s="129">
        <f t="shared" si="92"/>
        <v>63230007</v>
      </c>
      <c r="C1181" s="39">
        <v>1</v>
      </c>
      <c r="D1181" s="39"/>
      <c r="E1181" s="39"/>
      <c r="F1181" s="39"/>
      <c r="G1181" s="39">
        <v>1</v>
      </c>
      <c r="H1181" s="47">
        <v>63230007</v>
      </c>
      <c r="I1181" s="47" t="s">
        <v>186</v>
      </c>
      <c r="J1181" s="47">
        <v>13</v>
      </c>
      <c r="K1181" s="198">
        <v>1107108</v>
      </c>
      <c r="L1181" s="47">
        <f t="shared" si="93"/>
        <v>21</v>
      </c>
      <c r="M1181" s="47" t="s">
        <v>1758</v>
      </c>
      <c r="N1181" s="219" t="s">
        <v>1760</v>
      </c>
      <c r="O1181" s="141" t="s">
        <v>1449</v>
      </c>
    </row>
    <row r="1182" spans="1:15" s="199" customFormat="1" x14ac:dyDescent="0.3">
      <c r="A1182" s="50"/>
      <c r="B1182" s="129">
        <f t="shared" si="92"/>
        <v>63230008</v>
      </c>
      <c r="C1182" s="39">
        <v>1</v>
      </c>
      <c r="D1182" s="39"/>
      <c r="E1182" s="39"/>
      <c r="F1182" s="39"/>
      <c r="G1182" s="39">
        <v>1</v>
      </c>
      <c r="H1182" s="47">
        <v>63230008</v>
      </c>
      <c r="I1182" s="47" t="s">
        <v>186</v>
      </c>
      <c r="J1182" s="47">
        <v>13</v>
      </c>
      <c r="K1182" s="198">
        <v>1107109</v>
      </c>
      <c r="L1182" s="47">
        <f t="shared" si="93"/>
        <v>21</v>
      </c>
      <c r="M1182" s="47" t="s">
        <v>1759</v>
      </c>
      <c r="N1182" s="219" t="s">
        <v>1761</v>
      </c>
      <c r="O1182" s="141" t="s">
        <v>1449</v>
      </c>
    </row>
    <row r="1183" spans="1:15" s="199" customFormat="1" x14ac:dyDescent="0.3">
      <c r="A1183" s="50"/>
      <c r="B1183" s="129">
        <f t="shared" si="92"/>
        <v>63230010</v>
      </c>
      <c r="C1183" s="39">
        <v>1</v>
      </c>
      <c r="D1183" s="39"/>
      <c r="E1183" s="39"/>
      <c r="F1183" s="39"/>
      <c r="G1183" s="39">
        <v>1</v>
      </c>
      <c r="H1183" s="47">
        <v>63230010</v>
      </c>
      <c r="I1183" s="47" t="s">
        <v>186</v>
      </c>
      <c r="J1183" s="47">
        <v>13</v>
      </c>
      <c r="K1183" s="198">
        <v>1360007</v>
      </c>
      <c r="L1183" s="47">
        <v>21</v>
      </c>
      <c r="M1183" s="47" t="s">
        <v>2673</v>
      </c>
      <c r="N1183" s="219" t="s">
        <v>2674</v>
      </c>
      <c r="O1183" s="141" t="s">
        <v>2675</v>
      </c>
    </row>
    <row r="1184" spans="1:15" s="199" customFormat="1" x14ac:dyDescent="0.3">
      <c r="A1184" s="50"/>
      <c r="B1184" s="129">
        <f t="shared" si="92"/>
        <v>63230013</v>
      </c>
      <c r="C1184" s="39">
        <v>1</v>
      </c>
      <c r="D1184" s="39"/>
      <c r="E1184" s="39"/>
      <c r="F1184" s="39"/>
      <c r="G1184" s="39">
        <v>1</v>
      </c>
      <c r="H1184" s="47">
        <v>63230013</v>
      </c>
      <c r="I1184" s="47" t="s">
        <v>186</v>
      </c>
      <c r="J1184" s="47">
        <v>13</v>
      </c>
      <c r="K1184" s="198">
        <v>1360003</v>
      </c>
      <c r="L1184" s="47">
        <v>21</v>
      </c>
      <c r="M1184" s="47" t="s">
        <v>2678</v>
      </c>
      <c r="N1184" s="219" t="s">
        <v>2676</v>
      </c>
      <c r="O1184" s="141" t="s">
        <v>2677</v>
      </c>
    </row>
    <row r="1185" spans="1:15" s="199" customFormat="1" x14ac:dyDescent="0.3">
      <c r="A1185" s="50"/>
      <c r="B1185" s="228">
        <f t="shared" si="92"/>
        <v>63500000</v>
      </c>
      <c r="C1185" s="39">
        <v>1</v>
      </c>
      <c r="D1185" s="39"/>
      <c r="E1185" s="39"/>
      <c r="F1185" s="39"/>
      <c r="G1185" s="39">
        <v>1</v>
      </c>
      <c r="H1185" s="100">
        <v>63500000</v>
      </c>
      <c r="I1185" s="100" t="s">
        <v>186</v>
      </c>
      <c r="J1185" s="100">
        <v>13</v>
      </c>
      <c r="K1185" s="229">
        <v>1102110</v>
      </c>
      <c r="L1185" s="100">
        <f t="shared" si="93"/>
        <v>21</v>
      </c>
      <c r="M1185" s="100" t="s">
        <v>2368</v>
      </c>
      <c r="N1185" s="100" t="s">
        <v>1396</v>
      </c>
      <c r="O1185" s="230" t="s">
        <v>1417</v>
      </c>
    </row>
    <row r="1186" spans="1:15" s="199" customFormat="1" x14ac:dyDescent="0.3">
      <c r="A1186" s="50"/>
      <c r="B1186" s="129">
        <f t="shared" si="92"/>
        <v>63500001</v>
      </c>
      <c r="C1186" s="39">
        <v>1</v>
      </c>
      <c r="D1186" s="39"/>
      <c r="E1186" s="39"/>
      <c r="F1186" s="39"/>
      <c r="G1186" s="39">
        <v>1</v>
      </c>
      <c r="H1186" s="47">
        <v>63500001</v>
      </c>
      <c r="I1186" s="47" t="s">
        <v>186</v>
      </c>
      <c r="J1186" s="47">
        <v>13</v>
      </c>
      <c r="K1186" s="198">
        <v>1102111</v>
      </c>
      <c r="L1186" s="47">
        <f t="shared" si="93"/>
        <v>21</v>
      </c>
      <c r="M1186" s="47" t="s">
        <v>2369</v>
      </c>
      <c r="N1186" s="47" t="s">
        <v>1397</v>
      </c>
      <c r="O1186" s="141" t="s">
        <v>1418</v>
      </c>
    </row>
    <row r="1187" spans="1:15" s="199" customFormat="1" x14ac:dyDescent="0.3">
      <c r="A1187" s="50"/>
      <c r="B1187" s="129">
        <f t="shared" si="92"/>
        <v>63500002</v>
      </c>
      <c r="C1187" s="39">
        <v>1</v>
      </c>
      <c r="D1187" s="39"/>
      <c r="E1187" s="39"/>
      <c r="F1187" s="39"/>
      <c r="G1187" s="39">
        <v>1</v>
      </c>
      <c r="H1187" s="47">
        <v>63500002</v>
      </c>
      <c r="I1187" s="47" t="s">
        <v>186</v>
      </c>
      <c r="J1187" s="47">
        <v>13</v>
      </c>
      <c r="K1187" s="198">
        <v>1102112</v>
      </c>
      <c r="L1187" s="47">
        <f t="shared" si="93"/>
        <v>21</v>
      </c>
      <c r="M1187" s="47" t="s">
        <v>2370</v>
      </c>
      <c r="N1187" s="47" t="s">
        <v>1398</v>
      </c>
      <c r="O1187" s="141" t="s">
        <v>1419</v>
      </c>
    </row>
    <row r="1188" spans="1:15" s="199" customFormat="1" x14ac:dyDescent="0.3">
      <c r="A1188" s="50"/>
      <c r="B1188" s="129">
        <f t="shared" si="92"/>
        <v>63500003</v>
      </c>
      <c r="C1188" s="39">
        <v>1</v>
      </c>
      <c r="D1188" s="39"/>
      <c r="E1188" s="39"/>
      <c r="F1188" s="39"/>
      <c r="G1188" s="39">
        <v>1</v>
      </c>
      <c r="H1188" s="47">
        <v>63500003</v>
      </c>
      <c r="I1188" s="47" t="s">
        <v>186</v>
      </c>
      <c r="J1188" s="47">
        <v>13</v>
      </c>
      <c r="K1188" s="198">
        <v>1102113</v>
      </c>
      <c r="L1188" s="47">
        <f t="shared" si="93"/>
        <v>21</v>
      </c>
      <c r="M1188" s="47" t="s">
        <v>2371</v>
      </c>
      <c r="N1188" s="47" t="s">
        <v>1399</v>
      </c>
      <c r="O1188" s="141" t="s">
        <v>1420</v>
      </c>
    </row>
    <row r="1189" spans="1:15" s="199" customFormat="1" x14ac:dyDescent="0.3">
      <c r="A1189" s="50"/>
      <c r="B1189" s="129">
        <f t="shared" si="92"/>
        <v>63500004</v>
      </c>
      <c r="C1189" s="39">
        <v>1</v>
      </c>
      <c r="D1189" s="39"/>
      <c r="E1189" s="39"/>
      <c r="F1189" s="39"/>
      <c r="G1189" s="39">
        <v>1</v>
      </c>
      <c r="H1189" s="47">
        <v>63500004</v>
      </c>
      <c r="I1189" s="47" t="s">
        <v>186</v>
      </c>
      <c r="J1189" s="47">
        <v>13</v>
      </c>
      <c r="K1189" s="198">
        <v>1102114</v>
      </c>
      <c r="L1189" s="47">
        <f t="shared" si="93"/>
        <v>21</v>
      </c>
      <c r="M1189" s="47" t="s">
        <v>2372</v>
      </c>
      <c r="N1189" s="47" t="s">
        <v>1400</v>
      </c>
      <c r="O1189" s="141" t="s">
        <v>1437</v>
      </c>
    </row>
    <row r="1190" spans="1:15" s="199" customFormat="1" x14ac:dyDescent="0.3">
      <c r="A1190" s="50"/>
      <c r="B1190" s="129">
        <f t="shared" si="92"/>
        <v>63500005</v>
      </c>
      <c r="C1190" s="39">
        <v>1</v>
      </c>
      <c r="D1190" s="39"/>
      <c r="E1190" s="39"/>
      <c r="F1190" s="39"/>
      <c r="G1190" s="39">
        <v>1</v>
      </c>
      <c r="H1190" s="47">
        <v>63500005</v>
      </c>
      <c r="I1190" s="47" t="s">
        <v>186</v>
      </c>
      <c r="J1190" s="47">
        <v>13</v>
      </c>
      <c r="K1190" s="198">
        <v>1102115</v>
      </c>
      <c r="L1190" s="47">
        <f t="shared" si="93"/>
        <v>21</v>
      </c>
      <c r="M1190" s="47" t="s">
        <v>2373</v>
      </c>
      <c r="N1190" s="47" t="s">
        <v>1401</v>
      </c>
      <c r="O1190" s="141" t="s">
        <v>1421</v>
      </c>
    </row>
    <row r="1191" spans="1:15" s="199" customFormat="1" x14ac:dyDescent="0.3">
      <c r="A1191" s="50"/>
      <c r="B1191" s="129">
        <f t="shared" si="92"/>
        <v>63500006</v>
      </c>
      <c r="C1191" s="39">
        <v>1</v>
      </c>
      <c r="D1191" s="39"/>
      <c r="E1191" s="39"/>
      <c r="F1191" s="39"/>
      <c r="G1191" s="39">
        <v>1</v>
      </c>
      <c r="H1191" s="47">
        <v>63500006</v>
      </c>
      <c r="I1191" s="47" t="s">
        <v>186</v>
      </c>
      <c r="J1191" s="47">
        <v>13</v>
      </c>
      <c r="K1191" s="198">
        <v>1102116</v>
      </c>
      <c r="L1191" s="47">
        <f t="shared" si="93"/>
        <v>21</v>
      </c>
      <c r="M1191" s="47" t="s">
        <v>2374</v>
      </c>
      <c r="N1191" s="47" t="s">
        <v>1402</v>
      </c>
      <c r="O1191" s="141" t="s">
        <v>1422</v>
      </c>
    </row>
    <row r="1192" spans="1:15" s="199" customFormat="1" x14ac:dyDescent="0.3">
      <c r="A1192" s="50"/>
      <c r="B1192" s="129">
        <f t="shared" si="92"/>
        <v>63500007</v>
      </c>
      <c r="C1192" s="39">
        <v>1</v>
      </c>
      <c r="D1192" s="39"/>
      <c r="E1192" s="39"/>
      <c r="F1192" s="39"/>
      <c r="G1192" s="39">
        <v>1</v>
      </c>
      <c r="H1192" s="47">
        <v>63500007</v>
      </c>
      <c r="I1192" s="47" t="s">
        <v>186</v>
      </c>
      <c r="J1192" s="47">
        <v>13</v>
      </c>
      <c r="K1192" s="198">
        <v>1102026</v>
      </c>
      <c r="L1192" s="47">
        <f t="shared" si="93"/>
        <v>21</v>
      </c>
      <c r="M1192" s="47" t="s">
        <v>2375</v>
      </c>
      <c r="N1192" s="47" t="s">
        <v>1403</v>
      </c>
      <c r="O1192" s="141" t="s">
        <v>1423</v>
      </c>
    </row>
    <row r="1193" spans="1:15" s="199" customFormat="1" x14ac:dyDescent="0.3">
      <c r="A1193" s="50"/>
      <c r="B1193" s="129">
        <f t="shared" si="92"/>
        <v>63500008</v>
      </c>
      <c r="C1193" s="39">
        <v>1</v>
      </c>
      <c r="D1193" s="39"/>
      <c r="E1193" s="39"/>
      <c r="F1193" s="39"/>
      <c r="G1193" s="39">
        <v>1</v>
      </c>
      <c r="H1193" s="47">
        <v>63500008</v>
      </c>
      <c r="I1193" s="47" t="s">
        <v>186</v>
      </c>
      <c r="J1193" s="47">
        <v>13</v>
      </c>
      <c r="K1193" s="198">
        <v>1102117</v>
      </c>
      <c r="L1193" s="47">
        <f t="shared" si="93"/>
        <v>21</v>
      </c>
      <c r="M1193" s="47" t="s">
        <v>2376</v>
      </c>
      <c r="N1193" s="47" t="s">
        <v>1404</v>
      </c>
      <c r="O1193" s="141" t="s">
        <v>1424</v>
      </c>
    </row>
    <row r="1194" spans="1:15" s="199" customFormat="1" x14ac:dyDescent="0.3">
      <c r="A1194" s="50"/>
      <c r="B1194" s="129">
        <f t="shared" si="92"/>
        <v>63500009</v>
      </c>
      <c r="C1194" s="39">
        <v>1</v>
      </c>
      <c r="D1194" s="39"/>
      <c r="E1194" s="39"/>
      <c r="F1194" s="39"/>
      <c r="G1194" s="39">
        <v>1</v>
      </c>
      <c r="H1194" s="47">
        <v>63500009</v>
      </c>
      <c r="I1194" s="47" t="s">
        <v>186</v>
      </c>
      <c r="J1194" s="47">
        <v>13</v>
      </c>
      <c r="K1194" s="198">
        <v>1102006</v>
      </c>
      <c r="L1194" s="47">
        <f t="shared" si="93"/>
        <v>21</v>
      </c>
      <c r="M1194" s="47" t="s">
        <v>2367</v>
      </c>
      <c r="N1194" s="47" t="s">
        <v>1405</v>
      </c>
      <c r="O1194" s="141" t="s">
        <v>1425</v>
      </c>
    </row>
    <row r="1195" spans="1:15" s="199" customFormat="1" x14ac:dyDescent="0.3">
      <c r="A1195" s="50"/>
      <c r="B1195" s="129">
        <f t="shared" si="92"/>
        <v>63500010</v>
      </c>
      <c r="C1195" s="39">
        <v>1</v>
      </c>
      <c r="D1195" s="39"/>
      <c r="E1195" s="39"/>
      <c r="F1195" s="39"/>
      <c r="G1195" s="39">
        <v>1</v>
      </c>
      <c r="H1195" s="47">
        <v>63500010</v>
      </c>
      <c r="I1195" s="47" t="s">
        <v>186</v>
      </c>
      <c r="J1195" s="47">
        <v>13</v>
      </c>
      <c r="K1195" s="198">
        <v>1102118</v>
      </c>
      <c r="L1195" s="47">
        <f t="shared" si="93"/>
        <v>21</v>
      </c>
      <c r="M1195" s="47" t="s">
        <v>2377</v>
      </c>
      <c r="N1195" s="47" t="s">
        <v>1406</v>
      </c>
      <c r="O1195" s="141" t="s">
        <v>1426</v>
      </c>
    </row>
    <row r="1196" spans="1:15" s="199" customFormat="1" x14ac:dyDescent="0.3">
      <c r="A1196" s="50"/>
      <c r="B1196" s="129">
        <f t="shared" si="92"/>
        <v>63500011</v>
      </c>
      <c r="C1196" s="39">
        <v>1</v>
      </c>
      <c r="D1196" s="39"/>
      <c r="E1196" s="39"/>
      <c r="F1196" s="39"/>
      <c r="G1196" s="39">
        <v>1</v>
      </c>
      <c r="H1196" s="47">
        <v>63500011</v>
      </c>
      <c r="I1196" s="47" t="s">
        <v>186</v>
      </c>
      <c r="J1196" s="47">
        <v>13</v>
      </c>
      <c r="K1196" s="198">
        <v>1102120</v>
      </c>
      <c r="L1196" s="47">
        <f t="shared" si="93"/>
        <v>21</v>
      </c>
      <c r="M1196" s="47" t="s">
        <v>2378</v>
      </c>
      <c r="N1196" s="47" t="s">
        <v>1407</v>
      </c>
      <c r="O1196" s="141" t="s">
        <v>1427</v>
      </c>
    </row>
    <row r="1197" spans="1:15" s="199" customFormat="1" x14ac:dyDescent="0.3">
      <c r="A1197" s="50"/>
      <c r="B1197" s="129">
        <f t="shared" si="92"/>
        <v>63500012</v>
      </c>
      <c r="C1197" s="39">
        <v>1</v>
      </c>
      <c r="D1197" s="39"/>
      <c r="E1197" s="39"/>
      <c r="F1197" s="39"/>
      <c r="G1197" s="39">
        <v>1</v>
      </c>
      <c r="H1197" s="47">
        <v>63500012</v>
      </c>
      <c r="I1197" s="47" t="s">
        <v>186</v>
      </c>
      <c r="J1197" s="47">
        <v>13</v>
      </c>
      <c r="K1197" s="198">
        <v>1102120</v>
      </c>
      <c r="L1197" s="47">
        <f t="shared" si="93"/>
        <v>21</v>
      </c>
      <c r="M1197" s="47" t="s">
        <v>2378</v>
      </c>
      <c r="N1197" s="47" t="s">
        <v>1408</v>
      </c>
      <c r="O1197" s="141" t="s">
        <v>1428</v>
      </c>
    </row>
    <row r="1198" spans="1:15" s="199" customFormat="1" x14ac:dyDescent="0.3">
      <c r="A1198" s="50"/>
      <c r="B1198" s="129">
        <f t="shared" si="92"/>
        <v>63500013</v>
      </c>
      <c r="C1198" s="39">
        <v>1</v>
      </c>
      <c r="D1198" s="39"/>
      <c r="E1198" s="39"/>
      <c r="F1198" s="39"/>
      <c r="G1198" s="39">
        <v>1</v>
      </c>
      <c r="H1198" s="47">
        <v>63500013</v>
      </c>
      <c r="I1198" s="47" t="s">
        <v>186</v>
      </c>
      <c r="J1198" s="47">
        <v>13</v>
      </c>
      <c r="K1198" s="198">
        <v>1102121</v>
      </c>
      <c r="L1198" s="47">
        <f t="shared" si="93"/>
        <v>21</v>
      </c>
      <c r="M1198" s="47" t="s">
        <v>2379</v>
      </c>
      <c r="N1198" s="47" t="s">
        <v>1409</v>
      </c>
      <c r="O1198" s="141" t="s">
        <v>1429</v>
      </c>
    </row>
    <row r="1199" spans="1:15" s="199" customFormat="1" x14ac:dyDescent="0.3">
      <c r="A1199" s="50"/>
      <c r="B1199" s="129">
        <f t="shared" si="92"/>
        <v>63500014</v>
      </c>
      <c r="C1199" s="39">
        <v>1</v>
      </c>
      <c r="D1199" s="39"/>
      <c r="E1199" s="39"/>
      <c r="F1199" s="39"/>
      <c r="G1199" s="39">
        <v>1</v>
      </c>
      <c r="H1199" s="47">
        <v>63500014</v>
      </c>
      <c r="I1199" s="47" t="s">
        <v>186</v>
      </c>
      <c r="J1199" s="47">
        <v>13</v>
      </c>
      <c r="K1199" s="198">
        <v>1102122</v>
      </c>
      <c r="L1199" s="47">
        <f t="shared" si="93"/>
        <v>21</v>
      </c>
      <c r="M1199" s="47" t="s">
        <v>2380</v>
      </c>
      <c r="N1199" s="47" t="s">
        <v>1410</v>
      </c>
      <c r="O1199" s="141" t="s">
        <v>1430</v>
      </c>
    </row>
    <row r="1200" spans="1:15" s="199" customFormat="1" x14ac:dyDescent="0.3">
      <c r="A1200" s="50"/>
      <c r="B1200" s="129">
        <f t="shared" si="92"/>
        <v>63500015</v>
      </c>
      <c r="C1200" s="39">
        <v>1</v>
      </c>
      <c r="D1200" s="39"/>
      <c r="E1200" s="39"/>
      <c r="F1200" s="39"/>
      <c r="G1200" s="39">
        <v>1</v>
      </c>
      <c r="H1200" s="47">
        <v>63500015</v>
      </c>
      <c r="I1200" s="47" t="s">
        <v>186</v>
      </c>
      <c r="J1200" s="47">
        <v>13</v>
      </c>
      <c r="K1200" s="198">
        <v>1102123</v>
      </c>
      <c r="L1200" s="47">
        <f t="shared" si="93"/>
        <v>21</v>
      </c>
      <c r="M1200" s="47" t="s">
        <v>2381</v>
      </c>
      <c r="N1200" s="47" t="s">
        <v>1411</v>
      </c>
      <c r="O1200" s="141" t="s">
        <v>1431</v>
      </c>
    </row>
    <row r="1201" spans="1:15" s="199" customFormat="1" x14ac:dyDescent="0.3">
      <c r="A1201" s="50"/>
      <c r="B1201" s="129">
        <f t="shared" si="92"/>
        <v>63500016</v>
      </c>
      <c r="C1201" s="39">
        <v>1</v>
      </c>
      <c r="D1201" s="39"/>
      <c r="E1201" s="39"/>
      <c r="F1201" s="39"/>
      <c r="G1201" s="39">
        <v>1</v>
      </c>
      <c r="H1201" s="47">
        <v>63500016</v>
      </c>
      <c r="I1201" s="47" t="s">
        <v>186</v>
      </c>
      <c r="J1201" s="47">
        <v>13</v>
      </c>
      <c r="K1201" s="198">
        <v>1102137</v>
      </c>
      <c r="L1201" s="47">
        <f t="shared" si="93"/>
        <v>21</v>
      </c>
      <c r="M1201" s="47" t="s">
        <v>2382</v>
      </c>
      <c r="N1201" s="47" t="s">
        <v>1412</v>
      </c>
      <c r="O1201" s="141" t="s">
        <v>1432</v>
      </c>
    </row>
    <row r="1202" spans="1:15" s="199" customFormat="1" ht="12.75" thickBot="1" x14ac:dyDescent="0.35">
      <c r="A1202" s="50"/>
      <c r="B1202" s="231">
        <f t="shared" si="92"/>
        <v>63500017</v>
      </c>
      <c r="C1202" s="39">
        <v>1</v>
      </c>
      <c r="D1202" s="39"/>
      <c r="E1202" s="39"/>
      <c r="F1202" s="39"/>
      <c r="G1202" s="39">
        <v>1</v>
      </c>
      <c r="H1202" s="47">
        <v>63500017</v>
      </c>
      <c r="I1202" s="60" t="s">
        <v>186</v>
      </c>
      <c r="J1202" s="60">
        <v>13</v>
      </c>
      <c r="K1202" s="203">
        <v>1102138</v>
      </c>
      <c r="L1202" s="60">
        <f t="shared" si="93"/>
        <v>21</v>
      </c>
      <c r="M1202" s="60" t="s">
        <v>2383</v>
      </c>
      <c r="N1202" s="60" t="s">
        <v>1413</v>
      </c>
      <c r="O1202" s="145" t="s">
        <v>1433</v>
      </c>
    </row>
    <row r="1203" spans="1:15" s="199" customFormat="1" ht="13.5" thickTop="1" thickBot="1" x14ac:dyDescent="0.35">
      <c r="A1203" s="50"/>
      <c r="B1203" s="129">
        <f t="shared" si="92"/>
        <v>63500018</v>
      </c>
      <c r="C1203" s="39">
        <v>1</v>
      </c>
      <c r="D1203" s="39"/>
      <c r="E1203" s="39"/>
      <c r="F1203" s="39"/>
      <c r="G1203" s="39">
        <v>1</v>
      </c>
      <c r="H1203" s="47">
        <v>63500018</v>
      </c>
      <c r="I1203" s="60" t="s">
        <v>186</v>
      </c>
      <c r="J1203" s="60">
        <v>13</v>
      </c>
      <c r="K1203" s="203">
        <v>1102139</v>
      </c>
      <c r="L1203" s="60">
        <f t="shared" si="93"/>
        <v>21</v>
      </c>
      <c r="M1203" s="60" t="s">
        <v>2384</v>
      </c>
      <c r="N1203" s="60" t="s">
        <v>1414</v>
      </c>
      <c r="O1203" s="145" t="s">
        <v>1434</v>
      </c>
    </row>
    <row r="1204" spans="1:15" s="199" customFormat="1" ht="12.75" thickTop="1" x14ac:dyDescent="0.3">
      <c r="A1204" s="50"/>
      <c r="B1204" s="222">
        <f t="shared" si="92"/>
        <v>63500019</v>
      </c>
      <c r="C1204" s="39">
        <v>1</v>
      </c>
      <c r="D1204" s="39"/>
      <c r="E1204" s="39"/>
      <c r="F1204" s="39"/>
      <c r="G1204" s="39">
        <v>1</v>
      </c>
      <c r="H1204" s="59">
        <v>63500019</v>
      </c>
      <c r="I1204" s="59" t="s">
        <v>186</v>
      </c>
      <c r="J1204" s="59">
        <v>13</v>
      </c>
      <c r="K1204" s="223">
        <v>1102116</v>
      </c>
      <c r="L1204" s="59">
        <f t="shared" si="93"/>
        <v>21</v>
      </c>
      <c r="M1204" s="59" t="s">
        <v>2374</v>
      </c>
      <c r="N1204" s="59" t="s">
        <v>1415</v>
      </c>
      <c r="O1204" s="224" t="s">
        <v>1435</v>
      </c>
    </row>
    <row r="1205" spans="1:15" ht="12.75" thickBot="1" x14ac:dyDescent="0.35">
      <c r="B1205" s="222">
        <f t="shared" si="92"/>
        <v>63500020</v>
      </c>
      <c r="C1205" s="39">
        <v>1</v>
      </c>
      <c r="D1205" s="39"/>
      <c r="E1205" s="39"/>
      <c r="F1205" s="39"/>
      <c r="G1205" s="39">
        <v>1</v>
      </c>
      <c r="H1205" s="59">
        <v>63500020</v>
      </c>
      <c r="I1205" s="59" t="s">
        <v>186</v>
      </c>
      <c r="J1205" s="59">
        <v>13</v>
      </c>
      <c r="K1205" s="223">
        <v>1102116</v>
      </c>
      <c r="L1205" s="59">
        <f t="shared" si="93"/>
        <v>21</v>
      </c>
      <c r="M1205" s="59" t="s">
        <v>2374</v>
      </c>
      <c r="N1205" s="59" t="s">
        <v>1416</v>
      </c>
      <c r="O1205" s="224" t="s">
        <v>1436</v>
      </c>
    </row>
    <row r="1206" spans="1:15" x14ac:dyDescent="0.3">
      <c r="B1206" s="232">
        <f t="shared" si="92"/>
        <v>63500021</v>
      </c>
      <c r="C1206" s="39">
        <v>1</v>
      </c>
      <c r="D1206" s="39"/>
      <c r="E1206" s="39"/>
      <c r="F1206" s="39"/>
      <c r="G1206" s="39">
        <v>1</v>
      </c>
      <c r="H1206" s="102">
        <v>63500021</v>
      </c>
      <c r="I1206" s="102" t="s">
        <v>186</v>
      </c>
      <c r="J1206" s="102">
        <v>21</v>
      </c>
      <c r="K1206" s="233">
        <v>1102151</v>
      </c>
      <c r="L1206" s="102">
        <f t="shared" si="93"/>
        <v>21</v>
      </c>
      <c r="M1206" s="107" t="s">
        <v>1742</v>
      </c>
      <c r="N1206" s="102" t="s">
        <v>1745</v>
      </c>
      <c r="O1206" s="234" t="s">
        <v>1748</v>
      </c>
    </row>
    <row r="1207" spans="1:15" x14ac:dyDescent="0.3">
      <c r="B1207" s="235">
        <f t="shared" si="92"/>
        <v>63500022</v>
      </c>
      <c r="C1207" s="39">
        <v>1</v>
      </c>
      <c r="D1207" s="39"/>
      <c r="E1207" s="39"/>
      <c r="F1207" s="39"/>
      <c r="G1207" s="39">
        <v>1</v>
      </c>
      <c r="H1207" s="61">
        <v>63500022</v>
      </c>
      <c r="I1207" s="61" t="s">
        <v>186</v>
      </c>
      <c r="J1207" s="61">
        <v>21</v>
      </c>
      <c r="K1207" s="220">
        <v>1102152</v>
      </c>
      <c r="L1207" s="61">
        <f t="shared" si="93"/>
        <v>21</v>
      </c>
      <c r="M1207" s="62" t="s">
        <v>1743</v>
      </c>
      <c r="N1207" s="61" t="s">
        <v>1746</v>
      </c>
      <c r="O1207" s="236" t="s">
        <v>1749</v>
      </c>
    </row>
    <row r="1208" spans="1:15" x14ac:dyDescent="0.3">
      <c r="B1208" s="235">
        <f t="shared" si="92"/>
        <v>63500023</v>
      </c>
      <c r="C1208" s="39">
        <v>1</v>
      </c>
      <c r="D1208" s="39"/>
      <c r="E1208" s="39"/>
      <c r="F1208" s="39"/>
      <c r="G1208" s="39">
        <v>1</v>
      </c>
      <c r="H1208" s="61">
        <v>63500023</v>
      </c>
      <c r="I1208" s="61" t="s">
        <v>186</v>
      </c>
      <c r="J1208" s="61">
        <v>21</v>
      </c>
      <c r="K1208" s="220">
        <v>1102153</v>
      </c>
      <c r="L1208" s="61">
        <f t="shared" si="93"/>
        <v>21</v>
      </c>
      <c r="M1208" s="62" t="s">
        <v>1744</v>
      </c>
      <c r="N1208" s="61" t="s">
        <v>1747</v>
      </c>
      <c r="O1208" s="236" t="s">
        <v>1750</v>
      </c>
    </row>
    <row r="1209" spans="1:15" x14ac:dyDescent="0.3">
      <c r="B1209" s="235">
        <v>63500024</v>
      </c>
      <c r="C1209" s="39">
        <v>1</v>
      </c>
      <c r="D1209" s="39"/>
      <c r="E1209" s="39"/>
      <c r="F1209" s="39"/>
      <c r="G1209" s="39">
        <v>1</v>
      </c>
      <c r="H1209" s="61">
        <v>63500024</v>
      </c>
      <c r="I1209" s="61" t="s">
        <v>186</v>
      </c>
      <c r="J1209" s="61">
        <v>13</v>
      </c>
      <c r="K1209" s="220">
        <v>1102157</v>
      </c>
      <c r="L1209" s="61">
        <v>21</v>
      </c>
      <c r="M1209" s="62" t="s">
        <v>2033</v>
      </c>
      <c r="N1209" s="61" t="s">
        <v>2034</v>
      </c>
      <c r="O1209" s="236" t="s">
        <v>2035</v>
      </c>
    </row>
    <row r="1210" spans="1:15" ht="12.75" thickBot="1" x14ac:dyDescent="0.35">
      <c r="B1210" s="237">
        <v>63500025</v>
      </c>
      <c r="C1210" s="39">
        <v>1</v>
      </c>
      <c r="D1210" s="39"/>
      <c r="E1210" s="39"/>
      <c r="F1210" s="39"/>
      <c r="G1210" s="39">
        <v>1</v>
      </c>
      <c r="H1210" s="103">
        <v>63500025</v>
      </c>
      <c r="I1210" s="103" t="s">
        <v>186</v>
      </c>
      <c r="J1210" s="103">
        <v>13</v>
      </c>
      <c r="K1210" s="238">
        <v>1102156</v>
      </c>
      <c r="L1210" s="103">
        <v>21</v>
      </c>
      <c r="M1210" s="108" t="s">
        <v>2033</v>
      </c>
      <c r="N1210" s="103" t="s">
        <v>2036</v>
      </c>
      <c r="O1210" s="239" t="s">
        <v>2037</v>
      </c>
    </row>
    <row r="1211" spans="1:15" ht="12.75" thickBot="1" x14ac:dyDescent="0.35">
      <c r="B1211" s="332">
        <v>63500026</v>
      </c>
      <c r="C1211" s="39">
        <v>1</v>
      </c>
      <c r="D1211" s="39">
        <v>0</v>
      </c>
      <c r="E1211" s="39">
        <v>0</v>
      </c>
      <c r="F1211" s="39">
        <v>0</v>
      </c>
      <c r="G1211" s="39">
        <v>1</v>
      </c>
      <c r="H1211" s="324">
        <v>63500026</v>
      </c>
      <c r="I1211" s="324" t="s">
        <v>186</v>
      </c>
      <c r="J1211" s="324">
        <v>21</v>
      </c>
      <c r="K1211" s="325">
        <v>1102167</v>
      </c>
      <c r="L1211" s="324">
        <v>21</v>
      </c>
      <c r="M1211" s="379" t="s">
        <v>3477</v>
      </c>
      <c r="N1211" s="324" t="s">
        <v>3478</v>
      </c>
      <c r="O1211" s="326" t="s">
        <v>3479</v>
      </c>
    </row>
    <row r="1212" spans="1:15" ht="12.75" thickBot="1" x14ac:dyDescent="0.35">
      <c r="B1212" s="332">
        <f t="shared" ref="B1212:B1213" si="94">H1212</f>
        <v>63500027</v>
      </c>
      <c r="C1212" s="39">
        <v>1</v>
      </c>
      <c r="D1212" s="46" t="s">
        <v>4078</v>
      </c>
      <c r="E1212" s="39">
        <v>0</v>
      </c>
      <c r="F1212" s="46" t="s">
        <v>4079</v>
      </c>
      <c r="G1212" s="39">
        <v>1</v>
      </c>
      <c r="H1212" s="324">
        <v>63500027</v>
      </c>
      <c r="I1212" s="324" t="s">
        <v>186</v>
      </c>
      <c r="J1212" s="324">
        <v>21</v>
      </c>
      <c r="K1212" s="325">
        <v>1102181</v>
      </c>
      <c r="L1212" s="324">
        <v>21</v>
      </c>
      <c r="M1212" s="379" t="s">
        <v>4083</v>
      </c>
      <c r="N1212" s="324" t="s">
        <v>4084</v>
      </c>
      <c r="O1212" s="326" t="s">
        <v>4085</v>
      </c>
    </row>
    <row r="1213" spans="1:15" ht="12.75" thickBot="1" x14ac:dyDescent="0.35">
      <c r="B1213" s="332">
        <f t="shared" si="94"/>
        <v>63500028</v>
      </c>
      <c r="C1213" s="50">
        <v>1</v>
      </c>
      <c r="D1213" s="105"/>
      <c r="F1213" s="105"/>
      <c r="G1213" s="50">
        <v>1</v>
      </c>
      <c r="H1213" s="443">
        <v>63500028</v>
      </c>
      <c r="I1213" s="443" t="s">
        <v>186</v>
      </c>
      <c r="J1213" s="443">
        <v>0</v>
      </c>
      <c r="K1213" s="444">
        <v>0</v>
      </c>
      <c r="L1213" s="443">
        <v>21</v>
      </c>
      <c r="M1213" s="445" t="s">
        <v>4228</v>
      </c>
      <c r="N1213" s="443" t="s">
        <v>4229</v>
      </c>
      <c r="O1213" s="446" t="s">
        <v>4230</v>
      </c>
    </row>
    <row r="1214" spans="1:15" x14ac:dyDescent="0.3">
      <c r="B1214" s="232">
        <f t="shared" ref="B1214:B1220" si="95">H1214</f>
        <v>63500030</v>
      </c>
      <c r="C1214" s="233">
        <v>1</v>
      </c>
      <c r="D1214" s="233" t="s">
        <v>3838</v>
      </c>
      <c r="E1214" s="233">
        <v>0</v>
      </c>
      <c r="F1214" s="233" t="s">
        <v>3854</v>
      </c>
      <c r="G1214" s="233">
        <v>1</v>
      </c>
      <c r="H1214" s="102">
        <v>63500030</v>
      </c>
      <c r="I1214" s="102" t="s">
        <v>186</v>
      </c>
      <c r="J1214" s="102">
        <v>21</v>
      </c>
      <c r="K1214" s="233">
        <v>1102169</v>
      </c>
      <c r="L1214" s="102">
        <v>21</v>
      </c>
      <c r="M1214" s="107" t="s">
        <v>3839</v>
      </c>
      <c r="N1214" s="102" t="s">
        <v>3840</v>
      </c>
      <c r="O1214" s="234" t="s">
        <v>3841</v>
      </c>
    </row>
    <row r="1215" spans="1:15" x14ac:dyDescent="0.3">
      <c r="B1215" s="235">
        <f t="shared" si="95"/>
        <v>63500031</v>
      </c>
      <c r="C1215" s="220">
        <v>1</v>
      </c>
      <c r="D1215" s="220" t="s">
        <v>3838</v>
      </c>
      <c r="E1215" s="220">
        <v>0</v>
      </c>
      <c r="F1215" s="220" t="s">
        <v>3854</v>
      </c>
      <c r="G1215" s="220">
        <v>1</v>
      </c>
      <c r="H1215" s="61">
        <v>63500031</v>
      </c>
      <c r="I1215" s="61" t="s">
        <v>186</v>
      </c>
      <c r="J1215" s="61">
        <v>21</v>
      </c>
      <c r="K1215" s="220">
        <v>1102170</v>
      </c>
      <c r="L1215" s="61">
        <v>21</v>
      </c>
      <c r="M1215" s="62" t="s">
        <v>3842</v>
      </c>
      <c r="N1215" s="61" t="s">
        <v>3843</v>
      </c>
      <c r="O1215" s="236" t="s">
        <v>3841</v>
      </c>
    </row>
    <row r="1216" spans="1:15" x14ac:dyDescent="0.3">
      <c r="B1216" s="235">
        <f t="shared" si="95"/>
        <v>63500032</v>
      </c>
      <c r="C1216" s="220">
        <v>1</v>
      </c>
      <c r="D1216" s="220" t="s">
        <v>3838</v>
      </c>
      <c r="E1216" s="220">
        <v>0</v>
      </c>
      <c r="F1216" s="220" t="s">
        <v>3854</v>
      </c>
      <c r="G1216" s="220">
        <v>1</v>
      </c>
      <c r="H1216" s="61">
        <v>63500032</v>
      </c>
      <c r="I1216" s="61" t="s">
        <v>186</v>
      </c>
      <c r="J1216" s="61">
        <v>21</v>
      </c>
      <c r="K1216" s="220">
        <v>1102171</v>
      </c>
      <c r="L1216" s="61">
        <v>21</v>
      </c>
      <c r="M1216" s="62" t="s">
        <v>3844</v>
      </c>
      <c r="N1216" s="61" t="s">
        <v>3845</v>
      </c>
      <c r="O1216" s="236" t="s">
        <v>3841</v>
      </c>
    </row>
    <row r="1217" spans="2:15" x14ac:dyDescent="0.3">
      <c r="B1217" s="235">
        <f t="shared" si="95"/>
        <v>63500033</v>
      </c>
      <c r="C1217" s="220">
        <v>1</v>
      </c>
      <c r="D1217" s="220" t="s">
        <v>3838</v>
      </c>
      <c r="E1217" s="220">
        <v>0</v>
      </c>
      <c r="F1217" s="220" t="s">
        <v>3854</v>
      </c>
      <c r="G1217" s="220">
        <v>1</v>
      </c>
      <c r="H1217" s="61">
        <v>63500033</v>
      </c>
      <c r="I1217" s="61" t="s">
        <v>186</v>
      </c>
      <c r="J1217" s="61">
        <v>21</v>
      </c>
      <c r="K1217" s="220">
        <v>1102172</v>
      </c>
      <c r="L1217" s="61">
        <v>21</v>
      </c>
      <c r="M1217" s="62" t="s">
        <v>3846</v>
      </c>
      <c r="N1217" s="61" t="s">
        <v>3847</v>
      </c>
      <c r="O1217" s="236" t="s">
        <v>3841</v>
      </c>
    </row>
    <row r="1218" spans="2:15" x14ac:dyDescent="0.3">
      <c r="B1218" s="235">
        <f t="shared" si="95"/>
        <v>63500034</v>
      </c>
      <c r="C1218" s="220">
        <v>1</v>
      </c>
      <c r="D1218" s="220" t="s">
        <v>3838</v>
      </c>
      <c r="E1218" s="220">
        <v>0</v>
      </c>
      <c r="F1218" s="220" t="s">
        <v>3854</v>
      </c>
      <c r="G1218" s="220">
        <v>1</v>
      </c>
      <c r="H1218" s="61">
        <v>63500034</v>
      </c>
      <c r="I1218" s="61" t="s">
        <v>186</v>
      </c>
      <c r="J1218" s="61">
        <v>21</v>
      </c>
      <c r="K1218" s="220">
        <v>1102173</v>
      </c>
      <c r="L1218" s="61">
        <v>21</v>
      </c>
      <c r="M1218" s="62" t="s">
        <v>3848</v>
      </c>
      <c r="N1218" s="61" t="s">
        <v>3849</v>
      </c>
      <c r="O1218" s="236" t="s">
        <v>3841</v>
      </c>
    </row>
    <row r="1219" spans="2:15" x14ac:dyDescent="0.3">
      <c r="B1219" s="235">
        <f t="shared" si="95"/>
        <v>63500035</v>
      </c>
      <c r="C1219" s="220">
        <v>1</v>
      </c>
      <c r="D1219" s="220" t="s">
        <v>3838</v>
      </c>
      <c r="E1219" s="220">
        <v>0</v>
      </c>
      <c r="F1219" s="220" t="s">
        <v>3854</v>
      </c>
      <c r="G1219" s="220">
        <v>1</v>
      </c>
      <c r="H1219" s="61">
        <v>63500035</v>
      </c>
      <c r="I1219" s="61" t="s">
        <v>186</v>
      </c>
      <c r="J1219" s="61">
        <v>21</v>
      </c>
      <c r="K1219" s="220">
        <v>1102174</v>
      </c>
      <c r="L1219" s="61">
        <v>21</v>
      </c>
      <c r="M1219" s="62" t="s">
        <v>3850</v>
      </c>
      <c r="N1219" s="61" t="s">
        <v>3851</v>
      </c>
      <c r="O1219" s="236" t="s">
        <v>3841</v>
      </c>
    </row>
    <row r="1220" spans="2:15" ht="12.75" thickBot="1" x14ac:dyDescent="0.35">
      <c r="B1220" s="237">
        <f t="shared" si="95"/>
        <v>63500036</v>
      </c>
      <c r="C1220" s="238">
        <v>1</v>
      </c>
      <c r="D1220" s="238" t="s">
        <v>3838</v>
      </c>
      <c r="E1220" s="238">
        <v>0</v>
      </c>
      <c r="F1220" s="238" t="s">
        <v>3854</v>
      </c>
      <c r="G1220" s="238">
        <v>1</v>
      </c>
      <c r="H1220" s="103">
        <v>63500036</v>
      </c>
      <c r="I1220" s="103" t="s">
        <v>186</v>
      </c>
      <c r="J1220" s="103">
        <v>21</v>
      </c>
      <c r="K1220" s="238">
        <v>1102175</v>
      </c>
      <c r="L1220" s="103">
        <v>21</v>
      </c>
      <c r="M1220" s="108" t="s">
        <v>3852</v>
      </c>
      <c r="N1220" s="103" t="s">
        <v>3853</v>
      </c>
      <c r="O1220" s="239" t="s">
        <v>3841</v>
      </c>
    </row>
    <row r="1221" spans="2:15" ht="12.75" thickBot="1" x14ac:dyDescent="0.35">
      <c r="B1221" s="457">
        <v>63600000</v>
      </c>
      <c r="C1221" s="458">
        <v>1</v>
      </c>
      <c r="D1221" s="458" t="s">
        <v>4326</v>
      </c>
      <c r="E1221" s="458">
        <v>0</v>
      </c>
      <c r="F1221" s="458" t="s">
        <v>4327</v>
      </c>
      <c r="G1221" s="458">
        <v>1</v>
      </c>
      <c r="H1221" s="383">
        <v>63500037</v>
      </c>
      <c r="I1221" s="383" t="s">
        <v>186</v>
      </c>
      <c r="J1221" s="383">
        <v>21</v>
      </c>
      <c r="K1221" s="384">
        <v>2641107</v>
      </c>
      <c r="L1221" s="383">
        <v>21</v>
      </c>
      <c r="M1221" s="383" t="s">
        <v>4346</v>
      </c>
      <c r="N1221" s="383" t="s">
        <v>4347</v>
      </c>
      <c r="O1221" s="459" t="s">
        <v>4348</v>
      </c>
    </row>
    <row r="1222" spans="2:15" ht="12.75" thickBot="1" x14ac:dyDescent="0.35">
      <c r="B1222" s="240">
        <v>63600000</v>
      </c>
      <c r="C1222" s="39">
        <v>1</v>
      </c>
      <c r="D1222" s="39"/>
      <c r="E1222" s="39"/>
      <c r="F1222" s="39"/>
      <c r="G1222" s="39">
        <v>1</v>
      </c>
      <c r="H1222" s="99">
        <v>63600000</v>
      </c>
      <c r="I1222" s="99" t="s">
        <v>186</v>
      </c>
      <c r="J1222" s="99">
        <v>13</v>
      </c>
      <c r="K1222" s="241">
        <v>1074702</v>
      </c>
      <c r="L1222" s="99">
        <v>21</v>
      </c>
      <c r="M1222" s="99" t="s">
        <v>2385</v>
      </c>
      <c r="N1222" s="99" t="s">
        <v>1710</v>
      </c>
      <c r="O1222" s="242"/>
    </row>
    <row r="1223" spans="2:15" x14ac:dyDescent="0.3">
      <c r="B1223" s="50">
        <v>63600001</v>
      </c>
      <c r="C1223" s="39">
        <v>1</v>
      </c>
      <c r="D1223" s="39"/>
      <c r="E1223" s="39"/>
      <c r="F1223" s="39"/>
      <c r="G1223" s="39">
        <v>1</v>
      </c>
      <c r="H1223" s="50">
        <v>63600001</v>
      </c>
      <c r="I1223" s="50" t="s">
        <v>186</v>
      </c>
      <c r="J1223" s="50">
        <v>13</v>
      </c>
      <c r="K1223" s="105">
        <v>1074701</v>
      </c>
      <c r="L1223" s="50">
        <v>21</v>
      </c>
      <c r="M1223" s="50" t="s">
        <v>2386</v>
      </c>
      <c r="N1223" s="50" t="s">
        <v>1535</v>
      </c>
      <c r="O1223" s="50" t="s">
        <v>1536</v>
      </c>
    </row>
    <row r="1224" spans="2:15" ht="12.75" thickBot="1" x14ac:dyDescent="0.35">
      <c r="B1224" s="50">
        <v>63600002</v>
      </c>
      <c r="C1224" s="44">
        <v>1</v>
      </c>
      <c r="D1224" s="44"/>
      <c r="E1224" s="44"/>
      <c r="F1224" s="44"/>
      <c r="G1224" s="44">
        <v>1</v>
      </c>
      <c r="H1224" s="50">
        <v>63600002</v>
      </c>
      <c r="I1224" s="50" t="s">
        <v>186</v>
      </c>
      <c r="J1224" s="50">
        <v>13</v>
      </c>
      <c r="K1224" s="105">
        <v>1074703</v>
      </c>
      <c r="L1224" s="50">
        <v>21</v>
      </c>
      <c r="M1224" s="50" t="s">
        <v>1958</v>
      </c>
      <c r="N1224" s="50" t="s">
        <v>1960</v>
      </c>
    </row>
    <row r="1225" spans="2:15" ht="16.5" customHeight="1" x14ac:dyDescent="0.3">
      <c r="B1225" s="232">
        <v>55100066</v>
      </c>
      <c r="C1225" s="102">
        <v>1</v>
      </c>
      <c r="D1225" s="102">
        <v>0</v>
      </c>
      <c r="E1225" s="102">
        <v>0</v>
      </c>
      <c r="F1225" s="102">
        <v>0</v>
      </c>
      <c r="G1225" s="102">
        <v>1</v>
      </c>
      <c r="H1225" s="102">
        <v>55100066</v>
      </c>
      <c r="I1225" s="102" t="s">
        <v>186</v>
      </c>
      <c r="J1225" s="102">
        <v>13</v>
      </c>
      <c r="K1225" s="233">
        <v>1067573</v>
      </c>
      <c r="L1225" s="102">
        <v>21</v>
      </c>
      <c r="M1225" s="102" t="s">
        <v>2711</v>
      </c>
      <c r="N1225" s="102" t="s">
        <v>2712</v>
      </c>
      <c r="O1225" s="234" t="s">
        <v>2713</v>
      </c>
    </row>
    <row r="1226" spans="2:15" ht="16.5" customHeight="1" x14ac:dyDescent="0.3">
      <c r="B1226" s="235">
        <f>H1226</f>
        <v>55100067</v>
      </c>
      <c r="C1226" s="61">
        <v>1</v>
      </c>
      <c r="D1226" s="278" t="s">
        <v>3578</v>
      </c>
      <c r="E1226" s="278">
        <v>0</v>
      </c>
      <c r="F1226" s="278">
        <v>0</v>
      </c>
      <c r="G1226" s="61">
        <v>1</v>
      </c>
      <c r="H1226" s="61">
        <v>55100067</v>
      </c>
      <c r="I1226" s="61" t="s">
        <v>186</v>
      </c>
      <c r="J1226" s="61">
        <v>13</v>
      </c>
      <c r="K1226" s="220">
        <v>1086102</v>
      </c>
      <c r="L1226" s="61">
        <v>21</v>
      </c>
      <c r="M1226" s="61" t="s">
        <v>3575</v>
      </c>
      <c r="N1226" s="61" t="s">
        <v>3576</v>
      </c>
      <c r="O1226" s="236" t="s">
        <v>3577</v>
      </c>
    </row>
    <row r="1227" spans="2:15" ht="16.5" customHeight="1" x14ac:dyDescent="0.3">
      <c r="B1227" s="235">
        <f>H1227</f>
        <v>55100068</v>
      </c>
      <c r="C1227" s="61">
        <v>1</v>
      </c>
      <c r="D1227" s="278" t="s">
        <v>3655</v>
      </c>
      <c r="E1227" s="278">
        <v>0</v>
      </c>
      <c r="F1227" s="278">
        <v>0</v>
      </c>
      <c r="G1227" s="61">
        <v>1</v>
      </c>
      <c r="H1227" s="61">
        <v>55100068</v>
      </c>
      <c r="I1227" s="61" t="s">
        <v>186</v>
      </c>
      <c r="J1227" s="61">
        <v>13</v>
      </c>
      <c r="K1227" s="220">
        <v>1086129</v>
      </c>
      <c r="L1227" s="61">
        <v>21</v>
      </c>
      <c r="M1227" s="61" t="s">
        <v>3656</v>
      </c>
      <c r="N1227" s="61" t="s">
        <v>3657</v>
      </c>
      <c r="O1227" s="236" t="s">
        <v>3658</v>
      </c>
    </row>
    <row r="1228" spans="2:15" ht="16.5" customHeight="1" x14ac:dyDescent="0.3">
      <c r="B1228" s="235">
        <f>H1228</f>
        <v>55100069</v>
      </c>
      <c r="C1228" s="61">
        <v>1</v>
      </c>
      <c r="D1228" s="278" t="s">
        <v>3655</v>
      </c>
      <c r="E1228" s="278">
        <v>0</v>
      </c>
      <c r="F1228" s="278">
        <v>0</v>
      </c>
      <c r="G1228" s="61">
        <v>1</v>
      </c>
      <c r="H1228" s="61">
        <v>55100069</v>
      </c>
      <c r="I1228" s="61" t="s">
        <v>186</v>
      </c>
      <c r="J1228" s="61">
        <v>13</v>
      </c>
      <c r="K1228" s="220">
        <v>1086129</v>
      </c>
      <c r="L1228" s="61">
        <v>21</v>
      </c>
      <c r="M1228" s="61" t="s">
        <v>3656</v>
      </c>
      <c r="N1228" s="61" t="s">
        <v>3659</v>
      </c>
      <c r="O1228" s="236" t="s">
        <v>3660</v>
      </c>
    </row>
    <row r="1229" spans="2:15" ht="16.5" customHeight="1" x14ac:dyDescent="0.3">
      <c r="B1229" s="235">
        <f>H1229</f>
        <v>55200000</v>
      </c>
      <c r="C1229" s="61">
        <v>1</v>
      </c>
      <c r="D1229" s="278" t="s">
        <v>3578</v>
      </c>
      <c r="E1229" s="278">
        <v>0</v>
      </c>
      <c r="F1229" s="278">
        <v>0</v>
      </c>
      <c r="G1229" s="61">
        <v>1</v>
      </c>
      <c r="H1229" s="61">
        <v>55200000</v>
      </c>
      <c r="I1229" s="61" t="s">
        <v>186</v>
      </c>
      <c r="J1229" s="61">
        <v>13</v>
      </c>
      <c r="K1229" s="220">
        <v>1086103</v>
      </c>
      <c r="L1229" s="61">
        <v>21</v>
      </c>
      <c r="M1229" s="61" t="s">
        <v>3579</v>
      </c>
      <c r="N1229" s="61" t="s">
        <v>3580</v>
      </c>
      <c r="O1229" s="236" t="s">
        <v>3581</v>
      </c>
    </row>
    <row r="1230" spans="2:15" ht="16.5" customHeight="1" x14ac:dyDescent="0.3">
      <c r="B1230" s="235">
        <f>H1230</f>
        <v>55200001</v>
      </c>
      <c r="C1230" s="61">
        <v>1</v>
      </c>
      <c r="D1230" s="278" t="s">
        <v>3578</v>
      </c>
      <c r="E1230" s="278">
        <v>0</v>
      </c>
      <c r="F1230" s="278">
        <v>0</v>
      </c>
      <c r="G1230" s="61">
        <v>1</v>
      </c>
      <c r="H1230" s="61">
        <v>55200001</v>
      </c>
      <c r="I1230" s="61" t="s">
        <v>186</v>
      </c>
      <c r="J1230" s="61">
        <v>13</v>
      </c>
      <c r="K1230" s="220">
        <v>1086104</v>
      </c>
      <c r="L1230" s="61">
        <v>21</v>
      </c>
      <c r="M1230" s="61" t="s">
        <v>3582</v>
      </c>
      <c r="N1230" s="61" t="s">
        <v>3583</v>
      </c>
      <c r="O1230" s="236" t="s">
        <v>3584</v>
      </c>
    </row>
    <row r="1231" spans="2:15" ht="16.5" customHeight="1" x14ac:dyDescent="0.3">
      <c r="B1231" s="235">
        <f t="shared" ref="B1231:B1255" si="96">H1231</f>
        <v>55200002</v>
      </c>
      <c r="C1231" s="61">
        <v>1</v>
      </c>
      <c r="D1231" s="278" t="s">
        <v>3578</v>
      </c>
      <c r="E1231" s="278">
        <v>0</v>
      </c>
      <c r="F1231" s="278">
        <v>0</v>
      </c>
      <c r="G1231" s="61">
        <v>1</v>
      </c>
      <c r="H1231" s="61">
        <v>55200002</v>
      </c>
      <c r="I1231" s="61" t="s">
        <v>186</v>
      </c>
      <c r="J1231" s="61">
        <v>13</v>
      </c>
      <c r="K1231" s="220">
        <v>1086105</v>
      </c>
      <c r="L1231" s="61">
        <v>21</v>
      </c>
      <c r="M1231" s="61" t="s">
        <v>3585</v>
      </c>
      <c r="N1231" s="61" t="s">
        <v>3586</v>
      </c>
      <c r="O1231" s="236" t="s">
        <v>3587</v>
      </c>
    </row>
    <row r="1232" spans="2:15" ht="16.5" customHeight="1" x14ac:dyDescent="0.3">
      <c r="B1232" s="235">
        <f t="shared" si="96"/>
        <v>55200003</v>
      </c>
      <c r="C1232" s="61">
        <v>1</v>
      </c>
      <c r="D1232" s="278" t="s">
        <v>3578</v>
      </c>
      <c r="E1232" s="278">
        <v>0</v>
      </c>
      <c r="F1232" s="278">
        <v>0</v>
      </c>
      <c r="G1232" s="61">
        <v>1</v>
      </c>
      <c r="H1232" s="61">
        <v>55200003</v>
      </c>
      <c r="I1232" s="61" t="s">
        <v>186</v>
      </c>
      <c r="J1232" s="61">
        <v>13</v>
      </c>
      <c r="K1232" s="220">
        <v>1086106</v>
      </c>
      <c r="L1232" s="61">
        <v>21</v>
      </c>
      <c r="M1232" s="61" t="s">
        <v>3588</v>
      </c>
      <c r="N1232" s="61" t="s">
        <v>3589</v>
      </c>
      <c r="O1232" s="236" t="s">
        <v>3590</v>
      </c>
    </row>
    <row r="1233" spans="2:15" ht="16.5" customHeight="1" x14ac:dyDescent="0.3">
      <c r="B1233" s="235">
        <f t="shared" si="96"/>
        <v>55200004</v>
      </c>
      <c r="C1233" s="61">
        <v>1</v>
      </c>
      <c r="D1233" s="278" t="s">
        <v>3578</v>
      </c>
      <c r="E1233" s="278">
        <v>0</v>
      </c>
      <c r="F1233" s="278">
        <v>0</v>
      </c>
      <c r="G1233" s="61">
        <v>1</v>
      </c>
      <c r="H1233" s="61">
        <v>55200004</v>
      </c>
      <c r="I1233" s="61" t="s">
        <v>186</v>
      </c>
      <c r="J1233" s="61">
        <v>13</v>
      </c>
      <c r="K1233" s="220">
        <v>1086107</v>
      </c>
      <c r="L1233" s="61">
        <v>21</v>
      </c>
      <c r="M1233" s="61" t="s">
        <v>3591</v>
      </c>
      <c r="N1233" s="61" t="s">
        <v>3592</v>
      </c>
      <c r="O1233" s="236" t="s">
        <v>3593</v>
      </c>
    </row>
    <row r="1234" spans="2:15" ht="16.5" customHeight="1" x14ac:dyDescent="0.3">
      <c r="B1234" s="235">
        <f t="shared" si="96"/>
        <v>55200005</v>
      </c>
      <c r="C1234" s="61">
        <v>1</v>
      </c>
      <c r="D1234" s="278" t="s">
        <v>3578</v>
      </c>
      <c r="E1234" s="278">
        <v>0</v>
      </c>
      <c r="F1234" s="278">
        <v>0</v>
      </c>
      <c r="G1234" s="61">
        <v>1</v>
      </c>
      <c r="H1234" s="61">
        <v>55200005</v>
      </c>
      <c r="I1234" s="61" t="s">
        <v>186</v>
      </c>
      <c r="J1234" s="61">
        <v>13</v>
      </c>
      <c r="K1234" s="220">
        <v>1086108</v>
      </c>
      <c r="L1234" s="61">
        <v>21</v>
      </c>
      <c r="M1234" s="61" t="s">
        <v>3594</v>
      </c>
      <c r="N1234" s="61" t="s">
        <v>3595</v>
      </c>
      <c r="O1234" s="236" t="s">
        <v>3596</v>
      </c>
    </row>
    <row r="1235" spans="2:15" ht="16.5" customHeight="1" x14ac:dyDescent="0.3">
      <c r="B1235" s="235">
        <f t="shared" si="96"/>
        <v>55200006</v>
      </c>
      <c r="C1235" s="61">
        <v>1</v>
      </c>
      <c r="D1235" s="278" t="s">
        <v>3578</v>
      </c>
      <c r="E1235" s="278">
        <v>0</v>
      </c>
      <c r="F1235" s="278">
        <v>0</v>
      </c>
      <c r="G1235" s="61">
        <v>1</v>
      </c>
      <c r="H1235" s="61">
        <v>55200006</v>
      </c>
      <c r="I1235" s="61" t="s">
        <v>186</v>
      </c>
      <c r="J1235" s="61">
        <v>13</v>
      </c>
      <c r="K1235" s="220">
        <v>1086109</v>
      </c>
      <c r="L1235" s="61">
        <v>21</v>
      </c>
      <c r="M1235" s="61" t="s">
        <v>3597</v>
      </c>
      <c r="N1235" s="61" t="s">
        <v>3598</v>
      </c>
      <c r="O1235" s="236" t="s">
        <v>3599</v>
      </c>
    </row>
    <row r="1236" spans="2:15" ht="16.5" customHeight="1" x14ac:dyDescent="0.3">
      <c r="B1236" s="235">
        <f>H1236</f>
        <v>55200007</v>
      </c>
      <c r="C1236" s="61">
        <v>1</v>
      </c>
      <c r="D1236" s="278" t="s">
        <v>3676</v>
      </c>
      <c r="E1236" s="278">
        <v>0</v>
      </c>
      <c r="F1236" s="278">
        <v>0</v>
      </c>
      <c r="G1236" s="61">
        <v>1</v>
      </c>
      <c r="H1236" s="61">
        <v>55200007</v>
      </c>
      <c r="I1236" s="61" t="s">
        <v>186</v>
      </c>
      <c r="J1236" s="61">
        <v>13</v>
      </c>
      <c r="K1236" s="220">
        <v>1086427</v>
      </c>
      <c r="L1236" s="61">
        <v>21</v>
      </c>
      <c r="M1236" s="61" t="s">
        <v>3677</v>
      </c>
      <c r="N1236" s="61" t="s">
        <v>3678</v>
      </c>
      <c r="O1236" s="236" t="s">
        <v>3679</v>
      </c>
    </row>
    <row r="1237" spans="2:15" ht="16.5" customHeight="1" x14ac:dyDescent="0.3">
      <c r="B1237" s="235">
        <f t="shared" si="96"/>
        <v>55200010</v>
      </c>
      <c r="C1237" s="61">
        <v>1</v>
      </c>
      <c r="D1237" s="278" t="s">
        <v>3578</v>
      </c>
      <c r="E1237" s="278">
        <v>0</v>
      </c>
      <c r="F1237" s="278">
        <v>0</v>
      </c>
      <c r="G1237" s="61">
        <v>1</v>
      </c>
      <c r="H1237" s="61">
        <v>55200010</v>
      </c>
      <c r="I1237" s="61" t="s">
        <v>186</v>
      </c>
      <c r="J1237" s="61">
        <v>13</v>
      </c>
      <c r="K1237" s="220">
        <v>1086110</v>
      </c>
      <c r="L1237" s="61">
        <v>21</v>
      </c>
      <c r="M1237" s="61" t="s">
        <v>3600</v>
      </c>
      <c r="N1237" s="61" t="s">
        <v>3601</v>
      </c>
      <c r="O1237" s="236" t="s">
        <v>3602</v>
      </c>
    </row>
    <row r="1238" spans="2:15" ht="16.5" customHeight="1" x14ac:dyDescent="0.3">
      <c r="B1238" s="235">
        <f t="shared" si="96"/>
        <v>55200011</v>
      </c>
      <c r="C1238" s="61">
        <v>1</v>
      </c>
      <c r="D1238" s="278" t="s">
        <v>3578</v>
      </c>
      <c r="E1238" s="278">
        <v>0</v>
      </c>
      <c r="F1238" s="278">
        <v>0</v>
      </c>
      <c r="G1238" s="61">
        <v>1</v>
      </c>
      <c r="H1238" s="61">
        <v>55200011</v>
      </c>
      <c r="I1238" s="61" t="s">
        <v>186</v>
      </c>
      <c r="J1238" s="61">
        <v>13</v>
      </c>
      <c r="K1238" s="220">
        <v>1086111</v>
      </c>
      <c r="L1238" s="61">
        <v>21</v>
      </c>
      <c r="M1238" s="61" t="s">
        <v>3603</v>
      </c>
      <c r="N1238" s="61" t="s">
        <v>3604</v>
      </c>
      <c r="O1238" s="236" t="s">
        <v>3605</v>
      </c>
    </row>
    <row r="1239" spans="2:15" ht="16.5" customHeight="1" x14ac:dyDescent="0.3">
      <c r="B1239" s="235">
        <f t="shared" si="96"/>
        <v>55200012</v>
      </c>
      <c r="C1239" s="61">
        <v>1</v>
      </c>
      <c r="D1239" s="278" t="s">
        <v>3578</v>
      </c>
      <c r="E1239" s="278">
        <v>0</v>
      </c>
      <c r="F1239" s="278">
        <v>0</v>
      </c>
      <c r="G1239" s="61">
        <v>1</v>
      </c>
      <c r="H1239" s="61">
        <v>55200012</v>
      </c>
      <c r="I1239" s="61" t="s">
        <v>186</v>
      </c>
      <c r="J1239" s="61">
        <v>13</v>
      </c>
      <c r="K1239" s="220">
        <v>1086112</v>
      </c>
      <c r="L1239" s="61">
        <v>21</v>
      </c>
      <c r="M1239" s="61" t="s">
        <v>3606</v>
      </c>
      <c r="N1239" s="61" t="s">
        <v>3607</v>
      </c>
      <c r="O1239" s="236" t="s">
        <v>3608</v>
      </c>
    </row>
    <row r="1240" spans="2:15" ht="16.5" customHeight="1" x14ac:dyDescent="0.3">
      <c r="B1240" s="235">
        <f t="shared" si="96"/>
        <v>55200013</v>
      </c>
      <c r="C1240" s="61">
        <v>1</v>
      </c>
      <c r="D1240" s="278" t="s">
        <v>3578</v>
      </c>
      <c r="E1240" s="278">
        <v>0</v>
      </c>
      <c r="F1240" s="278">
        <v>0</v>
      </c>
      <c r="G1240" s="61">
        <v>1</v>
      </c>
      <c r="H1240" s="61">
        <v>55200013</v>
      </c>
      <c r="I1240" s="61" t="s">
        <v>186</v>
      </c>
      <c r="J1240" s="61">
        <v>13</v>
      </c>
      <c r="K1240" s="220">
        <v>1086113</v>
      </c>
      <c r="L1240" s="61">
        <v>21</v>
      </c>
      <c r="M1240" s="61" t="s">
        <v>3609</v>
      </c>
      <c r="N1240" s="61" t="s">
        <v>3610</v>
      </c>
      <c r="O1240" s="236" t="s">
        <v>3611</v>
      </c>
    </row>
    <row r="1241" spans="2:15" ht="16.5" customHeight="1" x14ac:dyDescent="0.3">
      <c r="B1241" s="235">
        <f t="shared" si="96"/>
        <v>55200014</v>
      </c>
      <c r="C1241" s="61">
        <v>1</v>
      </c>
      <c r="D1241" s="278" t="s">
        <v>3578</v>
      </c>
      <c r="E1241" s="278">
        <v>0</v>
      </c>
      <c r="F1241" s="278">
        <v>0</v>
      </c>
      <c r="G1241" s="61">
        <v>1</v>
      </c>
      <c r="H1241" s="61">
        <v>55200014</v>
      </c>
      <c r="I1241" s="61" t="s">
        <v>186</v>
      </c>
      <c r="J1241" s="61">
        <v>13</v>
      </c>
      <c r="K1241" s="220">
        <v>1086114</v>
      </c>
      <c r="L1241" s="61">
        <v>21</v>
      </c>
      <c r="M1241" s="61" t="s">
        <v>3612</v>
      </c>
      <c r="N1241" s="61" t="s">
        <v>3613</v>
      </c>
      <c r="O1241" s="236" t="s">
        <v>3614</v>
      </c>
    </row>
    <row r="1242" spans="2:15" ht="16.5" customHeight="1" x14ac:dyDescent="0.3">
      <c r="B1242" s="235">
        <f t="shared" si="96"/>
        <v>55200015</v>
      </c>
      <c r="C1242" s="61">
        <v>1</v>
      </c>
      <c r="D1242" s="278" t="s">
        <v>3578</v>
      </c>
      <c r="E1242" s="278">
        <v>0</v>
      </c>
      <c r="F1242" s="278">
        <v>0</v>
      </c>
      <c r="G1242" s="61">
        <v>1</v>
      </c>
      <c r="H1242" s="61">
        <v>55200015</v>
      </c>
      <c r="I1242" s="61" t="s">
        <v>186</v>
      </c>
      <c r="J1242" s="61">
        <v>13</v>
      </c>
      <c r="K1242" s="220">
        <v>1086115</v>
      </c>
      <c r="L1242" s="61">
        <v>21</v>
      </c>
      <c r="M1242" s="61" t="s">
        <v>3615</v>
      </c>
      <c r="N1242" s="61" t="s">
        <v>3616</v>
      </c>
      <c r="O1242" s="236" t="s">
        <v>3617</v>
      </c>
    </row>
    <row r="1243" spans="2:15" ht="16.5" customHeight="1" x14ac:dyDescent="0.3">
      <c r="B1243" s="235">
        <f t="shared" si="96"/>
        <v>55200016</v>
      </c>
      <c r="C1243" s="61">
        <v>1</v>
      </c>
      <c r="D1243" s="278" t="s">
        <v>3578</v>
      </c>
      <c r="E1243" s="278">
        <v>0</v>
      </c>
      <c r="F1243" s="278">
        <v>0</v>
      </c>
      <c r="G1243" s="61">
        <v>1</v>
      </c>
      <c r="H1243" s="61">
        <v>55200016</v>
      </c>
      <c r="I1243" s="61" t="s">
        <v>186</v>
      </c>
      <c r="J1243" s="61">
        <v>13</v>
      </c>
      <c r="K1243" s="220">
        <v>1086116</v>
      </c>
      <c r="L1243" s="61">
        <v>21</v>
      </c>
      <c r="M1243" s="61" t="s">
        <v>3618</v>
      </c>
      <c r="N1243" s="61" t="s">
        <v>3619</v>
      </c>
      <c r="O1243" s="236" t="s">
        <v>3620</v>
      </c>
    </row>
    <row r="1244" spans="2:15" ht="16.5" customHeight="1" x14ac:dyDescent="0.3">
      <c r="B1244" s="235">
        <f t="shared" si="96"/>
        <v>55200017</v>
      </c>
      <c r="C1244" s="61">
        <v>1</v>
      </c>
      <c r="D1244" s="278" t="s">
        <v>3578</v>
      </c>
      <c r="E1244" s="278">
        <v>0</v>
      </c>
      <c r="F1244" s="278">
        <v>0</v>
      </c>
      <c r="G1244" s="61">
        <v>1</v>
      </c>
      <c r="H1244" s="61">
        <v>55200017</v>
      </c>
      <c r="I1244" s="61" t="s">
        <v>186</v>
      </c>
      <c r="J1244" s="61">
        <v>13</v>
      </c>
      <c r="K1244" s="220">
        <v>1086117</v>
      </c>
      <c r="L1244" s="61">
        <v>21</v>
      </c>
      <c r="M1244" s="61" t="s">
        <v>3621</v>
      </c>
      <c r="N1244" s="61" t="s">
        <v>3622</v>
      </c>
      <c r="O1244" s="236" t="s">
        <v>3623</v>
      </c>
    </row>
    <row r="1245" spans="2:15" ht="16.5" customHeight="1" x14ac:dyDescent="0.3">
      <c r="B1245" s="235">
        <f t="shared" si="96"/>
        <v>55200020</v>
      </c>
      <c r="C1245" s="61">
        <v>1</v>
      </c>
      <c r="D1245" s="278" t="s">
        <v>3578</v>
      </c>
      <c r="E1245" s="278">
        <v>0</v>
      </c>
      <c r="F1245" s="278">
        <v>0</v>
      </c>
      <c r="G1245" s="61">
        <v>1</v>
      </c>
      <c r="H1245" s="61">
        <v>55200020</v>
      </c>
      <c r="I1245" s="61" t="s">
        <v>186</v>
      </c>
      <c r="J1245" s="61">
        <v>13</v>
      </c>
      <c r="K1245" s="220">
        <v>1086118</v>
      </c>
      <c r="L1245" s="61">
        <v>21</v>
      </c>
      <c r="M1245" s="61" t="s">
        <v>3624</v>
      </c>
      <c r="N1245" s="61" t="s">
        <v>3625</v>
      </c>
      <c r="O1245" s="236" t="s">
        <v>3626</v>
      </c>
    </row>
    <row r="1246" spans="2:15" ht="16.5" customHeight="1" x14ac:dyDescent="0.3">
      <c r="B1246" s="235">
        <f t="shared" si="96"/>
        <v>55200021</v>
      </c>
      <c r="C1246" s="61">
        <v>1</v>
      </c>
      <c r="D1246" s="278" t="s">
        <v>3578</v>
      </c>
      <c r="E1246" s="278">
        <v>0</v>
      </c>
      <c r="F1246" s="278">
        <v>0</v>
      </c>
      <c r="G1246" s="61">
        <v>1</v>
      </c>
      <c r="H1246" s="61">
        <v>55200021</v>
      </c>
      <c r="I1246" s="61" t="s">
        <v>186</v>
      </c>
      <c r="J1246" s="61">
        <v>13</v>
      </c>
      <c r="K1246" s="220">
        <v>1086119</v>
      </c>
      <c r="L1246" s="61">
        <v>21</v>
      </c>
      <c r="M1246" s="61" t="s">
        <v>3627</v>
      </c>
      <c r="N1246" s="61" t="s">
        <v>3628</v>
      </c>
      <c r="O1246" s="236" t="s">
        <v>3629</v>
      </c>
    </row>
    <row r="1247" spans="2:15" ht="16.5" customHeight="1" x14ac:dyDescent="0.3">
      <c r="B1247" s="235">
        <f t="shared" si="96"/>
        <v>55200022</v>
      </c>
      <c r="C1247" s="61">
        <v>1</v>
      </c>
      <c r="D1247" s="278" t="s">
        <v>3578</v>
      </c>
      <c r="E1247" s="278">
        <v>0</v>
      </c>
      <c r="F1247" s="278">
        <v>0</v>
      </c>
      <c r="G1247" s="61">
        <v>1</v>
      </c>
      <c r="H1247" s="61">
        <v>55200022</v>
      </c>
      <c r="I1247" s="61" t="s">
        <v>186</v>
      </c>
      <c r="J1247" s="61">
        <v>13</v>
      </c>
      <c r="K1247" s="220">
        <v>1086120</v>
      </c>
      <c r="L1247" s="61">
        <v>21</v>
      </c>
      <c r="M1247" s="61" t="s">
        <v>3630</v>
      </c>
      <c r="N1247" s="61" t="s">
        <v>3631</v>
      </c>
      <c r="O1247" s="236" t="s">
        <v>3632</v>
      </c>
    </row>
    <row r="1248" spans="2:15" ht="16.5" customHeight="1" x14ac:dyDescent="0.3">
      <c r="B1248" s="235">
        <f t="shared" si="96"/>
        <v>55200023</v>
      </c>
      <c r="C1248" s="61">
        <v>1</v>
      </c>
      <c r="D1248" s="278" t="s">
        <v>3578</v>
      </c>
      <c r="E1248" s="278">
        <v>0</v>
      </c>
      <c r="F1248" s="278">
        <v>0</v>
      </c>
      <c r="G1248" s="61">
        <v>1</v>
      </c>
      <c r="H1248" s="61">
        <v>55200023</v>
      </c>
      <c r="I1248" s="61" t="s">
        <v>186</v>
      </c>
      <c r="J1248" s="61">
        <v>13</v>
      </c>
      <c r="K1248" s="220">
        <v>1086121</v>
      </c>
      <c r="L1248" s="61">
        <v>21</v>
      </c>
      <c r="M1248" s="61" t="s">
        <v>3606</v>
      </c>
      <c r="N1248" s="61" t="s">
        <v>3633</v>
      </c>
      <c r="O1248" s="236" t="s">
        <v>3634</v>
      </c>
    </row>
    <row r="1249" spans="2:15" ht="16.5" customHeight="1" x14ac:dyDescent="0.3">
      <c r="B1249" s="235">
        <f t="shared" si="96"/>
        <v>55200024</v>
      </c>
      <c r="C1249" s="61">
        <v>1</v>
      </c>
      <c r="D1249" s="278" t="s">
        <v>3578</v>
      </c>
      <c r="E1249" s="278">
        <v>0</v>
      </c>
      <c r="F1249" s="278">
        <v>0</v>
      </c>
      <c r="G1249" s="61">
        <v>1</v>
      </c>
      <c r="H1249" s="61">
        <v>55200024</v>
      </c>
      <c r="I1249" s="61" t="s">
        <v>186</v>
      </c>
      <c r="J1249" s="61">
        <v>13</v>
      </c>
      <c r="K1249" s="220">
        <v>1086122</v>
      </c>
      <c r="L1249" s="61">
        <v>21</v>
      </c>
      <c r="M1249" s="61" t="s">
        <v>3635</v>
      </c>
      <c r="N1249" s="61" t="s">
        <v>3636</v>
      </c>
      <c r="O1249" s="236" t="s">
        <v>3637</v>
      </c>
    </row>
    <row r="1250" spans="2:15" ht="16.5" customHeight="1" x14ac:dyDescent="0.3">
      <c r="B1250" s="235">
        <f t="shared" si="96"/>
        <v>55200025</v>
      </c>
      <c r="C1250" s="61">
        <v>1</v>
      </c>
      <c r="D1250" s="278" t="s">
        <v>3578</v>
      </c>
      <c r="E1250" s="278">
        <v>0</v>
      </c>
      <c r="F1250" s="278">
        <v>0</v>
      </c>
      <c r="G1250" s="61">
        <v>1</v>
      </c>
      <c r="H1250" s="61">
        <v>55200025</v>
      </c>
      <c r="I1250" s="61" t="s">
        <v>186</v>
      </c>
      <c r="J1250" s="61">
        <v>13</v>
      </c>
      <c r="K1250" s="220">
        <v>1086123</v>
      </c>
      <c r="L1250" s="61">
        <v>21</v>
      </c>
      <c r="M1250" s="61" t="s">
        <v>3638</v>
      </c>
      <c r="N1250" s="61" t="s">
        <v>3639</v>
      </c>
      <c r="O1250" s="236" t="s">
        <v>3640</v>
      </c>
    </row>
    <row r="1251" spans="2:15" ht="16.5" customHeight="1" x14ac:dyDescent="0.3">
      <c r="B1251" s="235">
        <f t="shared" si="96"/>
        <v>55200026</v>
      </c>
      <c r="C1251" s="61">
        <v>1</v>
      </c>
      <c r="D1251" s="278" t="s">
        <v>3578</v>
      </c>
      <c r="E1251" s="278">
        <v>0</v>
      </c>
      <c r="F1251" s="278">
        <v>0</v>
      </c>
      <c r="G1251" s="61">
        <v>1</v>
      </c>
      <c r="H1251" s="61">
        <v>55200026</v>
      </c>
      <c r="I1251" s="61" t="s">
        <v>186</v>
      </c>
      <c r="J1251" s="61">
        <v>13</v>
      </c>
      <c r="K1251" s="220">
        <v>1086124</v>
      </c>
      <c r="L1251" s="61">
        <v>21</v>
      </c>
      <c r="M1251" s="61" t="s">
        <v>3641</v>
      </c>
      <c r="N1251" s="61" t="s">
        <v>3642</v>
      </c>
      <c r="O1251" s="236" t="s">
        <v>3643</v>
      </c>
    </row>
    <row r="1252" spans="2:15" ht="16.5" customHeight="1" x14ac:dyDescent="0.3">
      <c r="B1252" s="235">
        <f t="shared" si="96"/>
        <v>55200027</v>
      </c>
      <c r="C1252" s="61">
        <v>1</v>
      </c>
      <c r="D1252" s="278" t="s">
        <v>3578</v>
      </c>
      <c r="E1252" s="278">
        <v>0</v>
      </c>
      <c r="F1252" s="278">
        <v>0</v>
      </c>
      <c r="G1252" s="61">
        <v>1</v>
      </c>
      <c r="H1252" s="61">
        <v>55200027</v>
      </c>
      <c r="I1252" s="61" t="s">
        <v>186</v>
      </c>
      <c r="J1252" s="61">
        <v>13</v>
      </c>
      <c r="K1252" s="220">
        <v>1086125</v>
      </c>
      <c r="L1252" s="61">
        <v>21</v>
      </c>
      <c r="M1252" s="61" t="s">
        <v>3624</v>
      </c>
      <c r="N1252" s="61" t="s">
        <v>3644</v>
      </c>
      <c r="O1252" s="236" t="s">
        <v>3645</v>
      </c>
    </row>
    <row r="1253" spans="2:15" ht="16.5" customHeight="1" x14ac:dyDescent="0.3">
      <c r="B1253" s="235">
        <f t="shared" si="96"/>
        <v>55200028</v>
      </c>
      <c r="C1253" s="61">
        <v>1</v>
      </c>
      <c r="D1253" s="278" t="s">
        <v>3578</v>
      </c>
      <c r="E1253" s="278">
        <v>0</v>
      </c>
      <c r="F1253" s="278">
        <v>0</v>
      </c>
      <c r="G1253" s="61">
        <v>1</v>
      </c>
      <c r="H1253" s="61">
        <v>55200028</v>
      </c>
      <c r="I1253" s="61" t="s">
        <v>186</v>
      </c>
      <c r="J1253" s="61">
        <v>13</v>
      </c>
      <c r="K1253" s="220">
        <v>1086126</v>
      </c>
      <c r="L1253" s="61">
        <v>21</v>
      </c>
      <c r="M1253" s="61" t="s">
        <v>3646</v>
      </c>
      <c r="N1253" s="61" t="s">
        <v>3647</v>
      </c>
      <c r="O1253" s="236" t="s">
        <v>3648</v>
      </c>
    </row>
    <row r="1254" spans="2:15" ht="16.5" customHeight="1" x14ac:dyDescent="0.3">
      <c r="B1254" s="235">
        <f t="shared" si="96"/>
        <v>55200029</v>
      </c>
      <c r="C1254" s="61">
        <v>1</v>
      </c>
      <c r="D1254" s="278" t="s">
        <v>3578</v>
      </c>
      <c r="E1254" s="278">
        <v>0</v>
      </c>
      <c r="F1254" s="278">
        <v>0</v>
      </c>
      <c r="G1254" s="61">
        <v>1</v>
      </c>
      <c r="H1254" s="61">
        <v>55200029</v>
      </c>
      <c r="I1254" s="61" t="s">
        <v>186</v>
      </c>
      <c r="J1254" s="61">
        <v>13</v>
      </c>
      <c r="K1254" s="220">
        <v>1086127</v>
      </c>
      <c r="L1254" s="61">
        <v>21</v>
      </c>
      <c r="M1254" s="61" t="s">
        <v>3649</v>
      </c>
      <c r="N1254" s="61" t="s">
        <v>3650</v>
      </c>
      <c r="O1254" s="236" t="s">
        <v>3651</v>
      </c>
    </row>
    <row r="1255" spans="2:15" ht="16.5" customHeight="1" x14ac:dyDescent="0.3">
      <c r="B1255" s="235">
        <f t="shared" si="96"/>
        <v>55200030</v>
      </c>
      <c r="C1255" s="61">
        <v>1</v>
      </c>
      <c r="D1255" s="278" t="s">
        <v>3578</v>
      </c>
      <c r="E1255" s="278">
        <v>0</v>
      </c>
      <c r="F1255" s="278">
        <v>0</v>
      </c>
      <c r="G1255" s="61">
        <v>1</v>
      </c>
      <c r="H1255" s="61">
        <v>55200030</v>
      </c>
      <c r="I1255" s="61" t="s">
        <v>186</v>
      </c>
      <c r="J1255" s="61">
        <v>13</v>
      </c>
      <c r="K1255" s="220">
        <v>1086128</v>
      </c>
      <c r="L1255" s="61">
        <v>21</v>
      </c>
      <c r="M1255" s="61" t="s">
        <v>3652</v>
      </c>
      <c r="N1255" s="61" t="s">
        <v>3653</v>
      </c>
      <c r="O1255" s="236" t="s">
        <v>3654</v>
      </c>
    </row>
    <row r="1256" spans="2:15" ht="16.5" customHeight="1" thickBot="1" x14ac:dyDescent="0.35">
      <c r="B1256" s="237">
        <f t="shared" ref="B1256:B1261" si="97">H1256</f>
        <v>55200031</v>
      </c>
      <c r="C1256" s="103">
        <v>1</v>
      </c>
      <c r="D1256" s="287" t="s">
        <v>3676</v>
      </c>
      <c r="E1256" s="287">
        <v>0</v>
      </c>
      <c r="F1256" s="287">
        <v>0</v>
      </c>
      <c r="G1256" s="103">
        <v>1</v>
      </c>
      <c r="H1256" s="103">
        <v>55200031</v>
      </c>
      <c r="I1256" s="103" t="s">
        <v>186</v>
      </c>
      <c r="J1256" s="103">
        <v>13</v>
      </c>
      <c r="K1256" s="238">
        <v>1086429</v>
      </c>
      <c r="L1256" s="103">
        <v>21</v>
      </c>
      <c r="M1256" s="103" t="s">
        <v>3680</v>
      </c>
      <c r="N1256" s="103" t="s">
        <v>3681</v>
      </c>
      <c r="O1256" s="239" t="s">
        <v>3682</v>
      </c>
    </row>
    <row r="1257" spans="2:15" ht="16.5" customHeight="1" x14ac:dyDescent="0.3">
      <c r="B1257" s="50">
        <f t="shared" si="97"/>
        <v>55200032</v>
      </c>
      <c r="C1257" s="50">
        <v>1</v>
      </c>
      <c r="D1257" s="314" t="s">
        <v>3676</v>
      </c>
      <c r="E1257" s="314">
        <v>0</v>
      </c>
      <c r="F1257" s="314">
        <v>0</v>
      </c>
      <c r="G1257" s="50">
        <v>1</v>
      </c>
      <c r="H1257" s="50">
        <v>55200032</v>
      </c>
      <c r="I1257" s="50" t="s">
        <v>186</v>
      </c>
      <c r="J1257" s="50">
        <v>13</v>
      </c>
      <c r="K1257" s="105">
        <v>1086130</v>
      </c>
      <c r="L1257" s="50">
        <v>21</v>
      </c>
      <c r="M1257" s="50" t="s">
        <v>3683</v>
      </c>
      <c r="N1257" s="50" t="s">
        <v>3684</v>
      </c>
      <c r="O1257" s="50" t="s">
        <v>3685</v>
      </c>
    </row>
    <row r="1258" spans="2:15" ht="16.5" customHeight="1" x14ac:dyDescent="0.3">
      <c r="B1258" s="50">
        <f t="shared" si="97"/>
        <v>55200033</v>
      </c>
      <c r="C1258" s="50">
        <v>1</v>
      </c>
      <c r="D1258" s="314" t="s">
        <v>3676</v>
      </c>
      <c r="E1258" s="314">
        <v>0</v>
      </c>
      <c r="F1258" s="314">
        <v>0</v>
      </c>
      <c r="G1258" s="50">
        <v>1</v>
      </c>
      <c r="H1258" s="50">
        <v>55200033</v>
      </c>
      <c r="I1258" s="50" t="s">
        <v>186</v>
      </c>
      <c r="J1258" s="50">
        <v>13</v>
      </c>
      <c r="K1258" s="105">
        <v>1086131</v>
      </c>
      <c r="L1258" s="50">
        <v>21</v>
      </c>
      <c r="M1258" s="50" t="s">
        <v>3686</v>
      </c>
      <c r="N1258" s="50" t="s">
        <v>3687</v>
      </c>
      <c r="O1258" s="50" t="s">
        <v>3688</v>
      </c>
    </row>
    <row r="1259" spans="2:15" ht="16.5" customHeight="1" x14ac:dyDescent="0.3">
      <c r="B1259" s="50">
        <f t="shared" si="97"/>
        <v>55200034</v>
      </c>
      <c r="C1259" s="50">
        <v>1</v>
      </c>
      <c r="D1259" s="314" t="s">
        <v>3701</v>
      </c>
      <c r="E1259" s="314">
        <v>0</v>
      </c>
      <c r="F1259" s="314">
        <v>0</v>
      </c>
      <c r="G1259" s="50">
        <v>1</v>
      </c>
      <c r="H1259" s="50">
        <v>55200034</v>
      </c>
      <c r="I1259" s="50" t="s">
        <v>186</v>
      </c>
      <c r="J1259" s="50">
        <v>13</v>
      </c>
      <c r="K1259" s="105">
        <v>1067579</v>
      </c>
      <c r="L1259" s="50">
        <v>21</v>
      </c>
      <c r="M1259" s="50" t="s">
        <v>3702</v>
      </c>
      <c r="N1259" s="50" t="s">
        <v>3703</v>
      </c>
      <c r="O1259" s="50" t="s">
        <v>3704</v>
      </c>
    </row>
    <row r="1260" spans="2:15" ht="16.5" customHeight="1" x14ac:dyDescent="0.3">
      <c r="B1260" s="50">
        <f t="shared" si="97"/>
        <v>55200051</v>
      </c>
      <c r="C1260" s="50">
        <v>1</v>
      </c>
      <c r="D1260" s="314" t="s">
        <v>3676</v>
      </c>
      <c r="E1260" s="314">
        <v>0</v>
      </c>
      <c r="F1260" s="314">
        <v>0</v>
      </c>
      <c r="G1260" s="50">
        <v>1</v>
      </c>
      <c r="H1260" s="50">
        <v>55200051</v>
      </c>
      <c r="I1260" s="50" t="s">
        <v>186</v>
      </c>
      <c r="J1260" s="50">
        <v>13</v>
      </c>
      <c r="K1260" s="105">
        <v>1086132</v>
      </c>
      <c r="L1260" s="50">
        <v>21</v>
      </c>
      <c r="M1260" s="50" t="s">
        <v>3696</v>
      </c>
      <c r="N1260" s="50" t="s">
        <v>3697</v>
      </c>
      <c r="O1260" s="50" t="s">
        <v>3698</v>
      </c>
    </row>
    <row r="1261" spans="2:15" ht="16.5" customHeight="1" x14ac:dyDescent="0.3">
      <c r="B1261" s="50">
        <f t="shared" si="97"/>
        <v>55200052</v>
      </c>
      <c r="C1261" s="50">
        <v>1</v>
      </c>
      <c r="D1261" s="314" t="s">
        <v>3676</v>
      </c>
      <c r="E1261" s="314">
        <v>0</v>
      </c>
      <c r="F1261" s="314">
        <v>0</v>
      </c>
      <c r="G1261" s="50">
        <v>1</v>
      </c>
      <c r="H1261" s="50">
        <v>55200052</v>
      </c>
      <c r="I1261" s="50" t="s">
        <v>186</v>
      </c>
      <c r="J1261" s="50">
        <v>13</v>
      </c>
      <c r="K1261" s="105">
        <v>1086133</v>
      </c>
      <c r="L1261" s="50">
        <v>21</v>
      </c>
      <c r="M1261" s="50" t="s">
        <v>3699</v>
      </c>
      <c r="N1261" s="50" t="s">
        <v>3700</v>
      </c>
      <c r="O1261" s="50" t="s">
        <v>3698</v>
      </c>
    </row>
    <row r="1262" spans="2:15" x14ac:dyDescent="0.3">
      <c r="B1262" s="48">
        <v>63700001</v>
      </c>
      <c r="C1262" s="48">
        <v>1</v>
      </c>
      <c r="D1262" s="48">
        <v>0</v>
      </c>
      <c r="E1262" s="48">
        <v>0</v>
      </c>
      <c r="F1262" s="48">
        <v>0</v>
      </c>
      <c r="G1262" s="48">
        <v>1</v>
      </c>
      <c r="H1262" s="48">
        <v>63700001</v>
      </c>
      <c r="I1262" s="48" t="s">
        <v>186</v>
      </c>
      <c r="J1262" s="48">
        <v>13</v>
      </c>
      <c r="K1262" s="106">
        <v>1083021</v>
      </c>
      <c r="L1262" s="48">
        <v>21</v>
      </c>
      <c r="M1262" s="48" t="s">
        <v>2714</v>
      </c>
      <c r="N1262" s="48" t="s">
        <v>2715</v>
      </c>
      <c r="O1262" s="48" t="s">
        <v>2716</v>
      </c>
    </row>
    <row r="1263" spans="2:15" x14ac:dyDescent="0.3">
      <c r="B1263" s="39">
        <v>63700002</v>
      </c>
      <c r="C1263" s="39">
        <v>1</v>
      </c>
      <c r="D1263" s="39">
        <v>0</v>
      </c>
      <c r="E1263" s="39">
        <v>0</v>
      </c>
      <c r="F1263" s="39">
        <v>0</v>
      </c>
      <c r="G1263" s="39">
        <v>1</v>
      </c>
      <c r="H1263" s="39">
        <v>63700002</v>
      </c>
      <c r="I1263" s="39" t="s">
        <v>186</v>
      </c>
      <c r="J1263" s="39">
        <v>13</v>
      </c>
      <c r="K1263" s="46">
        <v>1083022</v>
      </c>
      <c r="L1263" s="39">
        <v>21</v>
      </c>
      <c r="M1263" s="39" t="s">
        <v>2717</v>
      </c>
      <c r="N1263" s="39" t="s">
        <v>2718</v>
      </c>
      <c r="O1263" s="39" t="s">
        <v>2719</v>
      </c>
    </row>
    <row r="1264" spans="2:15" x14ac:dyDescent="0.3">
      <c r="B1264" s="39">
        <v>63700003</v>
      </c>
      <c r="C1264" s="39">
        <v>1</v>
      </c>
      <c r="D1264" s="39">
        <v>0</v>
      </c>
      <c r="E1264" s="39">
        <v>0</v>
      </c>
      <c r="F1264" s="39">
        <v>0</v>
      </c>
      <c r="G1264" s="39">
        <v>1</v>
      </c>
      <c r="H1264" s="39">
        <v>63700003</v>
      </c>
      <c r="I1264" s="39" t="s">
        <v>186</v>
      </c>
      <c r="J1264" s="39">
        <v>13</v>
      </c>
      <c r="K1264" s="46">
        <v>1083019</v>
      </c>
      <c r="L1264" s="39">
        <v>21</v>
      </c>
      <c r="M1264" s="39" t="s">
        <v>2720</v>
      </c>
      <c r="N1264" s="39" t="s">
        <v>2721</v>
      </c>
      <c r="O1264" s="39" t="s">
        <v>2722</v>
      </c>
    </row>
    <row r="1265" spans="2:15" x14ac:dyDescent="0.3">
      <c r="B1265" s="39">
        <v>63700004</v>
      </c>
      <c r="C1265" s="39">
        <v>1</v>
      </c>
      <c r="D1265" s="39">
        <v>0</v>
      </c>
      <c r="E1265" s="39">
        <v>0</v>
      </c>
      <c r="F1265" s="39">
        <v>0</v>
      </c>
      <c r="G1265" s="39">
        <v>1</v>
      </c>
      <c r="H1265" s="39">
        <v>63700004</v>
      </c>
      <c r="I1265" s="39" t="s">
        <v>186</v>
      </c>
      <c r="J1265" s="39">
        <v>13</v>
      </c>
      <c r="K1265" s="46">
        <v>1083002</v>
      </c>
      <c r="L1265" s="39">
        <v>21</v>
      </c>
      <c r="M1265" s="39" t="s">
        <v>2723</v>
      </c>
      <c r="N1265" s="39" t="s">
        <v>2724</v>
      </c>
      <c r="O1265" s="39" t="s">
        <v>2725</v>
      </c>
    </row>
    <row r="1266" spans="2:15" x14ac:dyDescent="0.3">
      <c r="B1266" s="39">
        <v>63700005</v>
      </c>
      <c r="C1266" s="39">
        <v>1</v>
      </c>
      <c r="D1266" s="39">
        <v>0</v>
      </c>
      <c r="E1266" s="39">
        <v>0</v>
      </c>
      <c r="F1266" s="39">
        <v>0</v>
      </c>
      <c r="G1266" s="39">
        <v>1</v>
      </c>
      <c r="H1266" s="39">
        <v>63700005</v>
      </c>
      <c r="I1266" s="39" t="s">
        <v>186</v>
      </c>
      <c r="J1266" s="39">
        <v>13</v>
      </c>
      <c r="K1266" s="46">
        <v>1083007</v>
      </c>
      <c r="L1266" s="39">
        <v>21</v>
      </c>
      <c r="M1266" s="39" t="s">
        <v>2726</v>
      </c>
      <c r="N1266" s="39" t="s">
        <v>2727</v>
      </c>
      <c r="O1266" s="39" t="s">
        <v>2728</v>
      </c>
    </row>
    <row r="1267" spans="2:15" x14ac:dyDescent="0.3">
      <c r="B1267" s="39">
        <v>63700006</v>
      </c>
      <c r="C1267" s="39">
        <v>1</v>
      </c>
      <c r="D1267" s="39">
        <v>0</v>
      </c>
      <c r="E1267" s="39">
        <v>0</v>
      </c>
      <c r="F1267" s="39">
        <v>0</v>
      </c>
      <c r="G1267" s="39">
        <v>1</v>
      </c>
      <c r="H1267" s="39">
        <v>63700006</v>
      </c>
      <c r="I1267" s="39" t="s">
        <v>186</v>
      </c>
      <c r="J1267" s="39">
        <v>13</v>
      </c>
      <c r="K1267" s="46">
        <v>1083003</v>
      </c>
      <c r="L1267" s="39">
        <v>21</v>
      </c>
      <c r="M1267" s="39" t="s">
        <v>2729</v>
      </c>
      <c r="N1267" s="39" t="s">
        <v>2730</v>
      </c>
      <c r="O1267" s="39" t="s">
        <v>2731</v>
      </c>
    </row>
    <row r="1268" spans="2:15" x14ac:dyDescent="0.3">
      <c r="B1268" s="39">
        <v>63700007</v>
      </c>
      <c r="C1268" s="39">
        <v>1</v>
      </c>
      <c r="D1268" s="39">
        <v>0</v>
      </c>
      <c r="E1268" s="39">
        <v>0</v>
      </c>
      <c r="F1268" s="39">
        <v>0</v>
      </c>
      <c r="G1268" s="39">
        <v>1</v>
      </c>
      <c r="H1268" s="39">
        <v>63700007</v>
      </c>
      <c r="I1268" s="39" t="s">
        <v>186</v>
      </c>
      <c r="J1268" s="39">
        <v>13</v>
      </c>
      <c r="K1268" s="46">
        <v>1083005</v>
      </c>
      <c r="L1268" s="39">
        <v>21</v>
      </c>
      <c r="M1268" s="39" t="s">
        <v>2732</v>
      </c>
      <c r="N1268" s="39" t="s">
        <v>2733</v>
      </c>
      <c r="O1268" s="39" t="s">
        <v>2734</v>
      </c>
    </row>
    <row r="1269" spans="2:15" x14ac:dyDescent="0.3">
      <c r="B1269" s="39">
        <v>63700008</v>
      </c>
      <c r="C1269" s="39">
        <v>1</v>
      </c>
      <c r="D1269" s="39">
        <v>0</v>
      </c>
      <c r="E1269" s="39">
        <v>0</v>
      </c>
      <c r="F1269" s="39">
        <v>0</v>
      </c>
      <c r="G1269" s="39">
        <v>1</v>
      </c>
      <c r="H1269" s="39">
        <v>63700008</v>
      </c>
      <c r="I1269" s="39" t="s">
        <v>186</v>
      </c>
      <c r="J1269" s="39">
        <v>13</v>
      </c>
      <c r="K1269" s="46">
        <v>1083020</v>
      </c>
      <c r="L1269" s="39">
        <v>21</v>
      </c>
      <c r="M1269" s="39" t="s">
        <v>2735</v>
      </c>
      <c r="N1269" s="39" t="s">
        <v>2736</v>
      </c>
      <c r="O1269" s="39" t="s">
        <v>2737</v>
      </c>
    </row>
    <row r="1270" spans="2:15" x14ac:dyDescent="0.3">
      <c r="B1270" s="39">
        <v>63700009</v>
      </c>
      <c r="C1270" s="39">
        <v>1</v>
      </c>
      <c r="D1270" s="39">
        <v>0</v>
      </c>
      <c r="E1270" s="39">
        <v>0</v>
      </c>
      <c r="F1270" s="39">
        <v>0</v>
      </c>
      <c r="G1270" s="39">
        <v>1</v>
      </c>
      <c r="H1270" s="39">
        <v>63700009</v>
      </c>
      <c r="I1270" s="39" t="s">
        <v>186</v>
      </c>
      <c r="J1270" s="39">
        <v>13</v>
      </c>
      <c r="K1270" s="46">
        <v>1083006</v>
      </c>
      <c r="L1270" s="39">
        <v>21</v>
      </c>
      <c r="M1270" s="39" t="s">
        <v>2738</v>
      </c>
      <c r="N1270" s="39" t="s">
        <v>2739</v>
      </c>
      <c r="O1270" s="39" t="s">
        <v>2740</v>
      </c>
    </row>
    <row r="1271" spans="2:15" ht="16.5" x14ac:dyDescent="0.3">
      <c r="B1271" s="39">
        <f>H1271</f>
        <v>63800001</v>
      </c>
      <c r="C1271" s="39">
        <v>1</v>
      </c>
      <c r="D1271" s="39">
        <v>0</v>
      </c>
      <c r="E1271" s="39">
        <v>0</v>
      </c>
      <c r="F1271" s="39">
        <v>0</v>
      </c>
      <c r="G1271" s="39">
        <v>1</v>
      </c>
      <c r="H1271" s="39">
        <v>63800001</v>
      </c>
      <c r="I1271" s="39" t="s">
        <v>186</v>
      </c>
      <c r="J1271" s="39">
        <v>13</v>
      </c>
      <c r="K1271" s="46">
        <v>2532019</v>
      </c>
      <c r="L1271" s="39">
        <v>21</v>
      </c>
      <c r="M1271" s="299" t="s">
        <v>3114</v>
      </c>
      <c r="N1271" s="39" t="s">
        <v>3093</v>
      </c>
      <c r="O1271" s="39" t="s">
        <v>3092</v>
      </c>
    </row>
    <row r="1272" spans="2:15" ht="14.25" x14ac:dyDescent="0.3">
      <c r="B1272" s="39">
        <f>H1272</f>
        <v>63800002</v>
      </c>
      <c r="C1272" s="39">
        <v>1</v>
      </c>
      <c r="D1272" s="39">
        <v>0</v>
      </c>
      <c r="E1272" s="39">
        <v>0</v>
      </c>
      <c r="F1272" s="39">
        <v>0</v>
      </c>
      <c r="G1272" s="39">
        <v>1</v>
      </c>
      <c r="H1272" s="39">
        <v>63800002</v>
      </c>
      <c r="I1272" s="39" t="s">
        <v>186</v>
      </c>
      <c r="J1272" s="39">
        <v>13</v>
      </c>
      <c r="K1272" s="46">
        <v>2532020</v>
      </c>
      <c r="L1272" s="39">
        <v>21</v>
      </c>
      <c r="M1272" s="297" t="s">
        <v>3108</v>
      </c>
      <c r="N1272" s="39" t="s">
        <v>3094</v>
      </c>
      <c r="O1272" s="39" t="s">
        <v>3092</v>
      </c>
    </row>
    <row r="1273" spans="2:15" ht="14.25" x14ac:dyDescent="0.3">
      <c r="B1273" s="39">
        <f t="shared" ref="B1273:B1282" si="98">H1273</f>
        <v>63800003</v>
      </c>
      <c r="C1273" s="39">
        <v>1</v>
      </c>
      <c r="D1273" s="39">
        <v>0</v>
      </c>
      <c r="E1273" s="39">
        <v>0</v>
      </c>
      <c r="F1273" s="39">
        <v>0</v>
      </c>
      <c r="G1273" s="39">
        <v>1</v>
      </c>
      <c r="H1273" s="39">
        <v>63800003</v>
      </c>
      <c r="I1273" s="39" t="s">
        <v>186</v>
      </c>
      <c r="J1273" s="39">
        <v>13</v>
      </c>
      <c r="K1273" s="46">
        <v>2532021</v>
      </c>
      <c r="L1273" s="39">
        <v>21</v>
      </c>
      <c r="M1273" s="297" t="s">
        <v>3109</v>
      </c>
      <c r="N1273" s="39" t="s">
        <v>3095</v>
      </c>
      <c r="O1273" s="39" t="s">
        <v>3092</v>
      </c>
    </row>
    <row r="1274" spans="2:15" ht="14.25" x14ac:dyDescent="0.3">
      <c r="B1274" s="39">
        <f t="shared" si="98"/>
        <v>63800004</v>
      </c>
      <c r="C1274" s="39">
        <v>1</v>
      </c>
      <c r="D1274" s="39">
        <v>0</v>
      </c>
      <c r="E1274" s="39">
        <v>0</v>
      </c>
      <c r="F1274" s="39">
        <v>0</v>
      </c>
      <c r="G1274" s="39">
        <v>1</v>
      </c>
      <c r="H1274" s="39">
        <v>63800004</v>
      </c>
      <c r="I1274" s="39" t="s">
        <v>186</v>
      </c>
      <c r="J1274" s="39">
        <v>13</v>
      </c>
      <c r="K1274" s="46">
        <v>2532022</v>
      </c>
      <c r="L1274" s="39">
        <v>21</v>
      </c>
      <c r="M1274" s="297" t="s">
        <v>3110</v>
      </c>
      <c r="N1274" s="39" t="s">
        <v>3096</v>
      </c>
      <c r="O1274" s="39" t="s">
        <v>3092</v>
      </c>
    </row>
    <row r="1275" spans="2:15" ht="14.25" x14ac:dyDescent="0.3">
      <c r="B1275" s="39">
        <f t="shared" si="98"/>
        <v>63800005</v>
      </c>
      <c r="C1275" s="39">
        <v>1</v>
      </c>
      <c r="D1275" s="39">
        <v>0</v>
      </c>
      <c r="E1275" s="39">
        <v>0</v>
      </c>
      <c r="F1275" s="39">
        <v>0</v>
      </c>
      <c r="G1275" s="39">
        <v>1</v>
      </c>
      <c r="H1275" s="39">
        <v>63800005</v>
      </c>
      <c r="I1275" s="39" t="s">
        <v>186</v>
      </c>
      <c r="J1275" s="39">
        <v>13</v>
      </c>
      <c r="K1275" s="46">
        <v>2532023</v>
      </c>
      <c r="L1275" s="39">
        <v>21</v>
      </c>
      <c r="M1275" s="297" t="s">
        <v>3111</v>
      </c>
      <c r="N1275" s="39" t="s">
        <v>3097</v>
      </c>
      <c r="O1275" s="39" t="s">
        <v>3092</v>
      </c>
    </row>
    <row r="1276" spans="2:15" ht="14.25" x14ac:dyDescent="0.3">
      <c r="B1276" s="39">
        <f t="shared" si="98"/>
        <v>63800006</v>
      </c>
      <c r="C1276" s="39">
        <v>1</v>
      </c>
      <c r="D1276" s="39">
        <v>0</v>
      </c>
      <c r="E1276" s="39">
        <v>0</v>
      </c>
      <c r="F1276" s="39">
        <v>0</v>
      </c>
      <c r="G1276" s="39">
        <v>1</v>
      </c>
      <c r="H1276" s="39">
        <v>63800006</v>
      </c>
      <c r="I1276" s="39" t="s">
        <v>186</v>
      </c>
      <c r="J1276" s="39">
        <v>13</v>
      </c>
      <c r="K1276" s="46">
        <v>2532024</v>
      </c>
      <c r="L1276" s="39">
        <v>21</v>
      </c>
      <c r="M1276" s="298" t="s">
        <v>3112</v>
      </c>
      <c r="N1276" s="39" t="s">
        <v>3098</v>
      </c>
      <c r="O1276" s="39" t="s">
        <v>3092</v>
      </c>
    </row>
    <row r="1277" spans="2:15" ht="14.25" x14ac:dyDescent="0.3">
      <c r="B1277" s="39">
        <f t="shared" si="98"/>
        <v>63800007</v>
      </c>
      <c r="C1277" s="39">
        <v>1</v>
      </c>
      <c r="D1277" s="39">
        <v>0</v>
      </c>
      <c r="E1277" s="39">
        <v>0</v>
      </c>
      <c r="F1277" s="39">
        <v>0</v>
      </c>
      <c r="G1277" s="39">
        <v>1</v>
      </c>
      <c r="H1277" s="39">
        <v>63800007</v>
      </c>
      <c r="I1277" s="39" t="s">
        <v>186</v>
      </c>
      <c r="J1277" s="39">
        <v>13</v>
      </c>
      <c r="K1277" s="46">
        <v>2532025</v>
      </c>
      <c r="L1277" s="39">
        <v>21</v>
      </c>
      <c r="M1277" s="297" t="s">
        <v>3105</v>
      </c>
      <c r="N1277" s="39" t="s">
        <v>3099</v>
      </c>
      <c r="O1277" s="39" t="s">
        <v>3092</v>
      </c>
    </row>
    <row r="1278" spans="2:15" ht="14.25" x14ac:dyDescent="0.3">
      <c r="B1278" s="39">
        <f t="shared" si="98"/>
        <v>63800008</v>
      </c>
      <c r="C1278" s="39">
        <v>1</v>
      </c>
      <c r="D1278" s="39">
        <v>0</v>
      </c>
      <c r="E1278" s="39">
        <v>0</v>
      </c>
      <c r="F1278" s="39">
        <v>0</v>
      </c>
      <c r="G1278" s="39">
        <v>1</v>
      </c>
      <c r="H1278" s="39">
        <v>63800008</v>
      </c>
      <c r="I1278" s="39" t="s">
        <v>186</v>
      </c>
      <c r="J1278" s="39">
        <v>13</v>
      </c>
      <c r="K1278" s="46">
        <v>2532026</v>
      </c>
      <c r="L1278" s="39">
        <v>21</v>
      </c>
      <c r="M1278" s="297" t="s">
        <v>3106</v>
      </c>
      <c r="N1278" s="39" t="s">
        <v>3100</v>
      </c>
      <c r="O1278" s="39" t="s">
        <v>3092</v>
      </c>
    </row>
    <row r="1279" spans="2:15" ht="14.25" x14ac:dyDescent="0.3">
      <c r="B1279" s="39">
        <f t="shared" si="98"/>
        <v>63800009</v>
      </c>
      <c r="C1279" s="39">
        <v>1</v>
      </c>
      <c r="D1279" s="39">
        <v>0</v>
      </c>
      <c r="E1279" s="39">
        <v>0</v>
      </c>
      <c r="F1279" s="39">
        <v>0</v>
      </c>
      <c r="G1279" s="39">
        <v>1</v>
      </c>
      <c r="H1279" s="39">
        <v>63800009</v>
      </c>
      <c r="I1279" s="39" t="s">
        <v>186</v>
      </c>
      <c r="J1279" s="39">
        <v>13</v>
      </c>
      <c r="K1279" s="46">
        <v>2532027</v>
      </c>
      <c r="L1279" s="39">
        <v>21</v>
      </c>
      <c r="M1279" s="297" t="s">
        <v>3113</v>
      </c>
      <c r="N1279" s="39" t="s">
        <v>3101</v>
      </c>
      <c r="O1279" s="39" t="s">
        <v>3092</v>
      </c>
    </row>
    <row r="1280" spans="2:15" ht="13.5" x14ac:dyDescent="0.3">
      <c r="B1280" s="39">
        <f t="shared" si="98"/>
        <v>63800010</v>
      </c>
      <c r="C1280" s="39">
        <v>1</v>
      </c>
      <c r="D1280" s="39">
        <v>0</v>
      </c>
      <c r="E1280" s="39">
        <v>0</v>
      </c>
      <c r="F1280" s="39">
        <v>0</v>
      </c>
      <c r="G1280" s="39">
        <v>1</v>
      </c>
      <c r="H1280" s="39">
        <v>63800010</v>
      </c>
      <c r="I1280" s="39" t="s">
        <v>186</v>
      </c>
      <c r="J1280" s="39">
        <v>13</v>
      </c>
      <c r="K1280" s="46">
        <v>2532028</v>
      </c>
      <c r="L1280" s="39">
        <v>21</v>
      </c>
      <c r="M1280" s="302" t="s">
        <v>3122</v>
      </c>
      <c r="N1280" s="39" t="s">
        <v>3102</v>
      </c>
      <c r="O1280" s="39" t="s">
        <v>3092</v>
      </c>
    </row>
    <row r="1281" spans="2:15" ht="16.5" x14ac:dyDescent="0.3">
      <c r="B1281" s="39">
        <f t="shared" si="98"/>
        <v>63800011</v>
      </c>
      <c r="C1281" s="39">
        <v>1</v>
      </c>
      <c r="D1281" s="39">
        <v>0</v>
      </c>
      <c r="E1281" s="39">
        <v>0</v>
      </c>
      <c r="F1281" s="39">
        <v>0</v>
      </c>
      <c r="G1281" s="39">
        <v>1</v>
      </c>
      <c r="H1281" s="39">
        <v>63800011</v>
      </c>
      <c r="I1281" s="39" t="s">
        <v>186</v>
      </c>
      <c r="J1281" s="39">
        <v>13</v>
      </c>
      <c r="K1281" s="46">
        <v>2532029</v>
      </c>
      <c r="L1281" s="39">
        <v>21</v>
      </c>
      <c r="M1281" s="297" t="s">
        <v>3115</v>
      </c>
      <c r="N1281" s="39" t="s">
        <v>3103</v>
      </c>
      <c r="O1281" s="39" t="s">
        <v>3092</v>
      </c>
    </row>
    <row r="1282" spans="2:15" ht="14.25" x14ac:dyDescent="0.3">
      <c r="B1282" s="39">
        <f t="shared" si="98"/>
        <v>63800012</v>
      </c>
      <c r="C1282" s="39">
        <v>1</v>
      </c>
      <c r="D1282" s="39">
        <v>0</v>
      </c>
      <c r="E1282" s="39">
        <v>0</v>
      </c>
      <c r="F1282" s="39">
        <v>0</v>
      </c>
      <c r="G1282" s="39">
        <v>1</v>
      </c>
      <c r="H1282" s="39">
        <v>63800012</v>
      </c>
      <c r="I1282" s="39" t="s">
        <v>186</v>
      </c>
      <c r="J1282" s="39">
        <v>13</v>
      </c>
      <c r="K1282" s="46">
        <v>2532030</v>
      </c>
      <c r="L1282" s="39">
        <v>21</v>
      </c>
      <c r="M1282" s="297" t="s">
        <v>3107</v>
      </c>
      <c r="N1282" s="39" t="s">
        <v>3104</v>
      </c>
      <c r="O1282" s="39" t="s">
        <v>3092</v>
      </c>
    </row>
    <row r="1283" spans="2:15" ht="16.5" x14ac:dyDescent="0.3">
      <c r="B1283" s="39">
        <f t="shared" ref="B1283:B1285" si="99">H1283</f>
        <v>63800039</v>
      </c>
      <c r="C1283" s="39">
        <v>1</v>
      </c>
      <c r="D1283" s="39">
        <v>0</v>
      </c>
      <c r="E1283" s="39">
        <v>0</v>
      </c>
      <c r="F1283" s="39">
        <v>0</v>
      </c>
      <c r="G1283" s="39">
        <v>1</v>
      </c>
      <c r="H1283" s="39">
        <v>63800039</v>
      </c>
      <c r="I1283" s="39" t="s">
        <v>186</v>
      </c>
      <c r="J1283" s="39">
        <v>13</v>
      </c>
      <c r="K1283" s="46">
        <v>2532031</v>
      </c>
      <c r="L1283" s="39">
        <v>21</v>
      </c>
      <c r="M1283" s="300" t="s">
        <v>3119</v>
      </c>
      <c r="N1283" s="39" t="s">
        <v>3117</v>
      </c>
      <c r="O1283" s="39" t="s">
        <v>3116</v>
      </c>
    </row>
    <row r="1284" spans="2:15" ht="16.5" x14ac:dyDescent="0.3">
      <c r="B1284" s="39">
        <f t="shared" si="99"/>
        <v>63800040</v>
      </c>
      <c r="C1284" s="39">
        <v>1</v>
      </c>
      <c r="D1284" s="39">
        <v>0</v>
      </c>
      <c r="E1284" s="39">
        <v>0</v>
      </c>
      <c r="F1284" s="39">
        <v>0</v>
      </c>
      <c r="G1284" s="39">
        <v>1</v>
      </c>
      <c r="H1284" s="39">
        <v>63800040</v>
      </c>
      <c r="I1284" s="39" t="s">
        <v>186</v>
      </c>
      <c r="J1284" s="39">
        <v>13</v>
      </c>
      <c r="K1284" s="46">
        <v>2532032</v>
      </c>
      <c r="L1284" s="39">
        <v>21</v>
      </c>
      <c r="M1284" s="301" t="s">
        <v>3121</v>
      </c>
      <c r="N1284" s="39" t="s">
        <v>3120</v>
      </c>
      <c r="O1284" s="39" t="s">
        <v>3116</v>
      </c>
    </row>
    <row r="1285" spans="2:15" ht="15" thickBot="1" x14ac:dyDescent="0.35">
      <c r="B1285" s="39">
        <f t="shared" si="99"/>
        <v>63800041</v>
      </c>
      <c r="C1285" s="39">
        <v>1</v>
      </c>
      <c r="D1285" s="39">
        <v>0</v>
      </c>
      <c r="E1285" s="39">
        <v>0</v>
      </c>
      <c r="F1285" s="39">
        <v>0</v>
      </c>
      <c r="G1285" s="39">
        <v>1</v>
      </c>
      <c r="H1285" s="39">
        <v>63800041</v>
      </c>
      <c r="I1285" s="39" t="s">
        <v>186</v>
      </c>
      <c r="J1285" s="39">
        <v>13</v>
      </c>
      <c r="K1285" s="46">
        <v>2532033</v>
      </c>
      <c r="L1285" s="39">
        <v>21</v>
      </c>
      <c r="M1285" s="297" t="s">
        <v>3108</v>
      </c>
      <c r="N1285" s="39" t="s">
        <v>3118</v>
      </c>
      <c r="O1285" s="39" t="s">
        <v>3116</v>
      </c>
    </row>
    <row r="1286" spans="2:15" x14ac:dyDescent="0.3">
      <c r="B1286" s="127">
        <f t="shared" ref="B1286:B1296" si="100">H1286</f>
        <v>17000076</v>
      </c>
      <c r="C1286" s="243">
        <v>1</v>
      </c>
      <c r="D1286" s="243">
        <v>0</v>
      </c>
      <c r="E1286" s="243">
        <v>0</v>
      </c>
      <c r="F1286" s="243">
        <v>0</v>
      </c>
      <c r="G1286" s="243">
        <v>1</v>
      </c>
      <c r="H1286" s="127">
        <v>17000076</v>
      </c>
      <c r="I1286" s="127" t="s">
        <v>186</v>
      </c>
      <c r="J1286" s="127">
        <v>13</v>
      </c>
      <c r="K1286" s="104">
        <v>1059706</v>
      </c>
      <c r="L1286" s="127">
        <v>21</v>
      </c>
      <c r="M1286" s="127" t="s">
        <v>2746</v>
      </c>
      <c r="N1286" s="127" t="s">
        <v>2747</v>
      </c>
      <c r="O1286" s="128" t="s">
        <v>2748</v>
      </c>
    </row>
    <row r="1287" spans="2:15" x14ac:dyDescent="0.3">
      <c r="B1287" s="47">
        <f t="shared" si="100"/>
        <v>17000077</v>
      </c>
      <c r="C1287" s="244">
        <v>1</v>
      </c>
      <c r="D1287" s="244">
        <v>0</v>
      </c>
      <c r="E1287" s="244">
        <v>0</v>
      </c>
      <c r="F1287" s="244">
        <v>0</v>
      </c>
      <c r="G1287" s="244">
        <v>1</v>
      </c>
      <c r="H1287" s="47">
        <v>17000077</v>
      </c>
      <c r="I1287" s="47" t="s">
        <v>186</v>
      </c>
      <c r="J1287" s="47">
        <v>13</v>
      </c>
      <c r="K1287" s="198">
        <v>1059707</v>
      </c>
      <c r="L1287" s="47">
        <v>21</v>
      </c>
      <c r="M1287" s="47" t="s">
        <v>2749</v>
      </c>
      <c r="N1287" s="47" t="s">
        <v>2750</v>
      </c>
      <c r="O1287" s="129" t="s">
        <v>2751</v>
      </c>
    </row>
    <row r="1288" spans="2:15" x14ac:dyDescent="0.3">
      <c r="B1288" s="47">
        <f t="shared" si="100"/>
        <v>17000078</v>
      </c>
      <c r="C1288" s="244">
        <v>1</v>
      </c>
      <c r="D1288" s="244">
        <v>0</v>
      </c>
      <c r="E1288" s="244">
        <v>0</v>
      </c>
      <c r="F1288" s="244">
        <v>0</v>
      </c>
      <c r="G1288" s="244">
        <v>1</v>
      </c>
      <c r="H1288" s="47">
        <v>17000078</v>
      </c>
      <c r="I1288" s="47" t="s">
        <v>186</v>
      </c>
      <c r="J1288" s="47">
        <v>13</v>
      </c>
      <c r="K1288" s="198">
        <v>1059708</v>
      </c>
      <c r="L1288" s="47">
        <v>21</v>
      </c>
      <c r="M1288" s="47" t="s">
        <v>2752</v>
      </c>
      <c r="N1288" s="47" t="s">
        <v>2753</v>
      </c>
      <c r="O1288" s="129" t="s">
        <v>2754</v>
      </c>
    </row>
    <row r="1289" spans="2:15" x14ac:dyDescent="0.3">
      <c r="B1289" s="47">
        <f t="shared" si="100"/>
        <v>17000079</v>
      </c>
      <c r="C1289" s="244">
        <v>1</v>
      </c>
      <c r="D1289" s="244">
        <v>0</v>
      </c>
      <c r="E1289" s="244">
        <v>0</v>
      </c>
      <c r="F1289" s="244">
        <v>0</v>
      </c>
      <c r="G1289" s="244">
        <v>1</v>
      </c>
      <c r="H1289" s="47">
        <v>17000079</v>
      </c>
      <c r="I1289" s="47" t="s">
        <v>186</v>
      </c>
      <c r="J1289" s="47">
        <v>13</v>
      </c>
      <c r="K1289" s="198">
        <v>1059698</v>
      </c>
      <c r="L1289" s="47">
        <v>21</v>
      </c>
      <c r="M1289" s="47" t="s">
        <v>2755</v>
      </c>
      <c r="N1289" s="47" t="s">
        <v>2756</v>
      </c>
      <c r="O1289" s="129" t="s">
        <v>2757</v>
      </c>
    </row>
    <row r="1290" spans="2:15" x14ac:dyDescent="0.3">
      <c r="B1290" s="47">
        <f t="shared" si="100"/>
        <v>17000080</v>
      </c>
      <c r="C1290" s="244">
        <v>1</v>
      </c>
      <c r="D1290" s="244">
        <v>0</v>
      </c>
      <c r="E1290" s="244">
        <v>0</v>
      </c>
      <c r="F1290" s="244">
        <v>0</v>
      </c>
      <c r="G1290" s="244">
        <v>1</v>
      </c>
      <c r="H1290" s="47">
        <v>17000080</v>
      </c>
      <c r="I1290" s="47" t="s">
        <v>186</v>
      </c>
      <c r="J1290" s="47">
        <v>13</v>
      </c>
      <c r="K1290" s="198">
        <v>1059624</v>
      </c>
      <c r="L1290" s="47">
        <v>21</v>
      </c>
      <c r="M1290" s="47" t="s">
        <v>2758</v>
      </c>
      <c r="N1290" s="47" t="s">
        <v>2759</v>
      </c>
      <c r="O1290" s="129" t="s">
        <v>2760</v>
      </c>
    </row>
    <row r="1291" spans="2:15" x14ac:dyDescent="0.3">
      <c r="B1291" s="47">
        <f t="shared" si="100"/>
        <v>17000081</v>
      </c>
      <c r="C1291" s="244">
        <v>1</v>
      </c>
      <c r="D1291" s="244">
        <v>0</v>
      </c>
      <c r="E1291" s="244">
        <v>0</v>
      </c>
      <c r="F1291" s="244">
        <v>0</v>
      </c>
      <c r="G1291" s="244">
        <v>1</v>
      </c>
      <c r="H1291" s="47">
        <v>17000081</v>
      </c>
      <c r="I1291" s="47" t="s">
        <v>186</v>
      </c>
      <c r="J1291" s="47">
        <v>13</v>
      </c>
      <c r="K1291" s="198">
        <v>1059624</v>
      </c>
      <c r="L1291" s="47">
        <v>21</v>
      </c>
      <c r="M1291" s="47" t="s">
        <v>2758</v>
      </c>
      <c r="N1291" s="47" t="s">
        <v>2761</v>
      </c>
      <c r="O1291" s="129"/>
    </row>
    <row r="1292" spans="2:15" x14ac:dyDescent="0.3">
      <c r="B1292" s="47">
        <f t="shared" si="100"/>
        <v>17000082</v>
      </c>
      <c r="C1292" s="244">
        <v>1</v>
      </c>
      <c r="D1292" s="244" t="s">
        <v>2849</v>
      </c>
      <c r="E1292" s="244">
        <v>0</v>
      </c>
      <c r="F1292" s="244">
        <v>0</v>
      </c>
      <c r="G1292" s="244">
        <v>1</v>
      </c>
      <c r="H1292" s="47">
        <v>17000082</v>
      </c>
      <c r="I1292" s="47" t="s">
        <v>186</v>
      </c>
      <c r="J1292" s="47">
        <v>13</v>
      </c>
      <c r="K1292" s="198">
        <v>1059713</v>
      </c>
      <c r="L1292" s="47">
        <v>21</v>
      </c>
      <c r="M1292" s="47" t="s">
        <v>2859</v>
      </c>
      <c r="N1292" s="47" t="s">
        <v>2860</v>
      </c>
      <c r="O1292" s="129" t="s">
        <v>2861</v>
      </c>
    </row>
    <row r="1293" spans="2:15" ht="12.75" thickBot="1" x14ac:dyDescent="0.35">
      <c r="B1293" s="47">
        <f t="shared" si="100"/>
        <v>17000083</v>
      </c>
      <c r="C1293" s="245">
        <v>1</v>
      </c>
      <c r="D1293" s="245" t="s">
        <v>3215</v>
      </c>
      <c r="E1293" s="245">
        <v>0</v>
      </c>
      <c r="F1293" s="245">
        <v>0</v>
      </c>
      <c r="G1293" s="245" t="s">
        <v>3216</v>
      </c>
      <c r="H1293" s="130">
        <v>17000083</v>
      </c>
      <c r="I1293" s="130" t="s">
        <v>186</v>
      </c>
      <c r="J1293" s="130">
        <v>21</v>
      </c>
      <c r="K1293" s="246">
        <v>1059635</v>
      </c>
      <c r="L1293" s="130">
        <v>21</v>
      </c>
      <c r="M1293" s="130" t="s">
        <v>3217</v>
      </c>
      <c r="N1293" s="130" t="s">
        <v>3218</v>
      </c>
      <c r="O1293" s="131"/>
    </row>
    <row r="1294" spans="2:15" ht="12.75" thickBot="1" x14ac:dyDescent="0.35">
      <c r="B1294" s="47">
        <f t="shared" si="100"/>
        <v>17000084</v>
      </c>
      <c r="C1294" s="428">
        <v>1</v>
      </c>
      <c r="D1294" s="428">
        <v>0</v>
      </c>
      <c r="E1294" s="428">
        <v>0</v>
      </c>
      <c r="F1294" s="428">
        <v>0</v>
      </c>
      <c r="G1294" s="428">
        <v>1</v>
      </c>
      <c r="H1294" s="176">
        <v>17000084</v>
      </c>
      <c r="I1294" s="176" t="s">
        <v>186</v>
      </c>
      <c r="J1294" s="176">
        <v>21</v>
      </c>
      <c r="K1294" s="177">
        <v>1059652</v>
      </c>
      <c r="L1294" s="176">
        <v>21</v>
      </c>
      <c r="M1294" s="176" t="s">
        <v>3755</v>
      </c>
      <c r="N1294" s="176" t="s">
        <v>3756</v>
      </c>
      <c r="O1294" s="251" t="s">
        <v>3757</v>
      </c>
    </row>
    <row r="1295" spans="2:15" ht="12.75" thickBot="1" x14ac:dyDescent="0.35">
      <c r="B1295" s="449">
        <f t="shared" si="100"/>
        <v>17000085</v>
      </c>
      <c r="C1295" s="428">
        <v>1</v>
      </c>
      <c r="D1295" s="428" t="s">
        <v>4278</v>
      </c>
      <c r="E1295" s="428">
        <v>0</v>
      </c>
      <c r="F1295" s="428">
        <v>0</v>
      </c>
      <c r="G1295" s="428">
        <v>1</v>
      </c>
      <c r="H1295" s="176">
        <v>17000085</v>
      </c>
      <c r="I1295" s="176" t="s">
        <v>186</v>
      </c>
      <c r="J1295" s="176">
        <v>21</v>
      </c>
      <c r="K1295" s="177">
        <v>1059736</v>
      </c>
      <c r="L1295" s="176">
        <v>21</v>
      </c>
      <c r="M1295" s="176" t="s">
        <v>4279</v>
      </c>
      <c r="N1295" s="176" t="s">
        <v>4280</v>
      </c>
      <c r="O1295" s="251" t="s">
        <v>4281</v>
      </c>
    </row>
    <row r="1296" spans="2:15" ht="12.75" thickBot="1" x14ac:dyDescent="0.35">
      <c r="B1296" s="449">
        <f t="shared" si="100"/>
        <v>17000086</v>
      </c>
      <c r="C1296" s="428">
        <v>1</v>
      </c>
      <c r="D1296" s="428" t="s">
        <v>4290</v>
      </c>
      <c r="E1296" s="428">
        <v>0</v>
      </c>
      <c r="F1296" s="428">
        <v>0</v>
      </c>
      <c r="G1296" s="428">
        <v>1</v>
      </c>
      <c r="H1296" s="176">
        <v>17000086</v>
      </c>
      <c r="I1296" s="176" t="s">
        <v>186</v>
      </c>
      <c r="J1296" s="176">
        <v>21</v>
      </c>
      <c r="K1296" s="177">
        <v>1059727</v>
      </c>
      <c r="L1296" s="176">
        <v>21</v>
      </c>
      <c r="M1296" s="176" t="s">
        <v>4294</v>
      </c>
      <c r="N1296" s="176" t="s">
        <v>4295</v>
      </c>
      <c r="O1296" s="251" t="s">
        <v>4296</v>
      </c>
    </row>
    <row r="1297" spans="2:15" ht="12.75" thickBot="1" x14ac:dyDescent="0.35">
      <c r="B1297" s="90">
        <f t="shared" ref="B1297" si="101">H1297</f>
        <v>17000100</v>
      </c>
      <c r="C1297" s="247">
        <v>0</v>
      </c>
      <c r="D1297" s="247"/>
      <c r="E1297" s="247">
        <v>0</v>
      </c>
      <c r="F1297" s="247">
        <v>0</v>
      </c>
      <c r="G1297" s="247">
        <v>1</v>
      </c>
      <c r="H1297" s="91">
        <v>17000100</v>
      </c>
      <c r="I1297" s="91" t="s">
        <v>186</v>
      </c>
      <c r="J1297" s="91">
        <v>13</v>
      </c>
      <c r="K1297" s="92">
        <v>2600027</v>
      </c>
      <c r="L1297" s="91">
        <v>21</v>
      </c>
      <c r="M1297" s="91" t="s">
        <v>3188</v>
      </c>
      <c r="N1297" s="91" t="s">
        <v>3189</v>
      </c>
      <c r="O1297" s="136" t="s">
        <v>3190</v>
      </c>
    </row>
    <row r="1298" spans="2:15" x14ac:dyDescent="0.3">
      <c r="B1298" s="48">
        <f>H1298</f>
        <v>16000050</v>
      </c>
      <c r="C1298" s="48">
        <v>1</v>
      </c>
      <c r="D1298" s="48">
        <v>0</v>
      </c>
      <c r="E1298" s="48">
        <v>0</v>
      </c>
      <c r="F1298" s="48" t="s">
        <v>2848</v>
      </c>
      <c r="G1298" s="48">
        <v>1</v>
      </c>
      <c r="H1298" s="48">
        <v>16000050</v>
      </c>
      <c r="I1298" s="48" t="s">
        <v>186</v>
      </c>
      <c r="J1298" s="48">
        <v>13</v>
      </c>
      <c r="K1298" s="106">
        <v>2531101</v>
      </c>
      <c r="L1298" s="48">
        <v>21</v>
      </c>
      <c r="M1298" s="48" t="s">
        <v>2796</v>
      </c>
      <c r="N1298" s="132" t="s">
        <v>2863</v>
      </c>
      <c r="O1298" s="48" t="s">
        <v>2788</v>
      </c>
    </row>
    <row r="1299" spans="2:15" x14ac:dyDescent="0.3">
      <c r="B1299" s="39">
        <f t="shared" ref="B1299:B1314" si="102">H1299</f>
        <v>16000051</v>
      </c>
      <c r="C1299" s="39">
        <v>1</v>
      </c>
      <c r="D1299" s="39">
        <v>0</v>
      </c>
      <c r="E1299" s="39">
        <v>0</v>
      </c>
      <c r="F1299" s="39" t="s">
        <v>2848</v>
      </c>
      <c r="G1299" s="39">
        <v>1</v>
      </c>
      <c r="H1299" s="39">
        <v>16000051</v>
      </c>
      <c r="I1299" s="39" t="s">
        <v>186</v>
      </c>
      <c r="J1299" s="39">
        <v>13</v>
      </c>
      <c r="K1299" s="46">
        <v>2531102</v>
      </c>
      <c r="L1299" s="39">
        <v>21</v>
      </c>
      <c r="M1299" s="39" t="s">
        <v>2795</v>
      </c>
      <c r="N1299" s="132" t="s">
        <v>2864</v>
      </c>
      <c r="O1299" s="39" t="s">
        <v>2788</v>
      </c>
    </row>
    <row r="1300" spans="2:15" x14ac:dyDescent="0.3">
      <c r="B1300" s="39">
        <f t="shared" si="102"/>
        <v>16000052</v>
      </c>
      <c r="C1300" s="39">
        <v>1</v>
      </c>
      <c r="D1300" s="39">
        <v>0</v>
      </c>
      <c r="E1300" s="39">
        <v>0</v>
      </c>
      <c r="F1300" s="39" t="s">
        <v>2848</v>
      </c>
      <c r="G1300" s="39">
        <v>1</v>
      </c>
      <c r="H1300" s="39">
        <v>16000052</v>
      </c>
      <c r="I1300" s="39" t="s">
        <v>186</v>
      </c>
      <c r="J1300" s="39">
        <v>13</v>
      </c>
      <c r="K1300" s="46">
        <v>2531103</v>
      </c>
      <c r="L1300" s="39">
        <v>21</v>
      </c>
      <c r="M1300" s="39" t="s">
        <v>2794</v>
      </c>
      <c r="N1300" s="132" t="s">
        <v>2865</v>
      </c>
      <c r="O1300" s="39" t="s">
        <v>2788</v>
      </c>
    </row>
    <row r="1301" spans="2:15" x14ac:dyDescent="0.3">
      <c r="B1301" s="39">
        <f t="shared" si="102"/>
        <v>16000053</v>
      </c>
      <c r="C1301" s="39">
        <v>1</v>
      </c>
      <c r="D1301" s="39">
        <v>0</v>
      </c>
      <c r="E1301" s="39">
        <v>0</v>
      </c>
      <c r="F1301" s="39" t="s">
        <v>2848</v>
      </c>
      <c r="G1301" s="39">
        <v>1</v>
      </c>
      <c r="H1301" s="39">
        <v>16000053</v>
      </c>
      <c r="I1301" s="39" t="s">
        <v>186</v>
      </c>
      <c r="J1301" s="39">
        <v>13</v>
      </c>
      <c r="K1301" s="46">
        <v>2531104</v>
      </c>
      <c r="L1301" s="39">
        <v>21</v>
      </c>
      <c r="M1301" s="132" t="s">
        <v>2793</v>
      </c>
      <c r="N1301" s="132" t="s">
        <v>2866</v>
      </c>
      <c r="O1301" s="39" t="s">
        <v>2788</v>
      </c>
    </row>
    <row r="1302" spans="2:15" x14ac:dyDescent="0.3">
      <c r="B1302" s="39">
        <f t="shared" si="102"/>
        <v>16000054</v>
      </c>
      <c r="C1302" s="39">
        <v>1</v>
      </c>
      <c r="D1302" s="39">
        <v>0</v>
      </c>
      <c r="E1302" s="39">
        <v>0</v>
      </c>
      <c r="F1302" s="39" t="s">
        <v>2848</v>
      </c>
      <c r="G1302" s="39">
        <v>1</v>
      </c>
      <c r="H1302" s="39">
        <v>16000054</v>
      </c>
      <c r="I1302" s="39" t="s">
        <v>186</v>
      </c>
      <c r="J1302" s="39">
        <v>13</v>
      </c>
      <c r="K1302" s="46">
        <v>2531105</v>
      </c>
      <c r="L1302" s="39">
        <v>21</v>
      </c>
      <c r="M1302" s="132" t="s">
        <v>2789</v>
      </c>
      <c r="N1302" s="132" t="s">
        <v>2867</v>
      </c>
      <c r="O1302" s="39" t="s">
        <v>2788</v>
      </c>
    </row>
    <row r="1303" spans="2:15" x14ac:dyDescent="0.3">
      <c r="B1303" s="39">
        <f t="shared" si="102"/>
        <v>16000055</v>
      </c>
      <c r="C1303" s="39">
        <v>1</v>
      </c>
      <c r="D1303" s="39">
        <v>0</v>
      </c>
      <c r="E1303" s="39">
        <v>0</v>
      </c>
      <c r="F1303" s="39" t="s">
        <v>2848</v>
      </c>
      <c r="G1303" s="39">
        <v>1</v>
      </c>
      <c r="H1303" s="39">
        <v>16000055</v>
      </c>
      <c r="I1303" s="39" t="s">
        <v>186</v>
      </c>
      <c r="J1303" s="39">
        <v>13</v>
      </c>
      <c r="K1303" s="46">
        <v>2531106</v>
      </c>
      <c r="L1303" s="39">
        <v>21</v>
      </c>
      <c r="M1303" s="132" t="s">
        <v>2790</v>
      </c>
      <c r="N1303" s="132" t="s">
        <v>2868</v>
      </c>
      <c r="O1303" s="39" t="s">
        <v>2788</v>
      </c>
    </row>
    <row r="1304" spans="2:15" x14ac:dyDescent="0.3">
      <c r="B1304" s="39">
        <f t="shared" si="102"/>
        <v>16000056</v>
      </c>
      <c r="C1304" s="39">
        <v>1</v>
      </c>
      <c r="D1304" s="39">
        <v>0</v>
      </c>
      <c r="E1304" s="39">
        <v>0</v>
      </c>
      <c r="F1304" s="39" t="s">
        <v>2848</v>
      </c>
      <c r="G1304" s="39">
        <v>1</v>
      </c>
      <c r="H1304" s="39">
        <v>16000056</v>
      </c>
      <c r="I1304" s="39" t="s">
        <v>186</v>
      </c>
      <c r="J1304" s="39">
        <v>13</v>
      </c>
      <c r="K1304" s="46">
        <v>2531107</v>
      </c>
      <c r="L1304" s="39">
        <v>21</v>
      </c>
      <c r="M1304" s="132" t="s">
        <v>2791</v>
      </c>
      <c r="N1304" s="132" t="s">
        <v>2869</v>
      </c>
      <c r="O1304" s="39" t="s">
        <v>2788</v>
      </c>
    </row>
    <row r="1305" spans="2:15" x14ac:dyDescent="0.3">
      <c r="B1305" s="39">
        <f t="shared" si="102"/>
        <v>16000057</v>
      </c>
      <c r="C1305" s="39">
        <v>1</v>
      </c>
      <c r="D1305" s="39">
        <v>0</v>
      </c>
      <c r="E1305" s="39">
        <v>0</v>
      </c>
      <c r="F1305" s="39" t="s">
        <v>2848</v>
      </c>
      <c r="G1305" s="39">
        <v>1</v>
      </c>
      <c r="H1305" s="39">
        <v>16000057</v>
      </c>
      <c r="I1305" s="39" t="s">
        <v>186</v>
      </c>
      <c r="J1305" s="39">
        <v>13</v>
      </c>
      <c r="K1305" s="46">
        <v>2531108</v>
      </c>
      <c r="L1305" s="39">
        <v>21</v>
      </c>
      <c r="M1305" s="132" t="s">
        <v>2792</v>
      </c>
      <c r="N1305" s="132" t="s">
        <v>2870</v>
      </c>
      <c r="O1305" s="39" t="s">
        <v>2788</v>
      </c>
    </row>
    <row r="1306" spans="2:15" x14ac:dyDescent="0.3">
      <c r="B1306" s="39">
        <f t="shared" si="102"/>
        <v>16000058</v>
      </c>
      <c r="C1306" s="39">
        <v>1</v>
      </c>
      <c r="D1306" s="39">
        <v>0</v>
      </c>
      <c r="E1306" s="39">
        <v>0</v>
      </c>
      <c r="F1306" s="39" t="s">
        <v>2848</v>
      </c>
      <c r="G1306" s="39">
        <v>1</v>
      </c>
      <c r="H1306" s="39">
        <v>16000058</v>
      </c>
      <c r="I1306" s="39" t="s">
        <v>186</v>
      </c>
      <c r="J1306" s="39">
        <v>13</v>
      </c>
      <c r="K1306" s="46">
        <v>2531109</v>
      </c>
      <c r="L1306" s="39">
        <v>21</v>
      </c>
      <c r="M1306" s="132" t="s">
        <v>2797</v>
      </c>
      <c r="N1306" s="132" t="s">
        <v>2871</v>
      </c>
      <c r="O1306" s="39" t="s">
        <v>2788</v>
      </c>
    </row>
    <row r="1307" spans="2:15" x14ac:dyDescent="0.3">
      <c r="B1307" s="39">
        <f t="shared" si="102"/>
        <v>16000059</v>
      </c>
      <c r="C1307" s="39">
        <v>1</v>
      </c>
      <c r="D1307" s="39">
        <v>0</v>
      </c>
      <c r="E1307" s="39">
        <v>0</v>
      </c>
      <c r="F1307" s="39" t="s">
        <v>2848</v>
      </c>
      <c r="G1307" s="39">
        <v>1</v>
      </c>
      <c r="H1307" s="39">
        <v>16000059</v>
      </c>
      <c r="I1307" s="39" t="s">
        <v>186</v>
      </c>
      <c r="J1307" s="39">
        <v>13</v>
      </c>
      <c r="K1307" s="46">
        <v>2531110</v>
      </c>
      <c r="L1307" s="39">
        <v>21</v>
      </c>
      <c r="M1307" s="132" t="s">
        <v>2798</v>
      </c>
      <c r="N1307" s="132" t="s">
        <v>2872</v>
      </c>
      <c r="O1307" s="39" t="s">
        <v>2788</v>
      </c>
    </row>
    <row r="1308" spans="2:15" x14ac:dyDescent="0.3">
      <c r="B1308" s="39">
        <f t="shared" si="102"/>
        <v>16000060</v>
      </c>
      <c r="C1308" s="39">
        <v>1</v>
      </c>
      <c r="D1308" s="39">
        <v>0</v>
      </c>
      <c r="E1308" s="39">
        <v>0</v>
      </c>
      <c r="F1308" s="39" t="s">
        <v>2848</v>
      </c>
      <c r="G1308" s="39">
        <v>1</v>
      </c>
      <c r="H1308" s="39">
        <v>16000060</v>
      </c>
      <c r="I1308" s="39" t="s">
        <v>186</v>
      </c>
      <c r="J1308" s="39">
        <v>13</v>
      </c>
      <c r="K1308" s="46">
        <v>2531111</v>
      </c>
      <c r="L1308" s="39">
        <v>21</v>
      </c>
      <c r="M1308" s="132" t="s">
        <v>2799</v>
      </c>
      <c r="N1308" s="132" t="s">
        <v>2873</v>
      </c>
      <c r="O1308" s="39" t="s">
        <v>2788</v>
      </c>
    </row>
    <row r="1309" spans="2:15" x14ac:dyDescent="0.3">
      <c r="B1309" s="39">
        <f t="shared" si="102"/>
        <v>16000061</v>
      </c>
      <c r="C1309" s="39">
        <v>1</v>
      </c>
      <c r="D1309" s="39">
        <v>0</v>
      </c>
      <c r="E1309" s="39">
        <v>0</v>
      </c>
      <c r="F1309" s="39" t="s">
        <v>2848</v>
      </c>
      <c r="G1309" s="39">
        <v>1</v>
      </c>
      <c r="H1309" s="39">
        <v>16000061</v>
      </c>
      <c r="I1309" s="39" t="s">
        <v>186</v>
      </c>
      <c r="J1309" s="39">
        <v>13</v>
      </c>
      <c r="K1309" s="46">
        <v>2531112</v>
      </c>
      <c r="L1309" s="39">
        <v>21</v>
      </c>
      <c r="M1309" s="132" t="s">
        <v>2800</v>
      </c>
      <c r="N1309" s="132" t="s">
        <v>2874</v>
      </c>
      <c r="O1309" s="39" t="s">
        <v>2788</v>
      </c>
    </row>
    <row r="1310" spans="2:15" x14ac:dyDescent="0.3">
      <c r="B1310" s="39">
        <f t="shared" si="102"/>
        <v>16000062</v>
      </c>
      <c r="C1310" s="39">
        <v>1</v>
      </c>
      <c r="D1310" s="39">
        <v>0</v>
      </c>
      <c r="E1310" s="39">
        <v>0</v>
      </c>
      <c r="F1310" s="39" t="s">
        <v>2848</v>
      </c>
      <c r="G1310" s="39">
        <v>1</v>
      </c>
      <c r="H1310" s="39">
        <v>16000062</v>
      </c>
      <c r="I1310" s="39" t="s">
        <v>186</v>
      </c>
      <c r="J1310" s="39">
        <v>13</v>
      </c>
      <c r="K1310" s="46">
        <v>2531113</v>
      </c>
      <c r="L1310" s="39">
        <v>21</v>
      </c>
      <c r="M1310" s="132" t="s">
        <v>2801</v>
      </c>
      <c r="N1310" s="132" t="s">
        <v>2875</v>
      </c>
      <c r="O1310" s="39" t="s">
        <v>2788</v>
      </c>
    </row>
    <row r="1311" spans="2:15" x14ac:dyDescent="0.3">
      <c r="B1311" s="39">
        <f t="shared" si="102"/>
        <v>16000063</v>
      </c>
      <c r="C1311" s="39">
        <v>1</v>
      </c>
      <c r="D1311" s="39">
        <v>0</v>
      </c>
      <c r="E1311" s="39">
        <v>0</v>
      </c>
      <c r="F1311" s="39" t="s">
        <v>2848</v>
      </c>
      <c r="G1311" s="39">
        <v>1</v>
      </c>
      <c r="H1311" s="39">
        <v>16000063</v>
      </c>
      <c r="I1311" s="39" t="s">
        <v>186</v>
      </c>
      <c r="J1311" s="39">
        <v>13</v>
      </c>
      <c r="K1311" s="46">
        <v>2531114</v>
      </c>
      <c r="L1311" s="39">
        <v>21</v>
      </c>
      <c r="M1311" s="132" t="s">
        <v>2802</v>
      </c>
      <c r="N1311" s="132" t="s">
        <v>2876</v>
      </c>
      <c r="O1311" s="39" t="s">
        <v>2788</v>
      </c>
    </row>
    <row r="1312" spans="2:15" x14ac:dyDescent="0.3">
      <c r="B1312" s="39">
        <f t="shared" si="102"/>
        <v>16000064</v>
      </c>
      <c r="C1312" s="39">
        <v>1</v>
      </c>
      <c r="D1312" s="39">
        <v>0</v>
      </c>
      <c r="E1312" s="39">
        <v>0</v>
      </c>
      <c r="F1312" s="39" t="s">
        <v>2848</v>
      </c>
      <c r="G1312" s="39">
        <v>1</v>
      </c>
      <c r="H1312" s="39">
        <v>16000064</v>
      </c>
      <c r="I1312" s="39" t="s">
        <v>186</v>
      </c>
      <c r="J1312" s="39">
        <v>13</v>
      </c>
      <c r="K1312" s="46">
        <v>2531115</v>
      </c>
      <c r="L1312" s="39">
        <v>21</v>
      </c>
      <c r="M1312" s="132" t="s">
        <v>2803</v>
      </c>
      <c r="N1312" s="132" t="s">
        <v>2877</v>
      </c>
      <c r="O1312" s="39" t="s">
        <v>2788</v>
      </c>
    </row>
    <row r="1313" spans="2:15" x14ac:dyDescent="0.3">
      <c r="B1313" s="39">
        <f t="shared" si="102"/>
        <v>16000065</v>
      </c>
      <c r="C1313" s="39">
        <v>1</v>
      </c>
      <c r="D1313" s="39">
        <v>0</v>
      </c>
      <c r="E1313" s="39">
        <v>0</v>
      </c>
      <c r="F1313" s="39" t="s">
        <v>2848</v>
      </c>
      <c r="G1313" s="39">
        <v>1</v>
      </c>
      <c r="H1313" s="39">
        <v>16000065</v>
      </c>
      <c r="I1313" s="39" t="s">
        <v>186</v>
      </c>
      <c r="J1313" s="39">
        <v>13</v>
      </c>
      <c r="K1313" s="46">
        <v>2531116</v>
      </c>
      <c r="L1313" s="39">
        <v>21</v>
      </c>
      <c r="M1313" s="132" t="s">
        <v>2804</v>
      </c>
      <c r="N1313" s="132" t="s">
        <v>2878</v>
      </c>
      <c r="O1313" s="39" t="s">
        <v>2788</v>
      </c>
    </row>
    <row r="1314" spans="2:15" x14ac:dyDescent="0.3">
      <c r="B1314" s="39">
        <f t="shared" si="102"/>
        <v>16000066</v>
      </c>
      <c r="C1314" s="39">
        <v>1</v>
      </c>
      <c r="D1314" s="39">
        <v>0</v>
      </c>
      <c r="E1314" s="39">
        <v>0</v>
      </c>
      <c r="F1314" s="39" t="s">
        <v>2848</v>
      </c>
      <c r="G1314" s="39">
        <v>1</v>
      </c>
      <c r="H1314" s="39">
        <v>16000066</v>
      </c>
      <c r="I1314" s="39" t="s">
        <v>186</v>
      </c>
      <c r="J1314" s="39">
        <v>13</v>
      </c>
      <c r="K1314" s="46">
        <v>2531117</v>
      </c>
      <c r="L1314" s="39">
        <v>21</v>
      </c>
      <c r="M1314" s="132" t="s">
        <v>2805</v>
      </c>
      <c r="N1314" s="132" t="s">
        <v>2879</v>
      </c>
      <c r="O1314" s="39" t="s">
        <v>2788</v>
      </c>
    </row>
    <row r="1315" spans="2:15" x14ac:dyDescent="0.3">
      <c r="B1315" s="39">
        <f t="shared" ref="B1315" si="103">H1315</f>
        <v>16000067</v>
      </c>
      <c r="C1315" s="39">
        <v>1</v>
      </c>
      <c r="D1315" s="39">
        <v>0</v>
      </c>
      <c r="E1315" s="39">
        <v>0</v>
      </c>
      <c r="F1315" s="39" t="s">
        <v>2848</v>
      </c>
      <c r="G1315" s="39">
        <v>1</v>
      </c>
      <c r="H1315" s="39">
        <v>16000067</v>
      </c>
      <c r="I1315" s="39" t="s">
        <v>186</v>
      </c>
      <c r="J1315" s="39">
        <v>13</v>
      </c>
      <c r="K1315" s="46">
        <v>2531118</v>
      </c>
      <c r="L1315" s="39">
        <v>21</v>
      </c>
      <c r="M1315" s="132" t="s">
        <v>2862</v>
      </c>
      <c r="N1315" s="132" t="s">
        <v>2880</v>
      </c>
      <c r="O1315" s="39" t="s">
        <v>2788</v>
      </c>
    </row>
    <row r="1316" spans="2:15" x14ac:dyDescent="0.3">
      <c r="B1316" s="39">
        <f t="shared" ref="B1316:B1320" si="104">H1316</f>
        <v>16000068</v>
      </c>
      <c r="C1316" s="39">
        <v>1</v>
      </c>
      <c r="D1316" s="39">
        <v>0</v>
      </c>
      <c r="E1316" s="39">
        <v>0</v>
      </c>
      <c r="F1316" s="39" t="s">
        <v>3038</v>
      </c>
      <c r="G1316" s="39">
        <v>1</v>
      </c>
      <c r="H1316" s="39">
        <v>16000068</v>
      </c>
      <c r="I1316" s="39" t="s">
        <v>186</v>
      </c>
      <c r="J1316" s="39">
        <v>13</v>
      </c>
      <c r="K1316" s="46">
        <v>2531119</v>
      </c>
      <c r="L1316" s="39">
        <v>21</v>
      </c>
      <c r="M1316" s="132" t="s">
        <v>3042</v>
      </c>
      <c r="N1316" s="132" t="s">
        <v>3041</v>
      </c>
      <c r="O1316" s="39" t="s">
        <v>2788</v>
      </c>
    </row>
    <row r="1317" spans="2:15" x14ac:dyDescent="0.3">
      <c r="B1317" s="39">
        <f t="shared" si="104"/>
        <v>16000069</v>
      </c>
      <c r="C1317" s="39">
        <v>1</v>
      </c>
      <c r="D1317" s="39">
        <v>0</v>
      </c>
      <c r="E1317" s="39">
        <v>0</v>
      </c>
      <c r="F1317" s="39" t="s">
        <v>4327</v>
      </c>
      <c r="G1317" s="39">
        <v>1</v>
      </c>
      <c r="H1317" s="39">
        <v>16000069</v>
      </c>
      <c r="I1317" s="39" t="s">
        <v>186</v>
      </c>
      <c r="J1317" s="39">
        <v>13</v>
      </c>
      <c r="K1317" s="46">
        <v>2641109</v>
      </c>
      <c r="L1317" s="39">
        <v>21</v>
      </c>
      <c r="M1317" s="460" t="s">
        <v>4349</v>
      </c>
      <c r="N1317" s="132" t="s">
        <v>4350</v>
      </c>
      <c r="O1317" s="39" t="s">
        <v>2788</v>
      </c>
    </row>
    <row r="1318" spans="2:15" x14ac:dyDescent="0.3">
      <c r="B1318" s="39">
        <f t="shared" si="104"/>
        <v>16000070</v>
      </c>
      <c r="C1318" s="39">
        <v>1</v>
      </c>
      <c r="D1318" s="39">
        <v>0</v>
      </c>
      <c r="E1318" s="39">
        <v>0</v>
      </c>
      <c r="F1318" s="39" t="s">
        <v>4327</v>
      </c>
      <c r="G1318" s="39">
        <v>1</v>
      </c>
      <c r="H1318" s="39">
        <v>16000070</v>
      </c>
      <c r="I1318" s="39" t="s">
        <v>186</v>
      </c>
      <c r="J1318" s="39">
        <v>13</v>
      </c>
      <c r="K1318" s="46">
        <v>2641110</v>
      </c>
      <c r="L1318" s="39">
        <v>21</v>
      </c>
      <c r="M1318" s="461" t="s">
        <v>4351</v>
      </c>
      <c r="N1318" s="132" t="s">
        <v>4352</v>
      </c>
      <c r="O1318" s="39" t="s">
        <v>2788</v>
      </c>
    </row>
    <row r="1319" spans="2:15" x14ac:dyDescent="0.3">
      <c r="B1319" s="39">
        <f t="shared" si="104"/>
        <v>16000071</v>
      </c>
      <c r="C1319" s="39">
        <v>1</v>
      </c>
      <c r="D1319" s="39">
        <v>0</v>
      </c>
      <c r="E1319" s="39">
        <v>0</v>
      </c>
      <c r="F1319" s="39" t="s">
        <v>4327</v>
      </c>
      <c r="G1319" s="39">
        <v>1</v>
      </c>
      <c r="H1319" s="39">
        <v>16000071</v>
      </c>
      <c r="I1319" s="39" t="s">
        <v>186</v>
      </c>
      <c r="J1319" s="39">
        <v>13</v>
      </c>
      <c r="K1319" s="46">
        <v>2641111</v>
      </c>
      <c r="L1319" s="39">
        <v>21</v>
      </c>
      <c r="M1319" s="460" t="s">
        <v>4353</v>
      </c>
      <c r="N1319" s="132" t="s">
        <v>4354</v>
      </c>
      <c r="O1319" s="39" t="s">
        <v>2788</v>
      </c>
    </row>
    <row r="1320" spans="2:15" x14ac:dyDescent="0.3">
      <c r="B1320" s="39">
        <f t="shared" si="104"/>
        <v>16000072</v>
      </c>
      <c r="C1320" s="39">
        <v>1</v>
      </c>
      <c r="D1320" s="39">
        <v>0</v>
      </c>
      <c r="E1320" s="39">
        <v>0</v>
      </c>
      <c r="F1320" s="39" t="s">
        <v>4327</v>
      </c>
      <c r="G1320" s="39">
        <v>1</v>
      </c>
      <c r="H1320" s="39">
        <v>16000072</v>
      </c>
      <c r="I1320" s="39" t="s">
        <v>186</v>
      </c>
      <c r="J1320" s="39">
        <v>13</v>
      </c>
      <c r="K1320" s="46">
        <v>2641112</v>
      </c>
      <c r="L1320" s="39">
        <v>21</v>
      </c>
      <c r="M1320" s="460" t="s">
        <v>4355</v>
      </c>
      <c r="N1320" s="132" t="s">
        <v>4356</v>
      </c>
      <c r="O1320" s="39" t="s">
        <v>2788</v>
      </c>
    </row>
    <row r="1321" spans="2:15" x14ac:dyDescent="0.3">
      <c r="B1321" s="39">
        <f t="shared" ref="B1321" si="105">H1321</f>
        <v>4000034</v>
      </c>
      <c r="C1321" s="39">
        <v>1</v>
      </c>
      <c r="D1321" s="39">
        <v>0</v>
      </c>
      <c r="E1321" s="39">
        <v>0</v>
      </c>
      <c r="F1321" s="39" t="s">
        <v>2881</v>
      </c>
      <c r="G1321" s="39">
        <v>1</v>
      </c>
      <c r="H1321" s="39">
        <v>4000034</v>
      </c>
      <c r="I1321" s="39" t="s">
        <v>186</v>
      </c>
      <c r="J1321" s="39">
        <v>13</v>
      </c>
      <c r="K1321" s="46">
        <v>1029171</v>
      </c>
      <c r="L1321" s="39">
        <v>21</v>
      </c>
      <c r="M1321" s="135" t="s">
        <v>2844</v>
      </c>
      <c r="N1321" s="39" t="s">
        <v>2842</v>
      </c>
      <c r="O1321" s="39" t="s">
        <v>2843</v>
      </c>
    </row>
    <row r="1322" spans="2:15" x14ac:dyDescent="0.3">
      <c r="B1322" s="39">
        <f t="shared" ref="B1322:B1347" si="106">H1322</f>
        <v>63800022</v>
      </c>
      <c r="C1322" s="39">
        <v>1</v>
      </c>
      <c r="D1322" s="39">
        <v>0</v>
      </c>
      <c r="E1322" s="39">
        <v>0</v>
      </c>
      <c r="F1322" s="39" t="s">
        <v>2848</v>
      </c>
      <c r="G1322" s="39">
        <v>1</v>
      </c>
      <c r="H1322" s="39">
        <v>63800022</v>
      </c>
      <c r="I1322" s="39" t="s">
        <v>186</v>
      </c>
      <c r="J1322" s="39">
        <v>13</v>
      </c>
      <c r="K1322" s="105">
        <v>2532208</v>
      </c>
      <c r="L1322" s="39">
        <v>21</v>
      </c>
      <c r="M1322" s="39" t="s">
        <v>2845</v>
      </c>
      <c r="N1322" s="39" t="s">
        <v>2846</v>
      </c>
      <c r="O1322" s="39" t="s">
        <v>2847</v>
      </c>
    </row>
    <row r="1323" spans="2:15" x14ac:dyDescent="0.3">
      <c r="B1323" s="39">
        <f t="shared" si="106"/>
        <v>8000013</v>
      </c>
      <c r="C1323" s="39">
        <v>1</v>
      </c>
      <c r="D1323" s="39" t="s">
        <v>2849</v>
      </c>
      <c r="E1323" s="39">
        <v>0</v>
      </c>
      <c r="F1323" s="39" t="s">
        <v>2848</v>
      </c>
      <c r="G1323" s="39">
        <v>1</v>
      </c>
      <c r="H1323" s="39">
        <v>8000013</v>
      </c>
      <c r="I1323" s="39" t="s">
        <v>186</v>
      </c>
      <c r="J1323" s="39">
        <v>13</v>
      </c>
      <c r="K1323" s="105">
        <v>2572001</v>
      </c>
      <c r="L1323" s="39">
        <v>21</v>
      </c>
      <c r="M1323" s="39" t="s">
        <v>2853</v>
      </c>
      <c r="N1323" s="39" t="s">
        <v>2850</v>
      </c>
      <c r="O1323" s="39" t="s">
        <v>2847</v>
      </c>
    </row>
    <row r="1324" spans="2:15" x14ac:dyDescent="0.3">
      <c r="B1324" s="39">
        <f t="shared" si="106"/>
        <v>8000014</v>
      </c>
      <c r="C1324" s="39">
        <v>1</v>
      </c>
      <c r="D1324" s="39" t="s">
        <v>2849</v>
      </c>
      <c r="E1324" s="39">
        <v>0</v>
      </c>
      <c r="F1324" s="39" t="s">
        <v>2848</v>
      </c>
      <c r="G1324" s="39">
        <v>1</v>
      </c>
      <c r="H1324" s="39">
        <v>8000014</v>
      </c>
      <c r="I1324" s="39" t="s">
        <v>186</v>
      </c>
      <c r="J1324" s="39">
        <v>13</v>
      </c>
      <c r="K1324" s="105">
        <v>2572002</v>
      </c>
      <c r="L1324" s="39">
        <v>21</v>
      </c>
      <c r="M1324" s="39" t="s">
        <v>2854</v>
      </c>
      <c r="N1324" s="39" t="s">
        <v>2851</v>
      </c>
      <c r="O1324" s="39" t="s">
        <v>2847</v>
      </c>
    </row>
    <row r="1325" spans="2:15" x14ac:dyDescent="0.3">
      <c r="B1325" s="39">
        <f t="shared" si="106"/>
        <v>8000015</v>
      </c>
      <c r="C1325" s="39">
        <v>1</v>
      </c>
      <c r="D1325" s="39" t="s">
        <v>2849</v>
      </c>
      <c r="E1325" s="39">
        <v>0</v>
      </c>
      <c r="F1325" s="39" t="s">
        <v>2848</v>
      </c>
      <c r="G1325" s="39">
        <v>1</v>
      </c>
      <c r="H1325" s="39">
        <v>8000015</v>
      </c>
      <c r="I1325" s="39" t="s">
        <v>186</v>
      </c>
      <c r="J1325" s="39">
        <v>13</v>
      </c>
      <c r="K1325" s="105">
        <v>2572003</v>
      </c>
      <c r="L1325" s="39">
        <v>21</v>
      </c>
      <c r="M1325" s="39" t="s">
        <v>2855</v>
      </c>
      <c r="N1325" s="39" t="s">
        <v>2852</v>
      </c>
      <c r="O1325" s="39" t="s">
        <v>2847</v>
      </c>
    </row>
    <row r="1326" spans="2:15" x14ac:dyDescent="0.3">
      <c r="B1326" s="39">
        <f t="shared" si="106"/>
        <v>8000016</v>
      </c>
      <c r="C1326" s="39">
        <v>1</v>
      </c>
      <c r="D1326" s="39">
        <v>0</v>
      </c>
      <c r="E1326" s="39">
        <v>0</v>
      </c>
      <c r="F1326" s="39" t="s">
        <v>3960</v>
      </c>
      <c r="G1326" s="39">
        <v>1</v>
      </c>
      <c r="H1326" s="39">
        <v>8000016</v>
      </c>
      <c r="I1326" s="39" t="s">
        <v>186</v>
      </c>
      <c r="J1326" s="39">
        <v>13</v>
      </c>
      <c r="K1326" s="105">
        <v>1400182</v>
      </c>
      <c r="L1326" s="39">
        <v>21</v>
      </c>
      <c r="M1326" s="50" t="s">
        <v>849</v>
      </c>
      <c r="N1326" s="39" t="s">
        <v>3961</v>
      </c>
      <c r="O1326" s="39" t="s">
        <v>3966</v>
      </c>
    </row>
    <row r="1327" spans="2:15" x14ac:dyDescent="0.3">
      <c r="B1327" s="39">
        <f t="shared" si="106"/>
        <v>8000017</v>
      </c>
      <c r="C1327" s="39">
        <v>1</v>
      </c>
      <c r="D1327" s="39">
        <v>0</v>
      </c>
      <c r="E1327" s="39">
        <v>0</v>
      </c>
      <c r="F1327" s="39" t="s">
        <v>3960</v>
      </c>
      <c r="G1327" s="39">
        <v>1</v>
      </c>
      <c r="H1327" s="39">
        <v>8000017</v>
      </c>
      <c r="I1327" s="39" t="s">
        <v>186</v>
      </c>
      <c r="J1327" s="39">
        <v>13</v>
      </c>
      <c r="K1327" s="105">
        <v>1400182</v>
      </c>
      <c r="L1327" s="39">
        <v>21</v>
      </c>
      <c r="M1327" s="50" t="s">
        <v>849</v>
      </c>
      <c r="N1327" s="39" t="s">
        <v>3962</v>
      </c>
      <c r="O1327" s="39" t="s">
        <v>3967</v>
      </c>
    </row>
    <row r="1328" spans="2:15" x14ac:dyDescent="0.3">
      <c r="B1328" s="39">
        <f t="shared" si="106"/>
        <v>8000018</v>
      </c>
      <c r="C1328" s="39">
        <v>1</v>
      </c>
      <c r="D1328" s="39">
        <v>0</v>
      </c>
      <c r="E1328" s="39">
        <v>0</v>
      </c>
      <c r="F1328" s="39" t="s">
        <v>3960</v>
      </c>
      <c r="G1328" s="39">
        <v>1</v>
      </c>
      <c r="H1328" s="39">
        <v>8000018</v>
      </c>
      <c r="I1328" s="39" t="s">
        <v>186</v>
      </c>
      <c r="J1328" s="39">
        <v>13</v>
      </c>
      <c r="K1328" s="105">
        <v>1400184</v>
      </c>
      <c r="L1328" s="39">
        <v>21</v>
      </c>
      <c r="M1328" s="50" t="s">
        <v>851</v>
      </c>
      <c r="N1328" s="39" t="s">
        <v>3963</v>
      </c>
      <c r="O1328" s="39" t="s">
        <v>3968</v>
      </c>
    </row>
    <row r="1329" spans="2:15" x14ac:dyDescent="0.3">
      <c r="B1329" s="39">
        <f t="shared" si="106"/>
        <v>8000019</v>
      </c>
      <c r="C1329" s="39">
        <v>1</v>
      </c>
      <c r="D1329" s="39">
        <v>0</v>
      </c>
      <c r="E1329" s="39">
        <v>0</v>
      </c>
      <c r="F1329" s="39" t="s">
        <v>3960</v>
      </c>
      <c r="G1329" s="39">
        <v>1</v>
      </c>
      <c r="H1329" s="39">
        <v>8000019</v>
      </c>
      <c r="I1329" s="39" t="s">
        <v>186</v>
      </c>
      <c r="J1329" s="39">
        <v>13</v>
      </c>
      <c r="K1329" s="105">
        <v>1033313</v>
      </c>
      <c r="L1329" s="39">
        <v>21</v>
      </c>
      <c r="M1329" s="50" t="s">
        <v>3959</v>
      </c>
      <c r="N1329" s="39" t="s">
        <v>3964</v>
      </c>
      <c r="O1329" s="39" t="s">
        <v>3969</v>
      </c>
    </row>
    <row r="1330" spans="2:15" x14ac:dyDescent="0.3">
      <c r="B1330" s="39">
        <f t="shared" si="106"/>
        <v>8000020</v>
      </c>
      <c r="C1330" s="39">
        <v>1</v>
      </c>
      <c r="D1330" s="39">
        <v>0</v>
      </c>
      <c r="E1330" s="39">
        <v>0</v>
      </c>
      <c r="F1330" s="39" t="s">
        <v>3960</v>
      </c>
      <c r="G1330" s="39">
        <v>1</v>
      </c>
      <c r="H1330" s="39">
        <v>8000020</v>
      </c>
      <c r="I1330" s="39" t="s">
        <v>186</v>
      </c>
      <c r="J1330" s="39">
        <v>13</v>
      </c>
      <c r="K1330" s="105">
        <v>1033313</v>
      </c>
      <c r="L1330" s="39">
        <v>21</v>
      </c>
      <c r="M1330" s="50" t="s">
        <v>3959</v>
      </c>
      <c r="N1330" s="39" t="s">
        <v>3965</v>
      </c>
      <c r="O1330" s="39" t="s">
        <v>3970</v>
      </c>
    </row>
    <row r="1331" spans="2:15" x14ac:dyDescent="0.3">
      <c r="B1331" s="39">
        <f t="shared" si="106"/>
        <v>8000021</v>
      </c>
      <c r="C1331" s="39">
        <v>1</v>
      </c>
      <c r="D1331" s="39" t="s">
        <v>4018</v>
      </c>
      <c r="E1331" s="39">
        <v>0</v>
      </c>
      <c r="F1331" s="39" t="s">
        <v>4025</v>
      </c>
      <c r="G1331" s="39">
        <v>1</v>
      </c>
      <c r="H1331" s="39">
        <v>8000021</v>
      </c>
      <c r="I1331" s="39" t="s">
        <v>186</v>
      </c>
      <c r="J1331" s="39">
        <v>13</v>
      </c>
      <c r="K1331" s="105">
        <v>1400638</v>
      </c>
      <c r="L1331" s="39">
        <v>21</v>
      </c>
      <c r="M1331" s="50" t="s">
        <v>4023</v>
      </c>
      <c r="N1331" s="39" t="s">
        <v>4019</v>
      </c>
      <c r="O1331" s="39" t="s">
        <v>4020</v>
      </c>
    </row>
    <row r="1332" spans="2:15" x14ac:dyDescent="0.3">
      <c r="B1332" s="39">
        <f t="shared" si="106"/>
        <v>8000022</v>
      </c>
      <c r="C1332" s="39">
        <v>1</v>
      </c>
      <c r="D1332" s="39" t="s">
        <v>4018</v>
      </c>
      <c r="E1332" s="39">
        <v>0</v>
      </c>
      <c r="F1332" s="39" t="s">
        <v>4025</v>
      </c>
      <c r="G1332" s="39">
        <v>1</v>
      </c>
      <c r="H1332" s="39">
        <v>8000022</v>
      </c>
      <c r="I1332" s="39" t="s">
        <v>186</v>
      </c>
      <c r="J1332" s="39">
        <v>13</v>
      </c>
      <c r="K1332" s="105">
        <v>1400639</v>
      </c>
      <c r="L1332" s="39">
        <v>21</v>
      </c>
      <c r="M1332" s="50" t="s">
        <v>4024</v>
      </c>
      <c r="N1332" s="39" t="s">
        <v>4021</v>
      </c>
      <c r="O1332" s="39" t="s">
        <v>4022</v>
      </c>
    </row>
    <row r="1333" spans="2:15" x14ac:dyDescent="0.3">
      <c r="B1333" s="39">
        <f t="shared" si="106"/>
        <v>63800013</v>
      </c>
      <c r="C1333" s="39">
        <v>1</v>
      </c>
      <c r="D1333" s="39">
        <v>0</v>
      </c>
      <c r="E1333" s="39">
        <v>0</v>
      </c>
      <c r="F1333" s="39" t="s">
        <v>3013</v>
      </c>
      <c r="G1333" s="39">
        <v>1</v>
      </c>
      <c r="H1333" s="39">
        <v>63800013</v>
      </c>
      <c r="I1333" s="39" t="s">
        <v>186</v>
      </c>
      <c r="J1333" s="39">
        <v>13</v>
      </c>
      <c r="K1333" s="105">
        <v>2530089</v>
      </c>
      <c r="L1333" s="39">
        <v>21</v>
      </c>
      <c r="M1333" s="137" t="s">
        <v>2901</v>
      </c>
      <c r="N1333" s="39" t="s">
        <v>2885</v>
      </c>
      <c r="O1333" s="39" t="s">
        <v>2900</v>
      </c>
    </row>
    <row r="1334" spans="2:15" x14ac:dyDescent="0.3">
      <c r="B1334" s="39">
        <f t="shared" si="106"/>
        <v>63800014</v>
      </c>
      <c r="C1334" s="39">
        <v>1</v>
      </c>
      <c r="D1334" s="39">
        <v>0</v>
      </c>
      <c r="E1334" s="39">
        <v>0</v>
      </c>
      <c r="F1334" s="39" t="s">
        <v>3013</v>
      </c>
      <c r="G1334" s="39">
        <v>1</v>
      </c>
      <c r="H1334" s="39">
        <v>63800014</v>
      </c>
      <c r="I1334" s="39" t="s">
        <v>186</v>
      </c>
      <c r="J1334" s="39">
        <v>13</v>
      </c>
      <c r="K1334" s="105">
        <v>2530090</v>
      </c>
      <c r="L1334" s="39">
        <v>21</v>
      </c>
      <c r="M1334" s="137" t="s">
        <v>2902</v>
      </c>
      <c r="N1334" s="39" t="s">
        <v>2886</v>
      </c>
      <c r="O1334" s="39" t="s">
        <v>2900</v>
      </c>
    </row>
    <row r="1335" spans="2:15" x14ac:dyDescent="0.3">
      <c r="B1335" s="39">
        <f t="shared" si="106"/>
        <v>63800015</v>
      </c>
      <c r="C1335" s="39">
        <v>1</v>
      </c>
      <c r="D1335" s="39">
        <v>0</v>
      </c>
      <c r="E1335" s="39">
        <v>0</v>
      </c>
      <c r="F1335" s="39" t="s">
        <v>3013</v>
      </c>
      <c r="G1335" s="39">
        <v>1</v>
      </c>
      <c r="H1335" s="39">
        <v>63800015</v>
      </c>
      <c r="I1335" s="39" t="s">
        <v>186</v>
      </c>
      <c r="J1335" s="39">
        <v>13</v>
      </c>
      <c r="K1335" s="105">
        <v>2530091</v>
      </c>
      <c r="L1335" s="39">
        <v>21</v>
      </c>
      <c r="M1335" s="137" t="s">
        <v>2903</v>
      </c>
      <c r="N1335" s="39" t="s">
        <v>2887</v>
      </c>
      <c r="O1335" s="39" t="s">
        <v>2900</v>
      </c>
    </row>
    <row r="1336" spans="2:15" x14ac:dyDescent="0.3">
      <c r="B1336" s="39">
        <f t="shared" si="106"/>
        <v>63800016</v>
      </c>
      <c r="C1336" s="39">
        <v>1</v>
      </c>
      <c r="D1336" s="39">
        <v>0</v>
      </c>
      <c r="E1336" s="39">
        <v>0</v>
      </c>
      <c r="F1336" s="39" t="s">
        <v>3013</v>
      </c>
      <c r="G1336" s="39">
        <v>1</v>
      </c>
      <c r="H1336" s="39">
        <v>63800016</v>
      </c>
      <c r="I1336" s="39" t="s">
        <v>186</v>
      </c>
      <c r="J1336" s="39">
        <v>13</v>
      </c>
      <c r="K1336" s="105">
        <v>2530092</v>
      </c>
      <c r="L1336" s="39">
        <v>21</v>
      </c>
      <c r="M1336" s="137" t="s">
        <v>2904</v>
      </c>
      <c r="N1336" s="39" t="s">
        <v>2888</v>
      </c>
      <c r="O1336" s="39" t="s">
        <v>2900</v>
      </c>
    </row>
    <row r="1337" spans="2:15" x14ac:dyDescent="0.3">
      <c r="B1337" s="39">
        <f t="shared" si="106"/>
        <v>63800017</v>
      </c>
      <c r="C1337" s="39">
        <v>1</v>
      </c>
      <c r="D1337" s="39">
        <v>0</v>
      </c>
      <c r="E1337" s="39">
        <v>0</v>
      </c>
      <c r="F1337" s="39" t="s">
        <v>3013</v>
      </c>
      <c r="G1337" s="39">
        <v>1</v>
      </c>
      <c r="H1337" s="39">
        <v>63800017</v>
      </c>
      <c r="I1337" s="39" t="s">
        <v>186</v>
      </c>
      <c r="J1337" s="39">
        <v>13</v>
      </c>
      <c r="K1337" s="105">
        <v>2530093</v>
      </c>
      <c r="L1337" s="39">
        <v>21</v>
      </c>
      <c r="M1337" s="137" t="s">
        <v>2905</v>
      </c>
      <c r="N1337" s="39" t="s">
        <v>2889</v>
      </c>
      <c r="O1337" s="39" t="s">
        <v>2900</v>
      </c>
    </row>
    <row r="1338" spans="2:15" x14ac:dyDescent="0.3">
      <c r="B1338" s="39">
        <f t="shared" si="106"/>
        <v>63800018</v>
      </c>
      <c r="C1338" s="39">
        <v>1</v>
      </c>
      <c r="D1338" s="39">
        <v>0</v>
      </c>
      <c r="E1338" s="39">
        <v>0</v>
      </c>
      <c r="F1338" s="39" t="s">
        <v>3013</v>
      </c>
      <c r="G1338" s="39">
        <v>1</v>
      </c>
      <c r="H1338" s="39">
        <v>63800018</v>
      </c>
      <c r="I1338" s="39" t="s">
        <v>186</v>
      </c>
      <c r="J1338" s="39">
        <v>13</v>
      </c>
      <c r="K1338" s="105">
        <v>2530094</v>
      </c>
      <c r="L1338" s="39">
        <v>21</v>
      </c>
      <c r="M1338" s="137" t="s">
        <v>2906</v>
      </c>
      <c r="N1338" s="39" t="s">
        <v>2890</v>
      </c>
      <c r="O1338" s="39" t="s">
        <v>2900</v>
      </c>
    </row>
    <row r="1339" spans="2:15" x14ac:dyDescent="0.3">
      <c r="B1339" s="39">
        <f t="shared" si="106"/>
        <v>63800019</v>
      </c>
      <c r="C1339" s="39">
        <v>1</v>
      </c>
      <c r="D1339" s="39">
        <v>0</v>
      </c>
      <c r="E1339" s="39">
        <v>0</v>
      </c>
      <c r="F1339" s="39" t="s">
        <v>3013</v>
      </c>
      <c r="G1339" s="39">
        <v>1</v>
      </c>
      <c r="H1339" s="39">
        <v>63800019</v>
      </c>
      <c r="I1339" s="39" t="s">
        <v>186</v>
      </c>
      <c r="J1339" s="39">
        <v>13</v>
      </c>
      <c r="K1339" s="105">
        <v>2530095</v>
      </c>
      <c r="L1339" s="39">
        <v>21</v>
      </c>
      <c r="M1339" s="137" t="s">
        <v>2907</v>
      </c>
      <c r="N1339" s="39" t="s">
        <v>2891</v>
      </c>
      <c r="O1339" s="39" t="s">
        <v>2900</v>
      </c>
    </row>
    <row r="1340" spans="2:15" x14ac:dyDescent="0.3">
      <c r="B1340" s="39">
        <f t="shared" si="106"/>
        <v>63800020</v>
      </c>
      <c r="C1340" s="39">
        <v>1</v>
      </c>
      <c r="D1340" s="39">
        <v>0</v>
      </c>
      <c r="E1340" s="39">
        <v>0</v>
      </c>
      <c r="F1340" s="39" t="s">
        <v>3013</v>
      </c>
      <c r="G1340" s="39">
        <v>1</v>
      </c>
      <c r="H1340" s="39">
        <v>63800020</v>
      </c>
      <c r="I1340" s="39" t="s">
        <v>186</v>
      </c>
      <c r="J1340" s="39">
        <v>13</v>
      </c>
      <c r="K1340" s="105">
        <v>2530096</v>
      </c>
      <c r="L1340" s="39">
        <v>21</v>
      </c>
      <c r="M1340" s="137" t="s">
        <v>2908</v>
      </c>
      <c r="N1340" s="39" t="s">
        <v>2892</v>
      </c>
      <c r="O1340" s="39" t="s">
        <v>2900</v>
      </c>
    </row>
    <row r="1341" spans="2:15" x14ac:dyDescent="0.3">
      <c r="B1341" s="39">
        <f t="shared" si="106"/>
        <v>63800021</v>
      </c>
      <c r="C1341" s="39">
        <v>1</v>
      </c>
      <c r="D1341" s="39">
        <v>0</v>
      </c>
      <c r="E1341" s="39">
        <v>0</v>
      </c>
      <c r="F1341" s="39" t="s">
        <v>3013</v>
      </c>
      <c r="G1341" s="39">
        <v>1</v>
      </c>
      <c r="H1341" s="39">
        <v>63800021</v>
      </c>
      <c r="I1341" s="39" t="s">
        <v>186</v>
      </c>
      <c r="J1341" s="39">
        <v>13</v>
      </c>
      <c r="K1341" s="105">
        <v>2530097</v>
      </c>
      <c r="L1341" s="39">
        <v>21</v>
      </c>
      <c r="M1341" s="137" t="s">
        <v>2909</v>
      </c>
      <c r="N1341" s="39" t="s">
        <v>2893</v>
      </c>
      <c r="O1341" s="39" t="s">
        <v>2900</v>
      </c>
    </row>
    <row r="1342" spans="2:15" x14ac:dyDescent="0.3">
      <c r="B1342" s="39">
        <f t="shared" si="106"/>
        <v>63800023</v>
      </c>
      <c r="C1342" s="39">
        <v>1</v>
      </c>
      <c r="D1342" s="39">
        <v>0</v>
      </c>
      <c r="E1342" s="39">
        <v>0</v>
      </c>
      <c r="F1342" s="39" t="s">
        <v>3013</v>
      </c>
      <c r="G1342" s="39">
        <v>1</v>
      </c>
      <c r="H1342" s="39">
        <v>63800023</v>
      </c>
      <c r="I1342" s="39" t="s">
        <v>186</v>
      </c>
      <c r="J1342" s="39">
        <v>13</v>
      </c>
      <c r="K1342" s="105">
        <v>2530099</v>
      </c>
      <c r="L1342" s="39">
        <v>21</v>
      </c>
      <c r="M1342" s="137" t="s">
        <v>2910</v>
      </c>
      <c r="N1342" s="39" t="s">
        <v>2894</v>
      </c>
      <c r="O1342" s="39" t="s">
        <v>2900</v>
      </c>
    </row>
    <row r="1343" spans="2:15" x14ac:dyDescent="0.3">
      <c r="B1343" s="39">
        <f t="shared" si="106"/>
        <v>63800024</v>
      </c>
      <c r="C1343" s="39">
        <v>1</v>
      </c>
      <c r="D1343" s="39">
        <v>0</v>
      </c>
      <c r="E1343" s="39">
        <v>0</v>
      </c>
      <c r="F1343" s="39" t="s">
        <v>3013</v>
      </c>
      <c r="G1343" s="39">
        <v>1</v>
      </c>
      <c r="H1343" s="39">
        <v>63800024</v>
      </c>
      <c r="I1343" s="39" t="s">
        <v>186</v>
      </c>
      <c r="J1343" s="39">
        <v>13</v>
      </c>
      <c r="K1343" s="105">
        <v>2530100</v>
      </c>
      <c r="L1343" s="39">
        <v>21</v>
      </c>
      <c r="M1343" s="137" t="s">
        <v>2911</v>
      </c>
      <c r="N1343" s="39" t="s">
        <v>2895</v>
      </c>
      <c r="O1343" s="39" t="s">
        <v>2900</v>
      </c>
    </row>
    <row r="1344" spans="2:15" x14ac:dyDescent="0.3">
      <c r="B1344" s="39">
        <f t="shared" si="106"/>
        <v>63800025</v>
      </c>
      <c r="C1344" s="39">
        <v>1</v>
      </c>
      <c r="D1344" s="39">
        <v>0</v>
      </c>
      <c r="E1344" s="39">
        <v>0</v>
      </c>
      <c r="F1344" s="39" t="s">
        <v>3013</v>
      </c>
      <c r="G1344" s="39">
        <v>1</v>
      </c>
      <c r="H1344" s="39">
        <v>63800025</v>
      </c>
      <c r="I1344" s="39" t="s">
        <v>186</v>
      </c>
      <c r="J1344" s="39">
        <v>13</v>
      </c>
      <c r="K1344" s="105">
        <v>2530101</v>
      </c>
      <c r="L1344" s="39">
        <v>21</v>
      </c>
      <c r="M1344" s="137" t="s">
        <v>2912</v>
      </c>
      <c r="N1344" s="39" t="s">
        <v>2896</v>
      </c>
      <c r="O1344" s="39" t="s">
        <v>2900</v>
      </c>
    </row>
    <row r="1345" spans="2:15" x14ac:dyDescent="0.3">
      <c r="B1345" s="39">
        <f t="shared" si="106"/>
        <v>63800026</v>
      </c>
      <c r="C1345" s="39">
        <v>1</v>
      </c>
      <c r="D1345" s="39">
        <v>0</v>
      </c>
      <c r="E1345" s="39">
        <v>0</v>
      </c>
      <c r="F1345" s="39" t="s">
        <v>3013</v>
      </c>
      <c r="G1345" s="39">
        <v>1</v>
      </c>
      <c r="H1345" s="39">
        <v>63800026</v>
      </c>
      <c r="I1345" s="39" t="s">
        <v>186</v>
      </c>
      <c r="J1345" s="39">
        <v>13</v>
      </c>
      <c r="K1345" s="105">
        <v>2530102</v>
      </c>
      <c r="L1345" s="39">
        <v>21</v>
      </c>
      <c r="M1345" s="137" t="s">
        <v>2913</v>
      </c>
      <c r="N1345" s="39" t="s">
        <v>2897</v>
      </c>
      <c r="O1345" s="39" t="s">
        <v>2900</v>
      </c>
    </row>
    <row r="1346" spans="2:15" x14ac:dyDescent="0.3">
      <c r="B1346" s="39">
        <f t="shared" si="106"/>
        <v>63800027</v>
      </c>
      <c r="C1346" s="39">
        <v>1</v>
      </c>
      <c r="D1346" s="39">
        <v>0</v>
      </c>
      <c r="E1346" s="39">
        <v>0</v>
      </c>
      <c r="F1346" s="39" t="s">
        <v>3013</v>
      </c>
      <c r="G1346" s="39">
        <v>1</v>
      </c>
      <c r="H1346" s="39">
        <v>63800027</v>
      </c>
      <c r="I1346" s="39" t="s">
        <v>186</v>
      </c>
      <c r="J1346" s="39">
        <v>13</v>
      </c>
      <c r="K1346" s="105">
        <v>2530103</v>
      </c>
      <c r="L1346" s="39">
        <v>21</v>
      </c>
      <c r="M1346" s="137" t="s">
        <v>2914</v>
      </c>
      <c r="N1346" s="39" t="s">
        <v>2898</v>
      </c>
      <c r="O1346" s="39" t="s">
        <v>2900</v>
      </c>
    </row>
    <row r="1347" spans="2:15" x14ac:dyDescent="0.3">
      <c r="B1347" s="39">
        <f t="shared" si="106"/>
        <v>63800028</v>
      </c>
      <c r="C1347" s="39">
        <v>1</v>
      </c>
      <c r="D1347" s="39">
        <v>0</v>
      </c>
      <c r="E1347" s="39">
        <v>0</v>
      </c>
      <c r="F1347" s="39" t="s">
        <v>3013</v>
      </c>
      <c r="G1347" s="39">
        <v>1</v>
      </c>
      <c r="H1347" s="39">
        <v>63800028</v>
      </c>
      <c r="I1347" s="39" t="s">
        <v>186</v>
      </c>
      <c r="J1347" s="39">
        <v>13</v>
      </c>
      <c r="K1347" s="105">
        <v>2530104</v>
      </c>
      <c r="L1347" s="39">
        <v>21</v>
      </c>
      <c r="M1347" s="137" t="s">
        <v>2915</v>
      </c>
      <c r="N1347" s="39" t="s">
        <v>2899</v>
      </c>
      <c r="O1347" s="39" t="s">
        <v>2900</v>
      </c>
    </row>
    <row r="1348" spans="2:15" x14ac:dyDescent="0.3">
      <c r="B1348" s="39">
        <f t="shared" ref="B1348" si="107">H1348</f>
        <v>63800029</v>
      </c>
      <c r="C1348" s="39">
        <v>1</v>
      </c>
      <c r="D1348" s="39">
        <v>0</v>
      </c>
      <c r="E1348" s="39">
        <v>0</v>
      </c>
      <c r="F1348" s="39" t="s">
        <v>3013</v>
      </c>
      <c r="G1348" s="39">
        <v>1</v>
      </c>
      <c r="H1348" s="39">
        <v>63800029</v>
      </c>
      <c r="I1348" s="39" t="s">
        <v>186</v>
      </c>
      <c r="J1348" s="39">
        <v>13</v>
      </c>
      <c r="K1348" s="105">
        <v>2530105</v>
      </c>
      <c r="L1348" s="39">
        <v>21</v>
      </c>
      <c r="M1348" s="137" t="s">
        <v>2916</v>
      </c>
      <c r="N1348" s="39" t="s">
        <v>2917</v>
      </c>
      <c r="O1348" s="39" t="s">
        <v>2900</v>
      </c>
    </row>
    <row r="1349" spans="2:15" x14ac:dyDescent="0.3">
      <c r="B1349" s="39">
        <f t="shared" ref="B1349:B1351" si="108">H1349</f>
        <v>63800030</v>
      </c>
      <c r="C1349" s="39">
        <v>1</v>
      </c>
      <c r="D1349" s="39">
        <v>0</v>
      </c>
      <c r="E1349" s="39">
        <v>0</v>
      </c>
      <c r="F1349" s="39" t="s">
        <v>3013</v>
      </c>
      <c r="G1349" s="39">
        <v>1</v>
      </c>
      <c r="H1349" s="39">
        <v>63800030</v>
      </c>
      <c r="I1349" s="39" t="s">
        <v>186</v>
      </c>
      <c r="J1349" s="39">
        <v>13</v>
      </c>
      <c r="K1349" s="105">
        <v>2530106</v>
      </c>
      <c r="L1349" s="39">
        <v>21</v>
      </c>
      <c r="M1349" s="137" t="s">
        <v>3007</v>
      </c>
      <c r="N1349" s="39" t="s">
        <v>3009</v>
      </c>
      <c r="O1349" s="39" t="s">
        <v>2900</v>
      </c>
    </row>
    <row r="1350" spans="2:15" x14ac:dyDescent="0.3">
      <c r="B1350" s="39">
        <f t="shared" si="108"/>
        <v>63800031</v>
      </c>
      <c r="C1350" s="39">
        <v>1</v>
      </c>
      <c r="D1350" s="39">
        <v>0</v>
      </c>
      <c r="E1350" s="39">
        <v>0</v>
      </c>
      <c r="F1350" s="39" t="s">
        <v>3013</v>
      </c>
      <c r="G1350" s="39">
        <v>1</v>
      </c>
      <c r="H1350" s="39">
        <v>63800031</v>
      </c>
      <c r="I1350" s="39" t="s">
        <v>186</v>
      </c>
      <c r="J1350" s="39">
        <v>13</v>
      </c>
      <c r="K1350" s="105">
        <v>2530107</v>
      </c>
      <c r="L1350" s="39">
        <v>21</v>
      </c>
      <c r="M1350" s="137" t="s">
        <v>3012</v>
      </c>
      <c r="N1350" s="39" t="s">
        <v>3010</v>
      </c>
      <c r="O1350" s="39" t="s">
        <v>2900</v>
      </c>
    </row>
    <row r="1351" spans="2:15" x14ac:dyDescent="0.3">
      <c r="B1351" s="39">
        <f t="shared" si="108"/>
        <v>63800032</v>
      </c>
      <c r="C1351" s="39">
        <v>1</v>
      </c>
      <c r="D1351" s="39">
        <v>0</v>
      </c>
      <c r="E1351" s="39">
        <v>0</v>
      </c>
      <c r="F1351" s="39" t="s">
        <v>3013</v>
      </c>
      <c r="G1351" s="39">
        <v>1</v>
      </c>
      <c r="H1351" s="39">
        <v>63800032</v>
      </c>
      <c r="I1351" s="39" t="s">
        <v>186</v>
      </c>
      <c r="J1351" s="39">
        <v>13</v>
      </c>
      <c r="K1351" s="105">
        <v>2530108</v>
      </c>
      <c r="L1351" s="39">
        <v>21</v>
      </c>
      <c r="M1351" s="137" t="s">
        <v>3008</v>
      </c>
      <c r="N1351" s="39" t="s">
        <v>3011</v>
      </c>
      <c r="O1351" s="39" t="s">
        <v>2900</v>
      </c>
    </row>
    <row r="1352" spans="2:15" x14ac:dyDescent="0.3">
      <c r="B1352" s="39">
        <f t="shared" ref="B1352:B1353" si="109">H1352</f>
        <v>63800033</v>
      </c>
      <c r="C1352" s="39">
        <v>1</v>
      </c>
      <c r="D1352" s="39">
        <v>0</v>
      </c>
      <c r="E1352" s="39">
        <v>0</v>
      </c>
      <c r="F1352" s="39" t="s">
        <v>3013</v>
      </c>
      <c r="G1352" s="39">
        <v>1</v>
      </c>
      <c r="H1352" s="39">
        <v>63800033</v>
      </c>
      <c r="I1352" s="39" t="s">
        <v>186</v>
      </c>
      <c r="J1352" s="39">
        <v>13</v>
      </c>
      <c r="K1352" s="105">
        <v>2530109</v>
      </c>
      <c r="L1352" s="39">
        <v>21</v>
      </c>
      <c r="M1352" s="137" t="s">
        <v>3014</v>
      </c>
      <c r="N1352" s="39" t="s">
        <v>3016</v>
      </c>
      <c r="O1352" s="39" t="s">
        <v>2900</v>
      </c>
    </row>
    <row r="1353" spans="2:15" x14ac:dyDescent="0.3">
      <c r="B1353" s="39">
        <f t="shared" si="109"/>
        <v>63800034</v>
      </c>
      <c r="C1353" s="39">
        <v>1</v>
      </c>
      <c r="D1353" s="39">
        <v>0</v>
      </c>
      <c r="E1353" s="39">
        <v>0</v>
      </c>
      <c r="F1353" s="39" t="s">
        <v>3013</v>
      </c>
      <c r="G1353" s="39">
        <v>1</v>
      </c>
      <c r="H1353" s="39">
        <v>63800034</v>
      </c>
      <c r="I1353" s="39" t="s">
        <v>186</v>
      </c>
      <c r="J1353" s="39">
        <v>13</v>
      </c>
      <c r="K1353" s="105">
        <v>2530110</v>
      </c>
      <c r="L1353" s="39">
        <v>21</v>
      </c>
      <c r="M1353" s="137" t="s">
        <v>3015</v>
      </c>
      <c r="N1353" s="39" t="s">
        <v>3017</v>
      </c>
      <c r="O1353" s="39" t="s">
        <v>2900</v>
      </c>
    </row>
    <row r="1354" spans="2:15" x14ac:dyDescent="0.3">
      <c r="B1354" s="39">
        <f t="shared" ref="B1354:B1355" si="110">H1354</f>
        <v>63800035</v>
      </c>
      <c r="C1354" s="39">
        <v>1</v>
      </c>
      <c r="D1354" s="39">
        <v>0</v>
      </c>
      <c r="E1354" s="39">
        <v>0</v>
      </c>
      <c r="F1354" s="39" t="s">
        <v>3013</v>
      </c>
      <c r="G1354" s="39">
        <v>1</v>
      </c>
      <c r="H1354" s="39">
        <v>63800035</v>
      </c>
      <c r="I1354" s="39" t="s">
        <v>186</v>
      </c>
      <c r="J1354" s="39">
        <v>13</v>
      </c>
      <c r="K1354" s="105">
        <v>2530111</v>
      </c>
      <c r="L1354" s="39">
        <v>21</v>
      </c>
      <c r="M1354" s="137" t="s">
        <v>3026</v>
      </c>
      <c r="N1354" s="39" t="s">
        <v>3024</v>
      </c>
      <c r="O1354" s="39" t="s">
        <v>2900</v>
      </c>
    </row>
    <row r="1355" spans="2:15" x14ac:dyDescent="0.3">
      <c r="B1355" s="39">
        <f t="shared" si="110"/>
        <v>63800036</v>
      </c>
      <c r="C1355" s="39">
        <v>1</v>
      </c>
      <c r="D1355" s="39">
        <v>0</v>
      </c>
      <c r="E1355" s="39">
        <v>0</v>
      </c>
      <c r="F1355" s="39" t="s">
        <v>3013</v>
      </c>
      <c r="G1355" s="39">
        <v>1</v>
      </c>
      <c r="H1355" s="39">
        <v>63800036</v>
      </c>
      <c r="I1355" s="39" t="s">
        <v>186</v>
      </c>
      <c r="J1355" s="39">
        <v>13</v>
      </c>
      <c r="K1355" s="105">
        <v>2530112</v>
      </c>
      <c r="L1355" s="39">
        <v>21</v>
      </c>
      <c r="M1355" s="137" t="s">
        <v>3027</v>
      </c>
      <c r="N1355" s="39" t="s">
        <v>3025</v>
      </c>
      <c r="O1355" s="39" t="s">
        <v>2900</v>
      </c>
    </row>
    <row r="1356" spans="2:15" x14ac:dyDescent="0.3">
      <c r="B1356" s="39">
        <f t="shared" ref="B1356" si="111">H1356</f>
        <v>63800037</v>
      </c>
      <c r="C1356" s="39">
        <v>1</v>
      </c>
      <c r="D1356" s="39">
        <v>0</v>
      </c>
      <c r="E1356" s="39">
        <v>0</v>
      </c>
      <c r="F1356" s="39" t="s">
        <v>3013</v>
      </c>
      <c r="G1356" s="39">
        <v>1</v>
      </c>
      <c r="H1356" s="39">
        <v>63800037</v>
      </c>
      <c r="I1356" s="39" t="s">
        <v>186</v>
      </c>
      <c r="J1356" s="39">
        <v>13</v>
      </c>
      <c r="K1356" s="105">
        <v>2530113</v>
      </c>
      <c r="L1356" s="39">
        <v>21</v>
      </c>
      <c r="M1356" s="137" t="s">
        <v>3029</v>
      </c>
      <c r="N1356" s="39" t="s">
        <v>3028</v>
      </c>
      <c r="O1356" s="39" t="s">
        <v>2900</v>
      </c>
    </row>
    <row r="1357" spans="2:15" x14ac:dyDescent="0.3">
      <c r="B1357" s="39">
        <f t="shared" ref="B1357" si="112">H1357</f>
        <v>63800038</v>
      </c>
      <c r="C1357" s="39">
        <v>1</v>
      </c>
      <c r="D1357" s="39">
        <v>0</v>
      </c>
      <c r="E1357" s="39">
        <v>0</v>
      </c>
      <c r="F1357" s="39" t="s">
        <v>3038</v>
      </c>
      <c r="G1357" s="39">
        <v>1</v>
      </c>
      <c r="H1357" s="39">
        <v>63800038</v>
      </c>
      <c r="I1357" s="39" t="s">
        <v>186</v>
      </c>
      <c r="J1357" s="39">
        <v>13</v>
      </c>
      <c r="K1357" s="105">
        <v>2530114</v>
      </c>
      <c r="L1357" s="39">
        <v>21</v>
      </c>
      <c r="M1357" s="137" t="s">
        <v>3040</v>
      </c>
      <c r="N1357" s="39" t="s">
        <v>3039</v>
      </c>
      <c r="O1357" s="39" t="s">
        <v>2900</v>
      </c>
    </row>
    <row r="1358" spans="2:15" ht="12.75" thickBot="1" x14ac:dyDescent="0.35">
      <c r="B1358" s="39">
        <f t="shared" ref="B1358" si="113">H1358</f>
        <v>63800043</v>
      </c>
      <c r="C1358" s="39">
        <v>1</v>
      </c>
      <c r="D1358" s="39">
        <v>0</v>
      </c>
      <c r="E1358" s="39">
        <v>0</v>
      </c>
      <c r="F1358" s="39" t="s">
        <v>3070</v>
      </c>
      <c r="G1358" s="39">
        <v>1</v>
      </c>
      <c r="H1358" s="39">
        <v>63800043</v>
      </c>
      <c r="I1358" s="39" t="s">
        <v>186</v>
      </c>
      <c r="J1358" s="39">
        <v>13</v>
      </c>
      <c r="K1358" s="105">
        <v>2530116</v>
      </c>
      <c r="L1358" s="39">
        <v>21</v>
      </c>
      <c r="M1358" s="137" t="s">
        <v>3138</v>
      </c>
      <c r="N1358" s="39" t="s">
        <v>3137</v>
      </c>
      <c r="O1358" s="39" t="s">
        <v>3136</v>
      </c>
    </row>
    <row r="1359" spans="2:15" ht="24.75" thickTop="1" x14ac:dyDescent="0.3">
      <c r="B1359" s="138">
        <v>26000035</v>
      </c>
      <c r="C1359" s="139">
        <v>1</v>
      </c>
      <c r="D1359" s="139"/>
      <c r="E1359" s="139"/>
      <c r="F1359" s="139"/>
      <c r="G1359" s="139">
        <v>1</v>
      </c>
      <c r="H1359" s="138">
        <v>26000035</v>
      </c>
      <c r="I1359" s="138" t="s">
        <v>186</v>
      </c>
      <c r="J1359" s="138">
        <v>21</v>
      </c>
      <c r="K1359" s="140">
        <v>1085003</v>
      </c>
      <c r="L1359" s="138">
        <v>21</v>
      </c>
      <c r="M1359" s="315" t="s">
        <v>3227</v>
      </c>
      <c r="N1359" s="138" t="s">
        <v>2924</v>
      </c>
      <c r="O1359" s="316" t="s">
        <v>3228</v>
      </c>
    </row>
    <row r="1360" spans="2:15" x14ac:dyDescent="0.3">
      <c r="B1360" s="141">
        <v>45000056</v>
      </c>
      <c r="C1360" s="142">
        <v>1</v>
      </c>
      <c r="D1360" s="142"/>
      <c r="E1360" s="142"/>
      <c r="F1360" s="142"/>
      <c r="G1360" s="142">
        <v>1</v>
      </c>
      <c r="H1360" s="141">
        <v>45000056</v>
      </c>
      <c r="I1360" s="141" t="s">
        <v>186</v>
      </c>
      <c r="J1360" s="141">
        <v>21</v>
      </c>
      <c r="K1360" s="143">
        <v>1085007</v>
      </c>
      <c r="L1360" s="141">
        <v>21</v>
      </c>
      <c r="M1360" s="144" t="s">
        <v>2925</v>
      </c>
      <c r="N1360" s="141" t="s">
        <v>2926</v>
      </c>
      <c r="O1360" s="141" t="s">
        <v>2927</v>
      </c>
    </row>
    <row r="1361" spans="2:15" x14ac:dyDescent="0.3">
      <c r="B1361" s="141">
        <v>45000057</v>
      </c>
      <c r="C1361" s="142">
        <v>1</v>
      </c>
      <c r="D1361" s="142"/>
      <c r="E1361" s="142"/>
      <c r="F1361" s="142"/>
      <c r="G1361" s="142">
        <v>1</v>
      </c>
      <c r="H1361" s="141">
        <v>45000057</v>
      </c>
      <c r="I1361" s="141" t="s">
        <v>186</v>
      </c>
      <c r="J1361" s="141">
        <v>21</v>
      </c>
      <c r="K1361" s="143">
        <v>1085006</v>
      </c>
      <c r="L1361" s="141">
        <v>21</v>
      </c>
      <c r="M1361" s="144" t="s">
        <v>2928</v>
      </c>
      <c r="N1361" s="141" t="s">
        <v>2929</v>
      </c>
      <c r="O1361" s="141" t="s">
        <v>2930</v>
      </c>
    </row>
    <row r="1362" spans="2:15" x14ac:dyDescent="0.3">
      <c r="B1362" s="141">
        <v>45000058</v>
      </c>
      <c r="C1362" s="142">
        <v>1</v>
      </c>
      <c r="D1362" s="142"/>
      <c r="E1362" s="142"/>
      <c r="F1362" s="142"/>
      <c r="G1362" s="142">
        <v>1</v>
      </c>
      <c r="H1362" s="141">
        <v>45000058</v>
      </c>
      <c r="I1362" s="141" t="s">
        <v>186</v>
      </c>
      <c r="J1362" s="141">
        <v>21</v>
      </c>
      <c r="K1362" s="143">
        <v>1085008</v>
      </c>
      <c r="L1362" s="141">
        <v>21</v>
      </c>
      <c r="M1362" s="141" t="s">
        <v>2931</v>
      </c>
      <c r="N1362" s="141" t="s">
        <v>2932</v>
      </c>
      <c r="O1362" s="141" t="s">
        <v>2933</v>
      </c>
    </row>
    <row r="1363" spans="2:15" x14ac:dyDescent="0.3">
      <c r="B1363" s="141">
        <v>45000059</v>
      </c>
      <c r="C1363" s="142">
        <v>1</v>
      </c>
      <c r="D1363" s="142"/>
      <c r="E1363" s="142"/>
      <c r="F1363" s="142"/>
      <c r="G1363" s="142">
        <v>1</v>
      </c>
      <c r="H1363" s="141">
        <v>45000059</v>
      </c>
      <c r="I1363" s="141" t="s">
        <v>186</v>
      </c>
      <c r="J1363" s="141">
        <v>21</v>
      </c>
      <c r="K1363" s="143">
        <v>1085009</v>
      </c>
      <c r="L1363" s="141">
        <v>21</v>
      </c>
      <c r="M1363" s="141" t="s">
        <v>2934</v>
      </c>
      <c r="N1363" s="141" t="s">
        <v>2935</v>
      </c>
      <c r="O1363" s="141" t="s">
        <v>2936</v>
      </c>
    </row>
    <row r="1364" spans="2:15" x14ac:dyDescent="0.3">
      <c r="B1364" s="141">
        <v>45000060</v>
      </c>
      <c r="C1364" s="142">
        <v>1</v>
      </c>
      <c r="D1364" s="142"/>
      <c r="E1364" s="142"/>
      <c r="F1364" s="142"/>
      <c r="G1364" s="142">
        <v>1</v>
      </c>
      <c r="H1364" s="141">
        <v>45000060</v>
      </c>
      <c r="I1364" s="141" t="s">
        <v>186</v>
      </c>
      <c r="J1364" s="141">
        <v>21</v>
      </c>
      <c r="K1364" s="143">
        <v>1085011</v>
      </c>
      <c r="L1364" s="141">
        <v>21</v>
      </c>
      <c r="M1364" s="141" t="s">
        <v>2937</v>
      </c>
      <c r="N1364" s="141" t="s">
        <v>2938</v>
      </c>
      <c r="O1364" s="141" t="s">
        <v>2939</v>
      </c>
    </row>
    <row r="1365" spans="2:15" x14ac:dyDescent="0.3">
      <c r="B1365" s="141">
        <v>45000061</v>
      </c>
      <c r="C1365" s="142">
        <v>1</v>
      </c>
      <c r="D1365" s="142"/>
      <c r="E1365" s="142"/>
      <c r="F1365" s="142"/>
      <c r="G1365" s="142">
        <v>1</v>
      </c>
      <c r="H1365" s="141">
        <v>45000061</v>
      </c>
      <c r="I1365" s="141" t="s">
        <v>186</v>
      </c>
      <c r="J1365" s="141">
        <v>21</v>
      </c>
      <c r="K1365" s="143">
        <v>1085010</v>
      </c>
      <c r="L1365" s="141">
        <v>21</v>
      </c>
      <c r="M1365" s="141" t="s">
        <v>2940</v>
      </c>
      <c r="N1365" s="141" t="s">
        <v>2941</v>
      </c>
      <c r="O1365" s="141" t="s">
        <v>2942</v>
      </c>
    </row>
    <row r="1366" spans="2:15" x14ac:dyDescent="0.3">
      <c r="B1366" s="141">
        <v>45190046</v>
      </c>
      <c r="C1366" s="142">
        <v>1</v>
      </c>
      <c r="D1366" s="142"/>
      <c r="E1366" s="142"/>
      <c r="F1366" s="142"/>
      <c r="G1366" s="142">
        <v>1</v>
      </c>
      <c r="H1366" s="141">
        <v>45190046</v>
      </c>
      <c r="I1366" s="141" t="s">
        <v>186</v>
      </c>
      <c r="J1366" s="141">
        <v>21</v>
      </c>
      <c r="K1366" s="143">
        <v>1085012</v>
      </c>
      <c r="L1366" s="141">
        <v>21</v>
      </c>
      <c r="M1366" s="141" t="s">
        <v>2943</v>
      </c>
      <c r="N1366" s="141" t="s">
        <v>2944</v>
      </c>
      <c r="O1366" s="141" t="s">
        <v>2945</v>
      </c>
    </row>
    <row r="1367" spans="2:15" x14ac:dyDescent="0.3">
      <c r="B1367" s="141">
        <f>H1367</f>
        <v>45190047</v>
      </c>
      <c r="C1367" s="142">
        <v>1</v>
      </c>
      <c r="D1367" s="142"/>
      <c r="E1367" s="142"/>
      <c r="F1367" s="142"/>
      <c r="G1367" s="142">
        <v>1</v>
      </c>
      <c r="H1367" s="141">
        <v>45190047</v>
      </c>
      <c r="I1367" s="141" t="s">
        <v>186</v>
      </c>
      <c r="J1367" s="141">
        <v>21</v>
      </c>
      <c r="K1367" s="132">
        <v>1071551</v>
      </c>
      <c r="L1367" s="141">
        <v>21</v>
      </c>
      <c r="M1367" s="141" t="s">
        <v>3351</v>
      </c>
      <c r="N1367" s="141" t="s">
        <v>3352</v>
      </c>
      <c r="O1367" s="141" t="s">
        <v>3353</v>
      </c>
    </row>
    <row r="1368" spans="2:15" x14ac:dyDescent="0.3">
      <c r="B1368" s="141">
        <v>50000020</v>
      </c>
      <c r="C1368" s="142">
        <v>1</v>
      </c>
      <c r="D1368" s="142"/>
      <c r="E1368" s="142"/>
      <c r="F1368" s="142"/>
      <c r="G1368" s="142">
        <v>1</v>
      </c>
      <c r="H1368" s="141">
        <v>50000020</v>
      </c>
      <c r="I1368" s="141" t="s">
        <v>186</v>
      </c>
      <c r="J1368" s="141">
        <v>21</v>
      </c>
      <c r="K1368" s="143">
        <v>1045031</v>
      </c>
      <c r="L1368" s="141">
        <v>21</v>
      </c>
      <c r="M1368" s="141" t="s">
        <v>2946</v>
      </c>
      <c r="N1368" s="141" t="s">
        <v>2947</v>
      </c>
      <c r="O1368" s="141" t="s">
        <v>2948</v>
      </c>
    </row>
    <row r="1369" spans="2:15" x14ac:dyDescent="0.3">
      <c r="B1369" s="141">
        <v>50000021</v>
      </c>
      <c r="C1369" s="142">
        <v>1</v>
      </c>
      <c r="D1369" s="142"/>
      <c r="E1369" s="142"/>
      <c r="F1369" s="142"/>
      <c r="G1369" s="142">
        <v>1</v>
      </c>
      <c r="H1369" s="141">
        <v>50000021</v>
      </c>
      <c r="I1369" s="141" t="s">
        <v>186</v>
      </c>
      <c r="J1369" s="141">
        <v>21</v>
      </c>
      <c r="K1369" s="143">
        <v>1400619</v>
      </c>
      <c r="L1369" s="141">
        <v>21</v>
      </c>
      <c r="M1369" s="141" t="s">
        <v>3221</v>
      </c>
      <c r="N1369" s="141" t="s">
        <v>3222</v>
      </c>
      <c r="O1369" s="141" t="s">
        <v>3223</v>
      </c>
    </row>
    <row r="1370" spans="2:15" x14ac:dyDescent="0.3">
      <c r="B1370" s="141">
        <v>50000022</v>
      </c>
      <c r="C1370" s="142">
        <v>1</v>
      </c>
      <c r="D1370" s="142"/>
      <c r="E1370" s="142"/>
      <c r="F1370" s="142"/>
      <c r="G1370" s="142">
        <v>1</v>
      </c>
      <c r="H1370" s="141">
        <v>50000022</v>
      </c>
      <c r="I1370" s="141" t="s">
        <v>186</v>
      </c>
      <c r="J1370" s="141">
        <v>21</v>
      </c>
      <c r="K1370" s="143">
        <v>1400620</v>
      </c>
      <c r="L1370" s="141">
        <v>21</v>
      </c>
      <c r="M1370" s="141" t="s">
        <v>3224</v>
      </c>
      <c r="N1370" s="141" t="s">
        <v>3225</v>
      </c>
      <c r="O1370" s="141" t="s">
        <v>3226</v>
      </c>
    </row>
    <row r="1371" spans="2:15" x14ac:dyDescent="0.3">
      <c r="B1371" s="141">
        <v>63900001</v>
      </c>
      <c r="C1371" s="142">
        <v>1</v>
      </c>
      <c r="D1371" s="142"/>
      <c r="E1371" s="142"/>
      <c r="F1371" s="142"/>
      <c r="G1371" s="142">
        <v>1</v>
      </c>
      <c r="H1371" s="141">
        <v>63900001</v>
      </c>
      <c r="I1371" s="141" t="s">
        <v>186</v>
      </c>
      <c r="J1371" s="141">
        <v>21</v>
      </c>
      <c r="K1371" s="143">
        <v>1085044</v>
      </c>
      <c r="L1371" s="141">
        <v>21</v>
      </c>
      <c r="M1371" s="141" t="s">
        <v>2949</v>
      </c>
      <c r="N1371" s="141" t="s">
        <v>2950</v>
      </c>
      <c r="O1371" s="141" t="s">
        <v>2951</v>
      </c>
    </row>
    <row r="1372" spans="2:15" x14ac:dyDescent="0.3">
      <c r="B1372" s="141">
        <v>63900002</v>
      </c>
      <c r="C1372" s="142">
        <v>1</v>
      </c>
      <c r="D1372" s="142"/>
      <c r="E1372" s="142"/>
      <c r="F1372" s="142"/>
      <c r="G1372" s="142">
        <v>1</v>
      </c>
      <c r="H1372" s="141">
        <v>63900002</v>
      </c>
      <c r="I1372" s="141" t="s">
        <v>186</v>
      </c>
      <c r="J1372" s="141">
        <v>21</v>
      </c>
      <c r="K1372" s="143">
        <v>1085045</v>
      </c>
      <c r="L1372" s="141">
        <v>21</v>
      </c>
      <c r="M1372" s="141" t="s">
        <v>2952</v>
      </c>
      <c r="N1372" s="141" t="s">
        <v>2953</v>
      </c>
      <c r="O1372" s="141" t="s">
        <v>2954</v>
      </c>
    </row>
    <row r="1373" spans="2:15" x14ac:dyDescent="0.3">
      <c r="B1373" s="141">
        <v>63900003</v>
      </c>
      <c r="C1373" s="142">
        <v>1</v>
      </c>
      <c r="D1373" s="142"/>
      <c r="E1373" s="142"/>
      <c r="F1373" s="142"/>
      <c r="G1373" s="142">
        <v>1</v>
      </c>
      <c r="H1373" s="141">
        <v>63900003</v>
      </c>
      <c r="I1373" s="141" t="s">
        <v>186</v>
      </c>
      <c r="J1373" s="141">
        <v>21</v>
      </c>
      <c r="K1373" s="143">
        <v>1085046</v>
      </c>
      <c r="L1373" s="141">
        <v>21</v>
      </c>
      <c r="M1373" s="141" t="s">
        <v>2955</v>
      </c>
      <c r="N1373" s="141" t="s">
        <v>2956</v>
      </c>
      <c r="O1373" s="141" t="s">
        <v>2957</v>
      </c>
    </row>
    <row r="1374" spans="2:15" x14ac:dyDescent="0.3">
      <c r="B1374" s="141">
        <v>63900004</v>
      </c>
      <c r="C1374" s="142">
        <v>1</v>
      </c>
      <c r="D1374" s="142"/>
      <c r="E1374" s="142"/>
      <c r="F1374" s="142"/>
      <c r="G1374" s="142">
        <v>1</v>
      </c>
      <c r="H1374" s="141">
        <v>63900004</v>
      </c>
      <c r="I1374" s="141" t="s">
        <v>186</v>
      </c>
      <c r="J1374" s="141">
        <v>21</v>
      </c>
      <c r="K1374" s="143">
        <v>1085048</v>
      </c>
      <c r="L1374" s="141">
        <v>21</v>
      </c>
      <c r="M1374" s="141" t="s">
        <v>2958</v>
      </c>
      <c r="N1374" s="141" t="s">
        <v>2959</v>
      </c>
      <c r="O1374" s="141" t="s">
        <v>2960</v>
      </c>
    </row>
    <row r="1375" spans="2:15" x14ac:dyDescent="0.3">
      <c r="B1375" s="141">
        <v>63900005</v>
      </c>
      <c r="C1375" s="142">
        <v>1</v>
      </c>
      <c r="D1375" s="142"/>
      <c r="E1375" s="142"/>
      <c r="F1375" s="142"/>
      <c r="G1375" s="142">
        <v>1</v>
      </c>
      <c r="H1375" s="141">
        <v>63900005</v>
      </c>
      <c r="I1375" s="141" t="s">
        <v>186</v>
      </c>
      <c r="J1375" s="141">
        <v>21</v>
      </c>
      <c r="K1375" s="143">
        <v>1085028</v>
      </c>
      <c r="L1375" s="141">
        <v>21</v>
      </c>
      <c r="M1375" s="141" t="s">
        <v>2961</v>
      </c>
      <c r="N1375" s="141" t="s">
        <v>2962</v>
      </c>
      <c r="O1375" s="141" t="s">
        <v>2963</v>
      </c>
    </row>
    <row r="1376" spans="2:15" x14ac:dyDescent="0.3">
      <c r="B1376" s="141">
        <v>63900006</v>
      </c>
      <c r="C1376" s="142">
        <v>1</v>
      </c>
      <c r="D1376" s="142"/>
      <c r="E1376" s="142"/>
      <c r="F1376" s="142"/>
      <c r="G1376" s="142">
        <v>1</v>
      </c>
      <c r="H1376" s="141">
        <v>63900006</v>
      </c>
      <c r="I1376" s="141" t="s">
        <v>186</v>
      </c>
      <c r="J1376" s="141">
        <v>21</v>
      </c>
      <c r="K1376" s="143">
        <v>1085047</v>
      </c>
      <c r="L1376" s="141">
        <v>21</v>
      </c>
      <c r="M1376" s="141" t="s">
        <v>2964</v>
      </c>
      <c r="N1376" s="141" t="s">
        <v>2965</v>
      </c>
      <c r="O1376" s="141" t="s">
        <v>2966</v>
      </c>
    </row>
    <row r="1377" spans="2:15" x14ac:dyDescent="0.3">
      <c r="B1377" s="141">
        <v>63900007</v>
      </c>
      <c r="C1377" s="142">
        <v>1</v>
      </c>
      <c r="D1377" s="142"/>
      <c r="E1377" s="142"/>
      <c r="F1377" s="142"/>
      <c r="G1377" s="142">
        <v>1</v>
      </c>
      <c r="H1377" s="141">
        <v>63900007</v>
      </c>
      <c r="I1377" s="141" t="s">
        <v>186</v>
      </c>
      <c r="J1377" s="141">
        <v>21</v>
      </c>
      <c r="K1377" s="143">
        <v>1085049</v>
      </c>
      <c r="L1377" s="141">
        <v>21</v>
      </c>
      <c r="M1377" s="141" t="s">
        <v>2967</v>
      </c>
      <c r="N1377" s="141" t="s">
        <v>2968</v>
      </c>
      <c r="O1377" s="141" t="s">
        <v>2969</v>
      </c>
    </row>
    <row r="1378" spans="2:15" x14ac:dyDescent="0.3">
      <c r="B1378" s="141">
        <v>63900008</v>
      </c>
      <c r="C1378" s="142">
        <v>1</v>
      </c>
      <c r="D1378" s="142"/>
      <c r="E1378" s="142"/>
      <c r="F1378" s="142"/>
      <c r="G1378" s="142">
        <v>1</v>
      </c>
      <c r="H1378" s="141">
        <v>63900008</v>
      </c>
      <c r="I1378" s="141" t="s">
        <v>186</v>
      </c>
      <c r="J1378" s="141">
        <v>21</v>
      </c>
      <c r="K1378" s="143">
        <v>1085050</v>
      </c>
      <c r="L1378" s="141">
        <v>21</v>
      </c>
      <c r="M1378" s="141" t="s">
        <v>2970</v>
      </c>
      <c r="N1378" s="141" t="s">
        <v>2971</v>
      </c>
      <c r="O1378" s="141" t="s">
        <v>2972</v>
      </c>
    </row>
    <row r="1379" spans="2:15" x14ac:dyDescent="0.3">
      <c r="B1379" s="141">
        <v>63900009</v>
      </c>
      <c r="C1379" s="142">
        <v>1</v>
      </c>
      <c r="D1379" s="142"/>
      <c r="E1379" s="142"/>
      <c r="F1379" s="142"/>
      <c r="G1379" s="142">
        <v>1</v>
      </c>
      <c r="H1379" s="141">
        <v>63900009</v>
      </c>
      <c r="I1379" s="141" t="s">
        <v>186</v>
      </c>
      <c r="J1379" s="141">
        <v>21</v>
      </c>
      <c r="K1379" s="143">
        <v>1085051</v>
      </c>
      <c r="L1379" s="141">
        <v>21</v>
      </c>
      <c r="M1379" s="141" t="s">
        <v>2973</v>
      </c>
      <c r="N1379" s="141" t="s">
        <v>2974</v>
      </c>
      <c r="O1379" s="141" t="s">
        <v>2975</v>
      </c>
    </row>
    <row r="1380" spans="2:15" x14ac:dyDescent="0.3">
      <c r="B1380" s="141">
        <v>63900010</v>
      </c>
      <c r="C1380" s="142">
        <v>1</v>
      </c>
      <c r="D1380" s="142"/>
      <c r="E1380" s="142"/>
      <c r="F1380" s="142"/>
      <c r="G1380" s="142">
        <v>1</v>
      </c>
      <c r="H1380" s="141">
        <v>63900010</v>
      </c>
      <c r="I1380" s="141" t="s">
        <v>186</v>
      </c>
      <c r="J1380" s="141">
        <v>21</v>
      </c>
      <c r="K1380" s="143">
        <v>1085050</v>
      </c>
      <c r="L1380" s="141">
        <v>21</v>
      </c>
      <c r="M1380" s="141" t="s">
        <v>2970</v>
      </c>
      <c r="N1380" s="141" t="s">
        <v>2976</v>
      </c>
      <c r="O1380" s="141" t="s">
        <v>2977</v>
      </c>
    </row>
    <row r="1381" spans="2:15" x14ac:dyDescent="0.3">
      <c r="B1381" s="141">
        <v>63900011</v>
      </c>
      <c r="C1381" s="142">
        <v>1</v>
      </c>
      <c r="D1381" s="142"/>
      <c r="E1381" s="142"/>
      <c r="F1381" s="142"/>
      <c r="G1381" s="142">
        <v>1</v>
      </c>
      <c r="H1381" s="141">
        <v>63900011</v>
      </c>
      <c r="I1381" s="141" t="s">
        <v>186</v>
      </c>
      <c r="J1381" s="141">
        <v>21</v>
      </c>
      <c r="K1381" s="143">
        <v>1085052</v>
      </c>
      <c r="L1381" s="141">
        <v>21</v>
      </c>
      <c r="M1381" s="141" t="s">
        <v>2508</v>
      </c>
      <c r="N1381" s="141" t="s">
        <v>2978</v>
      </c>
      <c r="O1381" s="141" t="s">
        <v>2979</v>
      </c>
    </row>
    <row r="1382" spans="2:15" x14ac:dyDescent="0.3">
      <c r="B1382" s="141">
        <v>63900012</v>
      </c>
      <c r="C1382" s="142">
        <v>1</v>
      </c>
      <c r="D1382" s="142"/>
      <c r="E1382" s="142"/>
      <c r="F1382" s="142"/>
      <c r="G1382" s="142">
        <v>1</v>
      </c>
      <c r="H1382" s="141">
        <v>63900012</v>
      </c>
      <c r="I1382" s="141" t="s">
        <v>186</v>
      </c>
      <c r="J1382" s="141">
        <v>21</v>
      </c>
      <c r="K1382" s="143">
        <v>1085053</v>
      </c>
      <c r="L1382" s="141">
        <v>21</v>
      </c>
      <c r="M1382" s="141" t="s">
        <v>2980</v>
      </c>
      <c r="N1382" s="141" t="s">
        <v>2981</v>
      </c>
      <c r="O1382" s="141" t="s">
        <v>2982</v>
      </c>
    </row>
    <row r="1383" spans="2:15" x14ac:dyDescent="0.3">
      <c r="B1383" s="141">
        <v>63900013</v>
      </c>
      <c r="C1383" s="142">
        <v>1</v>
      </c>
      <c r="D1383" s="142"/>
      <c r="E1383" s="142"/>
      <c r="F1383" s="142"/>
      <c r="G1383" s="142">
        <v>1</v>
      </c>
      <c r="H1383" s="141">
        <v>63900013</v>
      </c>
      <c r="I1383" s="141" t="s">
        <v>186</v>
      </c>
      <c r="J1383" s="141">
        <v>21</v>
      </c>
      <c r="K1383" s="143">
        <v>1085054</v>
      </c>
      <c r="L1383" s="141">
        <v>21</v>
      </c>
      <c r="M1383" s="141" t="s">
        <v>2983</v>
      </c>
      <c r="N1383" s="141" t="s">
        <v>2984</v>
      </c>
      <c r="O1383" s="141" t="s">
        <v>2985</v>
      </c>
    </row>
    <row r="1384" spans="2:15" ht="12.75" thickBot="1" x14ac:dyDescent="0.35">
      <c r="B1384" s="145">
        <v>63900014</v>
      </c>
      <c r="C1384" s="146">
        <v>1</v>
      </c>
      <c r="D1384" s="146"/>
      <c r="E1384" s="146"/>
      <c r="F1384" s="146"/>
      <c r="G1384" s="146">
        <v>1</v>
      </c>
      <c r="H1384" s="145">
        <v>63900014</v>
      </c>
      <c r="I1384" s="145" t="s">
        <v>186</v>
      </c>
      <c r="J1384" s="145">
        <v>21</v>
      </c>
      <c r="K1384" s="147">
        <v>1085055</v>
      </c>
      <c r="L1384" s="145">
        <v>21</v>
      </c>
      <c r="M1384" s="145" t="s">
        <v>2986</v>
      </c>
      <c r="N1384" s="145" t="s">
        <v>2987</v>
      </c>
      <c r="O1384" s="145" t="s">
        <v>2988</v>
      </c>
    </row>
    <row r="1385" spans="2:15" ht="12.75" thickTop="1" x14ac:dyDescent="0.3">
      <c r="B1385" s="50">
        <f t="shared" ref="B1385:B1399" si="114">H1385</f>
        <v>64000003</v>
      </c>
      <c r="C1385" s="314">
        <v>1</v>
      </c>
      <c r="D1385" s="314" t="s">
        <v>3957</v>
      </c>
      <c r="E1385" s="314"/>
      <c r="F1385" s="314" t="s">
        <v>3958</v>
      </c>
      <c r="G1385" s="314">
        <v>1</v>
      </c>
      <c r="H1385" s="50">
        <v>64000003</v>
      </c>
      <c r="I1385" s="227" t="s">
        <v>186</v>
      </c>
      <c r="J1385" s="227">
        <v>21</v>
      </c>
      <c r="K1385" s="105">
        <v>1290133</v>
      </c>
      <c r="L1385" s="227">
        <v>21</v>
      </c>
      <c r="M1385" s="137" t="s">
        <v>3928</v>
      </c>
      <c r="N1385" s="50" t="s">
        <v>3929</v>
      </c>
      <c r="O1385" s="50" t="s">
        <v>3930</v>
      </c>
    </row>
    <row r="1386" spans="2:15" x14ac:dyDescent="0.3">
      <c r="B1386" s="50">
        <f t="shared" si="114"/>
        <v>64000004</v>
      </c>
      <c r="C1386" s="314">
        <v>1</v>
      </c>
      <c r="D1386" s="314" t="s">
        <v>3957</v>
      </c>
      <c r="E1386" s="314"/>
      <c r="F1386" s="314" t="s">
        <v>3958</v>
      </c>
      <c r="G1386" s="314">
        <v>1</v>
      </c>
      <c r="H1386" s="50">
        <v>64000004</v>
      </c>
      <c r="I1386" s="141" t="s">
        <v>186</v>
      </c>
      <c r="J1386" s="141">
        <v>21</v>
      </c>
      <c r="K1386" s="105">
        <v>1290134</v>
      </c>
      <c r="L1386" s="141">
        <v>21</v>
      </c>
      <c r="M1386" s="434" t="s">
        <v>3931</v>
      </c>
      <c r="N1386" s="50" t="s">
        <v>3932</v>
      </c>
      <c r="O1386" s="50" t="s">
        <v>3930</v>
      </c>
    </row>
    <row r="1387" spans="2:15" x14ac:dyDescent="0.3">
      <c r="B1387" s="50">
        <f t="shared" si="114"/>
        <v>64000005</v>
      </c>
      <c r="C1387" s="314">
        <v>1</v>
      </c>
      <c r="D1387" s="314" t="s">
        <v>3957</v>
      </c>
      <c r="E1387" s="314"/>
      <c r="F1387" s="314" t="s">
        <v>3958</v>
      </c>
      <c r="G1387" s="314">
        <v>1</v>
      </c>
      <c r="H1387" s="50">
        <v>64000005</v>
      </c>
      <c r="I1387" s="141" t="s">
        <v>186</v>
      </c>
      <c r="J1387" s="141">
        <v>21</v>
      </c>
      <c r="K1387" s="105">
        <v>1290135</v>
      </c>
      <c r="L1387" s="141">
        <v>21</v>
      </c>
      <c r="M1387" s="434" t="s">
        <v>3933</v>
      </c>
      <c r="N1387" s="50" t="s">
        <v>3934</v>
      </c>
      <c r="O1387" s="50" t="s">
        <v>3930</v>
      </c>
    </row>
    <row r="1388" spans="2:15" x14ac:dyDescent="0.3">
      <c r="B1388" s="50">
        <f t="shared" si="114"/>
        <v>64000006</v>
      </c>
      <c r="C1388" s="314">
        <v>1</v>
      </c>
      <c r="D1388" s="314" t="s">
        <v>3957</v>
      </c>
      <c r="E1388" s="314"/>
      <c r="F1388" s="314" t="s">
        <v>3958</v>
      </c>
      <c r="G1388" s="314">
        <v>1</v>
      </c>
      <c r="H1388" s="50">
        <v>64000006</v>
      </c>
      <c r="I1388" s="141" t="s">
        <v>186</v>
      </c>
      <c r="J1388" s="141">
        <v>21</v>
      </c>
      <c r="K1388" s="105">
        <v>1290136</v>
      </c>
      <c r="L1388" s="141">
        <v>21</v>
      </c>
      <c r="M1388" s="434" t="s">
        <v>3935</v>
      </c>
      <c r="N1388" s="50" t="s">
        <v>3936</v>
      </c>
      <c r="O1388" s="50" t="s">
        <v>3930</v>
      </c>
    </row>
    <row r="1389" spans="2:15" x14ac:dyDescent="0.3">
      <c r="B1389" s="50">
        <f t="shared" si="114"/>
        <v>64000007</v>
      </c>
      <c r="C1389" s="314">
        <v>1</v>
      </c>
      <c r="D1389" s="314" t="s">
        <v>3957</v>
      </c>
      <c r="E1389" s="314"/>
      <c r="F1389" s="314" t="s">
        <v>3958</v>
      </c>
      <c r="G1389" s="314">
        <v>1</v>
      </c>
      <c r="H1389" s="50">
        <v>64000007</v>
      </c>
      <c r="I1389" s="141" t="s">
        <v>186</v>
      </c>
      <c r="J1389" s="141">
        <v>21</v>
      </c>
      <c r="K1389" s="105">
        <v>1290137</v>
      </c>
      <c r="L1389" s="141">
        <v>21</v>
      </c>
      <c r="M1389" s="434" t="s">
        <v>3937</v>
      </c>
      <c r="N1389" s="50" t="s">
        <v>3938</v>
      </c>
      <c r="O1389" s="50" t="s">
        <v>3930</v>
      </c>
    </row>
    <row r="1390" spans="2:15" x14ac:dyDescent="0.3">
      <c r="B1390" s="50">
        <f t="shared" si="114"/>
        <v>64000008</v>
      </c>
      <c r="C1390" s="314">
        <v>1</v>
      </c>
      <c r="D1390" s="314" t="s">
        <v>3957</v>
      </c>
      <c r="E1390" s="314"/>
      <c r="F1390" s="314" t="s">
        <v>3958</v>
      </c>
      <c r="G1390" s="314">
        <v>1</v>
      </c>
      <c r="H1390" s="50">
        <v>64000008</v>
      </c>
      <c r="I1390" s="141" t="s">
        <v>186</v>
      </c>
      <c r="J1390" s="141">
        <v>21</v>
      </c>
      <c r="K1390" s="105">
        <v>1290138</v>
      </c>
      <c r="L1390" s="141">
        <v>21</v>
      </c>
      <c r="M1390" s="434" t="s">
        <v>3939</v>
      </c>
      <c r="N1390" s="50" t="s">
        <v>3940</v>
      </c>
      <c r="O1390" s="50" t="s">
        <v>3930</v>
      </c>
    </row>
    <row r="1391" spans="2:15" x14ac:dyDescent="0.3">
      <c r="B1391" s="50">
        <f t="shared" si="114"/>
        <v>64000009</v>
      </c>
      <c r="C1391" s="314">
        <v>1</v>
      </c>
      <c r="D1391" s="314" t="s">
        <v>3957</v>
      </c>
      <c r="E1391" s="314"/>
      <c r="F1391" s="314" t="s">
        <v>3958</v>
      </c>
      <c r="G1391" s="314">
        <v>1</v>
      </c>
      <c r="H1391" s="50">
        <v>64000009</v>
      </c>
      <c r="I1391" s="141" t="s">
        <v>186</v>
      </c>
      <c r="J1391" s="141">
        <v>21</v>
      </c>
      <c r="K1391" s="105">
        <v>1290139</v>
      </c>
      <c r="L1391" s="141">
        <v>21</v>
      </c>
      <c r="M1391" s="434" t="s">
        <v>3941</v>
      </c>
      <c r="N1391" s="50" t="s">
        <v>3942</v>
      </c>
      <c r="O1391" s="50" t="s">
        <v>3930</v>
      </c>
    </row>
    <row r="1392" spans="2:15" x14ac:dyDescent="0.3">
      <c r="B1392" s="50">
        <f t="shared" si="114"/>
        <v>64000010</v>
      </c>
      <c r="C1392" s="314">
        <v>1</v>
      </c>
      <c r="D1392" s="314" t="s">
        <v>3957</v>
      </c>
      <c r="E1392" s="314"/>
      <c r="F1392" s="314" t="s">
        <v>3958</v>
      </c>
      <c r="G1392" s="314">
        <v>1</v>
      </c>
      <c r="H1392" s="50">
        <v>64000010</v>
      </c>
      <c r="I1392" s="141" t="s">
        <v>186</v>
      </c>
      <c r="J1392" s="141">
        <v>21</v>
      </c>
      <c r="K1392" s="105">
        <v>1290140</v>
      </c>
      <c r="L1392" s="141">
        <v>21</v>
      </c>
      <c r="M1392" s="434" t="s">
        <v>3943</v>
      </c>
      <c r="N1392" s="50" t="s">
        <v>3944</v>
      </c>
      <c r="O1392" s="50" t="s">
        <v>3930</v>
      </c>
    </row>
    <row r="1393" spans="2:15" x14ac:dyDescent="0.3">
      <c r="B1393" s="50">
        <f t="shared" si="114"/>
        <v>64000011</v>
      </c>
      <c r="C1393" s="314">
        <v>1</v>
      </c>
      <c r="D1393" s="314" t="s">
        <v>3957</v>
      </c>
      <c r="E1393" s="314"/>
      <c r="F1393" s="314" t="s">
        <v>3958</v>
      </c>
      <c r="G1393" s="314">
        <v>1</v>
      </c>
      <c r="H1393" s="50">
        <v>64000011</v>
      </c>
      <c r="I1393" s="141" t="s">
        <v>186</v>
      </c>
      <c r="J1393" s="141">
        <v>21</v>
      </c>
      <c r="K1393" s="105">
        <v>1290141</v>
      </c>
      <c r="L1393" s="141">
        <v>21</v>
      </c>
      <c r="M1393" s="434" t="s">
        <v>3945</v>
      </c>
      <c r="N1393" s="50" t="s">
        <v>3946</v>
      </c>
      <c r="O1393" s="50" t="s">
        <v>3930</v>
      </c>
    </row>
    <row r="1394" spans="2:15" x14ac:dyDescent="0.3">
      <c r="B1394" s="50">
        <f t="shared" si="114"/>
        <v>64000012</v>
      </c>
      <c r="C1394" s="314">
        <v>1</v>
      </c>
      <c r="D1394" s="314" t="s">
        <v>3957</v>
      </c>
      <c r="E1394" s="314"/>
      <c r="F1394" s="314" t="s">
        <v>3958</v>
      </c>
      <c r="G1394" s="314">
        <v>1</v>
      </c>
      <c r="H1394" s="50">
        <v>64000012</v>
      </c>
      <c r="I1394" s="141" t="s">
        <v>186</v>
      </c>
      <c r="J1394" s="141">
        <v>21</v>
      </c>
      <c r="K1394" s="105">
        <v>1290131</v>
      </c>
      <c r="L1394" s="141">
        <v>21</v>
      </c>
      <c r="M1394" s="434" t="s">
        <v>3947</v>
      </c>
      <c r="N1394" s="50" t="s">
        <v>3948</v>
      </c>
      <c r="O1394" s="50" t="s">
        <v>3930</v>
      </c>
    </row>
    <row r="1395" spans="2:15" x14ac:dyDescent="0.3">
      <c r="B1395" s="50">
        <f t="shared" si="114"/>
        <v>64000013</v>
      </c>
      <c r="C1395" s="314">
        <v>1</v>
      </c>
      <c r="D1395" s="314" t="s">
        <v>3957</v>
      </c>
      <c r="E1395" s="314"/>
      <c r="F1395" s="314" t="s">
        <v>3958</v>
      </c>
      <c r="G1395" s="314">
        <v>1</v>
      </c>
      <c r="H1395" s="50">
        <v>64000013</v>
      </c>
      <c r="I1395" s="141" t="s">
        <v>186</v>
      </c>
      <c r="J1395" s="141">
        <v>21</v>
      </c>
      <c r="K1395" s="105">
        <v>1290132</v>
      </c>
      <c r="L1395" s="141">
        <v>21</v>
      </c>
      <c r="M1395" s="434" t="s">
        <v>3949</v>
      </c>
      <c r="N1395" s="50" t="s">
        <v>3950</v>
      </c>
      <c r="O1395" s="50" t="s">
        <v>3930</v>
      </c>
    </row>
    <row r="1396" spans="2:15" x14ac:dyDescent="0.3">
      <c r="B1396" s="50">
        <f t="shared" si="114"/>
        <v>64000015</v>
      </c>
      <c r="C1396" s="314">
        <v>1</v>
      </c>
      <c r="D1396" s="314" t="s">
        <v>3957</v>
      </c>
      <c r="E1396" s="314"/>
      <c r="F1396" s="314" t="s">
        <v>3958</v>
      </c>
      <c r="G1396" s="314">
        <v>1</v>
      </c>
      <c r="H1396" s="50">
        <v>64000015</v>
      </c>
      <c r="I1396" s="196" t="s">
        <v>187</v>
      </c>
      <c r="J1396" s="196">
        <v>31</v>
      </c>
      <c r="K1396" s="105">
        <v>1290240</v>
      </c>
      <c r="L1396" s="196">
        <v>31</v>
      </c>
      <c r="M1396" s="434" t="s">
        <v>3951</v>
      </c>
      <c r="N1396" s="50" t="s">
        <v>3952</v>
      </c>
      <c r="O1396" s="50" t="s">
        <v>3930</v>
      </c>
    </row>
    <row r="1397" spans="2:15" x14ac:dyDescent="0.3">
      <c r="B1397" s="50">
        <f t="shared" si="114"/>
        <v>65000016</v>
      </c>
      <c r="C1397" s="314">
        <v>1</v>
      </c>
      <c r="D1397" s="314" t="s">
        <v>3957</v>
      </c>
      <c r="E1397" s="314"/>
      <c r="F1397" s="314" t="s">
        <v>3958</v>
      </c>
      <c r="G1397" s="314">
        <v>1</v>
      </c>
      <c r="H1397" s="50">
        <v>65000016</v>
      </c>
      <c r="I1397" s="196" t="s">
        <v>187</v>
      </c>
      <c r="J1397" s="196">
        <v>31</v>
      </c>
      <c r="K1397" s="105">
        <v>1290311</v>
      </c>
      <c r="L1397" s="196">
        <v>31</v>
      </c>
      <c r="M1397" s="434" t="s">
        <v>3953</v>
      </c>
      <c r="N1397" s="50" t="s">
        <v>3954</v>
      </c>
      <c r="O1397" s="50" t="s">
        <v>3930</v>
      </c>
    </row>
    <row r="1398" spans="2:15" ht="12.75" thickBot="1" x14ac:dyDescent="0.35">
      <c r="B1398" s="251">
        <f t="shared" si="114"/>
        <v>65000017</v>
      </c>
      <c r="C1398" s="424">
        <v>1</v>
      </c>
      <c r="D1398" s="424" t="s">
        <v>3957</v>
      </c>
      <c r="E1398" s="424"/>
      <c r="F1398" s="424" t="s">
        <v>3958</v>
      </c>
      <c r="G1398" s="424">
        <v>1</v>
      </c>
      <c r="H1398" s="251">
        <v>65000017</v>
      </c>
      <c r="I1398" s="251" t="s">
        <v>187</v>
      </c>
      <c r="J1398" s="251">
        <v>31</v>
      </c>
      <c r="K1398" s="252">
        <v>1290313</v>
      </c>
      <c r="L1398" s="251">
        <v>31</v>
      </c>
      <c r="M1398" s="435" t="s">
        <v>3955</v>
      </c>
      <c r="N1398" s="50" t="s">
        <v>3956</v>
      </c>
      <c r="O1398" s="50" t="s">
        <v>3930</v>
      </c>
    </row>
    <row r="1399" spans="2:15" x14ac:dyDescent="0.3">
      <c r="B1399" s="50">
        <f t="shared" si="114"/>
        <v>65000018</v>
      </c>
      <c r="C1399" s="314">
        <v>1</v>
      </c>
      <c r="D1399" s="314" t="s">
        <v>4297</v>
      </c>
      <c r="E1399" s="314">
        <v>0</v>
      </c>
      <c r="F1399" s="314" t="s">
        <v>4298</v>
      </c>
      <c r="G1399" s="314">
        <v>1</v>
      </c>
      <c r="H1399" s="50">
        <v>65000018</v>
      </c>
      <c r="I1399" s="196" t="s">
        <v>187</v>
      </c>
      <c r="J1399" s="141">
        <v>21</v>
      </c>
      <c r="K1399" s="105">
        <v>1290315</v>
      </c>
      <c r="L1399" s="196">
        <v>21</v>
      </c>
      <c r="M1399" s="434" t="s">
        <v>4299</v>
      </c>
      <c r="N1399" s="50" t="s">
        <v>4300</v>
      </c>
      <c r="O1399" s="50" t="s">
        <v>3930</v>
      </c>
    </row>
    <row r="1400" spans="2:15" x14ac:dyDescent="0.3">
      <c r="B1400" s="50">
        <f t="shared" ref="B1400:B1401" si="115">H1400</f>
        <v>64000001</v>
      </c>
      <c r="C1400" s="314">
        <v>0</v>
      </c>
      <c r="D1400" s="314">
        <v>0</v>
      </c>
      <c r="E1400" s="314">
        <v>0</v>
      </c>
      <c r="F1400" s="314" t="s">
        <v>3203</v>
      </c>
      <c r="G1400" s="314">
        <v>1</v>
      </c>
      <c r="H1400" s="50">
        <v>64000001</v>
      </c>
      <c r="I1400" s="50" t="s">
        <v>186</v>
      </c>
      <c r="J1400" s="50">
        <v>13</v>
      </c>
      <c r="K1400" s="105">
        <v>1066837</v>
      </c>
      <c r="L1400" s="50">
        <v>21</v>
      </c>
      <c r="M1400" s="137" t="s">
        <v>3210</v>
      </c>
      <c r="N1400" s="50" t="s">
        <v>3211</v>
      </c>
      <c r="O1400" s="50" t="s">
        <v>3212</v>
      </c>
    </row>
    <row r="1401" spans="2:15" ht="12.75" thickBot="1" x14ac:dyDescent="0.35">
      <c r="B1401" s="50">
        <f t="shared" si="115"/>
        <v>64000002</v>
      </c>
      <c r="C1401" s="314">
        <v>0</v>
      </c>
      <c r="D1401" s="314">
        <v>0</v>
      </c>
      <c r="E1401" s="314">
        <v>0</v>
      </c>
      <c r="F1401" s="314" t="s">
        <v>3203</v>
      </c>
      <c r="G1401" s="314">
        <v>1</v>
      </c>
      <c r="H1401" s="50">
        <v>64000002</v>
      </c>
      <c r="I1401" s="50" t="s">
        <v>186</v>
      </c>
      <c r="J1401" s="50">
        <v>13</v>
      </c>
      <c r="K1401" s="105">
        <v>1066838</v>
      </c>
      <c r="L1401" s="50">
        <v>21</v>
      </c>
      <c r="M1401" s="137" t="s">
        <v>3213</v>
      </c>
      <c r="N1401" s="50" t="s">
        <v>3214</v>
      </c>
      <c r="O1401" s="50" t="s">
        <v>3212</v>
      </c>
    </row>
    <row r="1402" spans="2:15" ht="12.75" thickTop="1" x14ac:dyDescent="0.3">
      <c r="B1402" s="138">
        <v>45400023</v>
      </c>
      <c r="C1402" s="139">
        <v>1</v>
      </c>
      <c r="D1402" s="139"/>
      <c r="E1402" s="139"/>
      <c r="F1402" s="139"/>
      <c r="G1402" s="139">
        <v>1</v>
      </c>
      <c r="H1402" s="138">
        <v>45400023</v>
      </c>
      <c r="I1402" s="138" t="s">
        <v>186</v>
      </c>
      <c r="J1402" s="138">
        <v>11</v>
      </c>
      <c r="K1402" s="140">
        <v>2581003</v>
      </c>
      <c r="L1402" s="138">
        <v>11</v>
      </c>
      <c r="M1402" s="138" t="s">
        <v>3018</v>
      </c>
      <c r="N1402" s="138" t="s">
        <v>3019</v>
      </c>
      <c r="O1402" s="138" t="s">
        <v>3020</v>
      </c>
    </row>
    <row r="1403" spans="2:15" ht="12.75" thickBot="1" x14ac:dyDescent="0.35">
      <c r="B1403" s="224">
        <v>45400024</v>
      </c>
      <c r="C1403" s="288">
        <v>1</v>
      </c>
      <c r="D1403" s="288"/>
      <c r="E1403" s="288"/>
      <c r="F1403" s="288"/>
      <c r="G1403" s="288">
        <v>1</v>
      </c>
      <c r="H1403" s="224">
        <v>45400024</v>
      </c>
      <c r="I1403" s="224" t="s">
        <v>186</v>
      </c>
      <c r="J1403" s="224">
        <v>11</v>
      </c>
      <c r="K1403" s="289">
        <v>2581007</v>
      </c>
      <c r="L1403" s="224">
        <v>11</v>
      </c>
      <c r="M1403" s="290" t="s">
        <v>3021</v>
      </c>
      <c r="N1403" s="224" t="s">
        <v>3022</v>
      </c>
      <c r="O1403" s="224" t="s">
        <v>3023</v>
      </c>
    </row>
    <row r="1404" spans="2:15" x14ac:dyDescent="0.3">
      <c r="B1404" s="232">
        <f>H1404</f>
        <v>45200100</v>
      </c>
      <c r="C1404" s="286">
        <v>1</v>
      </c>
      <c r="D1404" s="286" t="s">
        <v>3083</v>
      </c>
      <c r="E1404" s="286">
        <v>0</v>
      </c>
      <c r="F1404" s="286" t="s">
        <v>3069</v>
      </c>
      <c r="G1404" s="286">
        <v>1</v>
      </c>
      <c r="H1404" s="233">
        <v>45200100</v>
      </c>
      <c r="I1404" s="291" t="s">
        <v>186</v>
      </c>
      <c r="J1404" s="233">
        <v>13</v>
      </c>
      <c r="K1404" s="233">
        <v>1071548</v>
      </c>
      <c r="L1404" s="233">
        <v>21</v>
      </c>
      <c r="M1404" s="291" t="s">
        <v>3084</v>
      </c>
      <c r="N1404" s="291" t="s">
        <v>3085</v>
      </c>
      <c r="O1404" s="292" t="s">
        <v>3086</v>
      </c>
    </row>
    <row r="1405" spans="2:15" ht="12.75" thickBot="1" x14ac:dyDescent="0.35">
      <c r="B1405" s="237">
        <f>H1405</f>
        <v>45200101</v>
      </c>
      <c r="C1405" s="287">
        <v>1</v>
      </c>
      <c r="D1405" s="287" t="s">
        <v>3083</v>
      </c>
      <c r="E1405" s="287">
        <v>0</v>
      </c>
      <c r="F1405" s="287" t="s">
        <v>3069</v>
      </c>
      <c r="G1405" s="287">
        <v>1</v>
      </c>
      <c r="H1405" s="238">
        <v>45200101</v>
      </c>
      <c r="I1405" s="293" t="s">
        <v>186</v>
      </c>
      <c r="J1405" s="238">
        <v>13</v>
      </c>
      <c r="K1405" s="238">
        <v>1071549</v>
      </c>
      <c r="L1405" s="238">
        <v>21</v>
      </c>
      <c r="M1405" s="293" t="s">
        <v>3087</v>
      </c>
      <c r="N1405" s="293" t="s">
        <v>3088</v>
      </c>
      <c r="O1405" s="294" t="s">
        <v>3086</v>
      </c>
    </row>
    <row r="1406" spans="2:15" ht="12.75" thickBot="1" x14ac:dyDescent="0.35">
      <c r="B1406" s="237">
        <f>H1406</f>
        <v>51000020</v>
      </c>
      <c r="C1406" s="287">
        <v>1</v>
      </c>
      <c r="D1406" s="287">
        <v>0</v>
      </c>
      <c r="E1406" s="287">
        <v>0</v>
      </c>
      <c r="F1406" s="303">
        <v>44628</v>
      </c>
      <c r="G1406" s="287">
        <v>1</v>
      </c>
      <c r="H1406" s="238">
        <v>51000020</v>
      </c>
      <c r="I1406" s="293" t="s">
        <v>186</v>
      </c>
      <c r="J1406" s="238">
        <v>13</v>
      </c>
      <c r="K1406" s="238">
        <v>1029175</v>
      </c>
      <c r="L1406" s="238">
        <v>21</v>
      </c>
      <c r="M1406" s="293" t="s">
        <v>3133</v>
      </c>
      <c r="N1406" s="293" t="s">
        <v>3134</v>
      </c>
      <c r="O1406" s="294" t="s">
        <v>3135</v>
      </c>
    </row>
    <row r="1407" spans="2:15" ht="12.75" thickBot="1" x14ac:dyDescent="0.35">
      <c r="B1407" s="44">
        <f t="shared" ref="B1407" si="116">H1407</f>
        <v>45400025</v>
      </c>
      <c r="C1407" s="288">
        <v>1</v>
      </c>
      <c r="D1407" s="288"/>
      <c r="E1407" s="288"/>
      <c r="F1407" s="288"/>
      <c r="G1407" s="288">
        <v>1</v>
      </c>
      <c r="H1407" s="50">
        <v>45400025</v>
      </c>
      <c r="I1407" s="50" t="s">
        <v>186</v>
      </c>
      <c r="J1407" s="50">
        <v>21</v>
      </c>
      <c r="K1407" s="50">
        <v>1084023</v>
      </c>
      <c r="L1407" s="50">
        <v>21</v>
      </c>
      <c r="M1407" s="50" t="s">
        <v>3163</v>
      </c>
      <c r="N1407" s="50" t="s">
        <v>3164</v>
      </c>
      <c r="O1407" s="50" t="s">
        <v>3165</v>
      </c>
    </row>
    <row r="1408" spans="2:15" x14ac:dyDescent="0.3">
      <c r="B1408" s="232">
        <f>H1408</f>
        <v>1310000</v>
      </c>
      <c r="C1408" s="286">
        <v>1</v>
      </c>
      <c r="D1408" s="286" t="s">
        <v>3234</v>
      </c>
      <c r="E1408" s="286">
        <v>0</v>
      </c>
      <c r="F1408" s="286" t="s">
        <v>3230</v>
      </c>
      <c r="G1408" s="286">
        <v>1</v>
      </c>
      <c r="H1408" s="233">
        <v>1310000</v>
      </c>
      <c r="I1408" s="291" t="s">
        <v>186</v>
      </c>
      <c r="J1408" s="233">
        <v>13</v>
      </c>
      <c r="K1408" s="233">
        <v>2100178</v>
      </c>
      <c r="L1408" s="233">
        <v>21</v>
      </c>
      <c r="M1408" s="291" t="s">
        <v>3235</v>
      </c>
      <c r="N1408" s="291" t="s">
        <v>3236</v>
      </c>
      <c r="O1408" s="292" t="s">
        <v>3237</v>
      </c>
    </row>
    <row r="1409" spans="2:15" x14ac:dyDescent="0.3">
      <c r="B1409" s="235">
        <f t="shared" ref="B1409:B1440" si="117">H1409</f>
        <v>1310001</v>
      </c>
      <c r="C1409" s="278">
        <v>1</v>
      </c>
      <c r="D1409" s="278" t="s">
        <v>3234</v>
      </c>
      <c r="E1409" s="278">
        <v>0</v>
      </c>
      <c r="F1409" s="278" t="s">
        <v>3230</v>
      </c>
      <c r="G1409" s="278">
        <v>1</v>
      </c>
      <c r="H1409" s="220">
        <v>1310001</v>
      </c>
      <c r="I1409" s="317" t="s">
        <v>186</v>
      </c>
      <c r="J1409" s="220">
        <v>13</v>
      </c>
      <c r="K1409" s="220">
        <v>2100184</v>
      </c>
      <c r="L1409" s="220">
        <v>21</v>
      </c>
      <c r="M1409" s="317" t="s">
        <v>3238</v>
      </c>
      <c r="N1409" s="317" t="s">
        <v>3239</v>
      </c>
      <c r="O1409" s="318" t="s">
        <v>3237</v>
      </c>
    </row>
    <row r="1410" spans="2:15" x14ac:dyDescent="0.3">
      <c r="B1410" s="235">
        <f t="shared" si="117"/>
        <v>1310002</v>
      </c>
      <c r="C1410" s="278">
        <v>1</v>
      </c>
      <c r="D1410" s="278" t="s">
        <v>3234</v>
      </c>
      <c r="E1410" s="278">
        <v>0</v>
      </c>
      <c r="F1410" s="278" t="s">
        <v>3230</v>
      </c>
      <c r="G1410" s="278">
        <v>1</v>
      </c>
      <c r="H1410" s="220">
        <v>1310002</v>
      </c>
      <c r="I1410" s="317" t="s">
        <v>186</v>
      </c>
      <c r="J1410" s="220">
        <v>13</v>
      </c>
      <c r="K1410" s="220">
        <v>2100176</v>
      </c>
      <c r="L1410" s="220">
        <v>21</v>
      </c>
      <c r="M1410" s="317" t="s">
        <v>3240</v>
      </c>
      <c r="N1410" s="317" t="s">
        <v>3241</v>
      </c>
      <c r="O1410" s="318" t="s">
        <v>3237</v>
      </c>
    </row>
    <row r="1411" spans="2:15" x14ac:dyDescent="0.3">
      <c r="B1411" s="235">
        <f t="shared" si="117"/>
        <v>1310003</v>
      </c>
      <c r="C1411" s="278">
        <v>1</v>
      </c>
      <c r="D1411" s="278" t="s">
        <v>3234</v>
      </c>
      <c r="E1411" s="278">
        <v>0</v>
      </c>
      <c r="F1411" s="278" t="s">
        <v>3230</v>
      </c>
      <c r="G1411" s="278">
        <v>1</v>
      </c>
      <c r="H1411" s="220">
        <v>1310003</v>
      </c>
      <c r="I1411" s="317" t="s">
        <v>186</v>
      </c>
      <c r="J1411" s="220">
        <v>13</v>
      </c>
      <c r="K1411" s="220">
        <v>2100189</v>
      </c>
      <c r="L1411" s="220">
        <v>21</v>
      </c>
      <c r="M1411" s="317" t="s">
        <v>3242</v>
      </c>
      <c r="N1411" s="317" t="s">
        <v>3243</v>
      </c>
      <c r="O1411" s="318" t="s">
        <v>3237</v>
      </c>
    </row>
    <row r="1412" spans="2:15" x14ac:dyDescent="0.3">
      <c r="B1412" s="235">
        <f t="shared" si="117"/>
        <v>1310004</v>
      </c>
      <c r="C1412" s="278">
        <v>1</v>
      </c>
      <c r="D1412" s="278" t="s">
        <v>3234</v>
      </c>
      <c r="E1412" s="278">
        <v>0</v>
      </c>
      <c r="F1412" s="278" t="s">
        <v>3230</v>
      </c>
      <c r="G1412" s="278">
        <v>1</v>
      </c>
      <c r="H1412" s="220">
        <v>1310004</v>
      </c>
      <c r="I1412" s="317" t="s">
        <v>186</v>
      </c>
      <c r="J1412" s="220">
        <v>13</v>
      </c>
      <c r="K1412" s="220">
        <v>2100183</v>
      </c>
      <c r="L1412" s="220">
        <v>21</v>
      </c>
      <c r="M1412" s="317" t="s">
        <v>3244</v>
      </c>
      <c r="N1412" s="317" t="s">
        <v>3245</v>
      </c>
      <c r="O1412" s="318" t="s">
        <v>3237</v>
      </c>
    </row>
    <row r="1413" spans="2:15" x14ac:dyDescent="0.3">
      <c r="B1413" s="235">
        <f t="shared" si="117"/>
        <v>1310005</v>
      </c>
      <c r="C1413" s="278">
        <v>1</v>
      </c>
      <c r="D1413" s="278" t="s">
        <v>3234</v>
      </c>
      <c r="E1413" s="278">
        <v>0</v>
      </c>
      <c r="F1413" s="278" t="s">
        <v>3230</v>
      </c>
      <c r="G1413" s="278">
        <v>1</v>
      </c>
      <c r="H1413" s="220">
        <v>1310005</v>
      </c>
      <c r="I1413" s="317" t="s">
        <v>186</v>
      </c>
      <c r="J1413" s="220">
        <v>13</v>
      </c>
      <c r="K1413" s="220">
        <v>2100190</v>
      </c>
      <c r="L1413" s="220">
        <v>21</v>
      </c>
      <c r="M1413" s="317" t="s">
        <v>3246</v>
      </c>
      <c r="N1413" s="317" t="s">
        <v>3247</v>
      </c>
      <c r="O1413" s="318" t="s">
        <v>3237</v>
      </c>
    </row>
    <row r="1414" spans="2:15" x14ac:dyDescent="0.3">
      <c r="B1414" s="235">
        <f t="shared" si="117"/>
        <v>1310006</v>
      </c>
      <c r="C1414" s="278">
        <v>1</v>
      </c>
      <c r="D1414" s="278" t="s">
        <v>3234</v>
      </c>
      <c r="E1414" s="278">
        <v>0</v>
      </c>
      <c r="F1414" s="278" t="s">
        <v>3230</v>
      </c>
      <c r="G1414" s="278">
        <v>1</v>
      </c>
      <c r="H1414" s="220">
        <v>1310006</v>
      </c>
      <c r="I1414" s="317" t="s">
        <v>186</v>
      </c>
      <c r="J1414" s="220">
        <v>13</v>
      </c>
      <c r="K1414" s="220">
        <v>2100183</v>
      </c>
      <c r="L1414" s="220">
        <v>21</v>
      </c>
      <c r="M1414" s="317" t="s">
        <v>3244</v>
      </c>
      <c r="N1414" s="317" t="s">
        <v>3248</v>
      </c>
      <c r="O1414" s="318" t="s">
        <v>3237</v>
      </c>
    </row>
    <row r="1415" spans="2:15" x14ac:dyDescent="0.3">
      <c r="B1415" s="235">
        <f t="shared" si="117"/>
        <v>1310010</v>
      </c>
      <c r="C1415" s="278">
        <v>1</v>
      </c>
      <c r="D1415" s="278" t="s">
        <v>3234</v>
      </c>
      <c r="E1415" s="278">
        <v>0</v>
      </c>
      <c r="F1415" s="278" t="s">
        <v>3230</v>
      </c>
      <c r="G1415" s="278">
        <v>1</v>
      </c>
      <c r="H1415" s="220">
        <v>1310010</v>
      </c>
      <c r="I1415" s="317" t="s">
        <v>186</v>
      </c>
      <c r="J1415" s="220">
        <v>13</v>
      </c>
      <c r="K1415" s="220">
        <v>2100152</v>
      </c>
      <c r="L1415" s="220">
        <v>21</v>
      </c>
      <c r="M1415" s="317" t="s">
        <v>3249</v>
      </c>
      <c r="N1415" s="317" t="s">
        <v>3250</v>
      </c>
      <c r="O1415" s="318" t="s">
        <v>3237</v>
      </c>
    </row>
    <row r="1416" spans="2:15" x14ac:dyDescent="0.3">
      <c r="B1416" s="235">
        <f t="shared" si="117"/>
        <v>1310011</v>
      </c>
      <c r="C1416" s="278">
        <v>1</v>
      </c>
      <c r="D1416" s="278" t="s">
        <v>3234</v>
      </c>
      <c r="E1416" s="278">
        <v>0</v>
      </c>
      <c r="F1416" s="278" t="s">
        <v>3230</v>
      </c>
      <c r="G1416" s="278">
        <v>1</v>
      </c>
      <c r="H1416" s="220">
        <v>1310011</v>
      </c>
      <c r="I1416" s="317" t="s">
        <v>186</v>
      </c>
      <c r="J1416" s="220">
        <v>13</v>
      </c>
      <c r="K1416" s="220">
        <v>2100191</v>
      </c>
      <c r="L1416" s="220">
        <v>21</v>
      </c>
      <c r="M1416" s="317" t="s">
        <v>3251</v>
      </c>
      <c r="N1416" s="317" t="s">
        <v>3252</v>
      </c>
      <c r="O1416" s="318" t="s">
        <v>3237</v>
      </c>
    </row>
    <row r="1417" spans="2:15" x14ac:dyDescent="0.3">
      <c r="B1417" s="235">
        <f t="shared" si="117"/>
        <v>1310012</v>
      </c>
      <c r="C1417" s="278">
        <v>1</v>
      </c>
      <c r="D1417" s="278" t="s">
        <v>3234</v>
      </c>
      <c r="E1417" s="278">
        <v>0</v>
      </c>
      <c r="F1417" s="278" t="s">
        <v>3230</v>
      </c>
      <c r="G1417" s="278">
        <v>1</v>
      </c>
      <c r="H1417" s="220">
        <v>1310012</v>
      </c>
      <c r="I1417" s="317" t="s">
        <v>186</v>
      </c>
      <c r="J1417" s="220">
        <v>13</v>
      </c>
      <c r="K1417" s="220">
        <v>2100192</v>
      </c>
      <c r="L1417" s="220">
        <v>21</v>
      </c>
      <c r="M1417" s="317" t="s">
        <v>3253</v>
      </c>
      <c r="N1417" s="317" t="s">
        <v>3254</v>
      </c>
      <c r="O1417" s="318" t="s">
        <v>3237</v>
      </c>
    </row>
    <row r="1418" spans="2:15" x14ac:dyDescent="0.3">
      <c r="B1418" s="235">
        <f t="shared" si="117"/>
        <v>1310013</v>
      </c>
      <c r="C1418" s="278">
        <v>1</v>
      </c>
      <c r="D1418" s="278" t="s">
        <v>3234</v>
      </c>
      <c r="E1418" s="278">
        <v>0</v>
      </c>
      <c r="F1418" s="278" t="s">
        <v>3230</v>
      </c>
      <c r="G1418" s="278">
        <v>1</v>
      </c>
      <c r="H1418" s="220">
        <v>1310013</v>
      </c>
      <c r="I1418" s="317" t="s">
        <v>186</v>
      </c>
      <c r="J1418" s="220">
        <v>13</v>
      </c>
      <c r="K1418" s="220">
        <v>2100193</v>
      </c>
      <c r="L1418" s="220">
        <v>21</v>
      </c>
      <c r="M1418" s="317" t="s">
        <v>3255</v>
      </c>
      <c r="N1418" s="317" t="s">
        <v>3256</v>
      </c>
      <c r="O1418" s="318" t="s">
        <v>3237</v>
      </c>
    </row>
    <row r="1419" spans="2:15" x14ac:dyDescent="0.3">
      <c r="B1419" s="235">
        <f t="shared" si="117"/>
        <v>1310014</v>
      </c>
      <c r="C1419" s="278">
        <v>1</v>
      </c>
      <c r="D1419" s="278" t="s">
        <v>3234</v>
      </c>
      <c r="E1419" s="278">
        <v>0</v>
      </c>
      <c r="F1419" s="278" t="s">
        <v>3230</v>
      </c>
      <c r="G1419" s="278">
        <v>1</v>
      </c>
      <c r="H1419" s="220">
        <v>1310014</v>
      </c>
      <c r="I1419" s="317" t="s">
        <v>186</v>
      </c>
      <c r="J1419" s="220">
        <v>13</v>
      </c>
      <c r="K1419" s="220">
        <v>2100194</v>
      </c>
      <c r="L1419" s="220">
        <v>21</v>
      </c>
      <c r="M1419" s="317" t="s">
        <v>3257</v>
      </c>
      <c r="N1419" s="317" t="s">
        <v>3258</v>
      </c>
      <c r="O1419" s="318" t="s">
        <v>3237</v>
      </c>
    </row>
    <row r="1420" spans="2:15" x14ac:dyDescent="0.3">
      <c r="B1420" s="235">
        <f t="shared" si="117"/>
        <v>1310015</v>
      </c>
      <c r="C1420" s="278">
        <v>1</v>
      </c>
      <c r="D1420" s="278" t="s">
        <v>3234</v>
      </c>
      <c r="E1420" s="278">
        <v>0</v>
      </c>
      <c r="F1420" s="278" t="s">
        <v>3230</v>
      </c>
      <c r="G1420" s="278">
        <v>1</v>
      </c>
      <c r="H1420" s="220">
        <v>1310015</v>
      </c>
      <c r="I1420" s="317" t="s">
        <v>186</v>
      </c>
      <c r="J1420" s="220">
        <v>13</v>
      </c>
      <c r="K1420" s="220">
        <v>2100154</v>
      </c>
      <c r="L1420" s="220">
        <v>21</v>
      </c>
      <c r="M1420" s="317" t="s">
        <v>3259</v>
      </c>
      <c r="N1420" s="317" t="s">
        <v>3260</v>
      </c>
      <c r="O1420" s="318" t="s">
        <v>3237</v>
      </c>
    </row>
    <row r="1421" spans="2:15" x14ac:dyDescent="0.3">
      <c r="B1421" s="235">
        <f t="shared" si="117"/>
        <v>1310016</v>
      </c>
      <c r="C1421" s="278">
        <v>1</v>
      </c>
      <c r="D1421" s="278" t="s">
        <v>3234</v>
      </c>
      <c r="E1421" s="278">
        <v>0</v>
      </c>
      <c r="F1421" s="278" t="s">
        <v>3230</v>
      </c>
      <c r="G1421" s="278">
        <v>1</v>
      </c>
      <c r="H1421" s="220">
        <v>1310016</v>
      </c>
      <c r="I1421" s="317" t="s">
        <v>186</v>
      </c>
      <c r="J1421" s="220">
        <v>13</v>
      </c>
      <c r="K1421" s="220">
        <v>2100154</v>
      </c>
      <c r="L1421" s="220">
        <v>21</v>
      </c>
      <c r="M1421" s="317" t="s">
        <v>3259</v>
      </c>
      <c r="N1421" s="317" t="s">
        <v>3261</v>
      </c>
      <c r="O1421" s="318" t="s">
        <v>3237</v>
      </c>
    </row>
    <row r="1422" spans="2:15" x14ac:dyDescent="0.3">
      <c r="B1422" s="235">
        <f t="shared" si="117"/>
        <v>1310017</v>
      </c>
      <c r="C1422" s="278">
        <v>1</v>
      </c>
      <c r="D1422" s="278" t="s">
        <v>3234</v>
      </c>
      <c r="E1422" s="278">
        <v>0</v>
      </c>
      <c r="F1422" s="278" t="s">
        <v>3230</v>
      </c>
      <c r="G1422" s="278">
        <v>1</v>
      </c>
      <c r="H1422" s="220">
        <v>1310017</v>
      </c>
      <c r="I1422" s="317" t="s">
        <v>186</v>
      </c>
      <c r="J1422" s="220">
        <v>13</v>
      </c>
      <c r="K1422" s="220">
        <v>2100195</v>
      </c>
      <c r="L1422" s="220">
        <v>21</v>
      </c>
      <c r="M1422" s="317" t="s">
        <v>3262</v>
      </c>
      <c r="N1422" s="317" t="s">
        <v>3263</v>
      </c>
      <c r="O1422" s="318" t="s">
        <v>3237</v>
      </c>
    </row>
    <row r="1423" spans="2:15" x14ac:dyDescent="0.3">
      <c r="B1423" s="235">
        <f t="shared" si="117"/>
        <v>1310018</v>
      </c>
      <c r="C1423" s="278">
        <v>1</v>
      </c>
      <c r="D1423" s="278" t="s">
        <v>3234</v>
      </c>
      <c r="E1423" s="278">
        <v>0</v>
      </c>
      <c r="F1423" s="278" t="s">
        <v>3230</v>
      </c>
      <c r="G1423" s="278">
        <v>1</v>
      </c>
      <c r="H1423" s="220">
        <v>1310018</v>
      </c>
      <c r="I1423" s="317" t="s">
        <v>186</v>
      </c>
      <c r="J1423" s="220">
        <v>13</v>
      </c>
      <c r="K1423" s="220">
        <v>2100182</v>
      </c>
      <c r="L1423" s="220">
        <v>21</v>
      </c>
      <c r="M1423" s="317" t="s">
        <v>3264</v>
      </c>
      <c r="N1423" s="317" t="s">
        <v>3265</v>
      </c>
      <c r="O1423" s="318" t="s">
        <v>3237</v>
      </c>
    </row>
    <row r="1424" spans="2:15" x14ac:dyDescent="0.3">
      <c r="B1424" s="235">
        <f t="shared" si="117"/>
        <v>1310019</v>
      </c>
      <c r="C1424" s="278">
        <v>1</v>
      </c>
      <c r="D1424" s="278" t="s">
        <v>3234</v>
      </c>
      <c r="E1424" s="278">
        <v>0</v>
      </c>
      <c r="F1424" s="278" t="s">
        <v>3230</v>
      </c>
      <c r="G1424" s="278">
        <v>1</v>
      </c>
      <c r="H1424" s="220">
        <v>1310019</v>
      </c>
      <c r="I1424" s="317" t="s">
        <v>186</v>
      </c>
      <c r="J1424" s="220">
        <v>13</v>
      </c>
      <c r="K1424" s="220">
        <v>2100196</v>
      </c>
      <c r="L1424" s="220">
        <v>21</v>
      </c>
      <c r="M1424" s="317" t="s">
        <v>3266</v>
      </c>
      <c r="N1424" s="317" t="s">
        <v>3267</v>
      </c>
      <c r="O1424" s="318" t="s">
        <v>3237</v>
      </c>
    </row>
    <row r="1425" spans="2:15" x14ac:dyDescent="0.3">
      <c r="B1425" s="235">
        <f t="shared" si="117"/>
        <v>1310020</v>
      </c>
      <c r="C1425" s="278">
        <v>1</v>
      </c>
      <c r="D1425" s="278" t="s">
        <v>3234</v>
      </c>
      <c r="E1425" s="278">
        <v>0</v>
      </c>
      <c r="F1425" s="278" t="s">
        <v>3230</v>
      </c>
      <c r="G1425" s="278">
        <v>1</v>
      </c>
      <c r="H1425" s="220">
        <v>1310020</v>
      </c>
      <c r="I1425" s="317" t="s">
        <v>186</v>
      </c>
      <c r="J1425" s="220">
        <v>13</v>
      </c>
      <c r="K1425" s="220">
        <v>2100182</v>
      </c>
      <c r="L1425" s="220">
        <v>21</v>
      </c>
      <c r="M1425" s="317" t="s">
        <v>3268</v>
      </c>
      <c r="N1425" s="317" t="s">
        <v>3269</v>
      </c>
      <c r="O1425" s="318" t="s">
        <v>3237</v>
      </c>
    </row>
    <row r="1426" spans="2:15" x14ac:dyDescent="0.3">
      <c r="B1426" s="235">
        <f t="shared" si="117"/>
        <v>1310021</v>
      </c>
      <c r="C1426" s="278">
        <v>1</v>
      </c>
      <c r="D1426" s="278" t="s">
        <v>3234</v>
      </c>
      <c r="E1426" s="278">
        <v>0</v>
      </c>
      <c r="F1426" s="278" t="s">
        <v>3230</v>
      </c>
      <c r="G1426" s="278">
        <v>1</v>
      </c>
      <c r="H1426" s="220">
        <v>1310021</v>
      </c>
      <c r="I1426" s="317" t="s">
        <v>186</v>
      </c>
      <c r="J1426" s="220">
        <v>13</v>
      </c>
      <c r="K1426" s="220">
        <v>2100197</v>
      </c>
      <c r="L1426" s="220">
        <v>21</v>
      </c>
      <c r="M1426" s="317" t="s">
        <v>3270</v>
      </c>
      <c r="N1426" s="317" t="s">
        <v>3271</v>
      </c>
      <c r="O1426" s="318" t="s">
        <v>3237</v>
      </c>
    </row>
    <row r="1427" spans="2:15" x14ac:dyDescent="0.3">
      <c r="B1427" s="235">
        <f t="shared" si="117"/>
        <v>1310022</v>
      </c>
      <c r="C1427" s="278">
        <v>1</v>
      </c>
      <c r="D1427" s="278" t="s">
        <v>3234</v>
      </c>
      <c r="E1427" s="278">
        <v>0</v>
      </c>
      <c r="F1427" s="278" t="s">
        <v>3230</v>
      </c>
      <c r="G1427" s="278">
        <v>1</v>
      </c>
      <c r="H1427" s="220">
        <v>1310022</v>
      </c>
      <c r="I1427" s="317" t="s">
        <v>186</v>
      </c>
      <c r="J1427" s="220">
        <v>13</v>
      </c>
      <c r="K1427" s="220">
        <v>2100198</v>
      </c>
      <c r="L1427" s="220">
        <v>21</v>
      </c>
      <c r="M1427" s="317" t="s">
        <v>3272</v>
      </c>
      <c r="N1427" s="317" t="s">
        <v>3273</v>
      </c>
      <c r="O1427" s="318" t="s">
        <v>3237</v>
      </c>
    </row>
    <row r="1428" spans="2:15" x14ac:dyDescent="0.3">
      <c r="B1428" s="235">
        <f t="shared" si="117"/>
        <v>1310023</v>
      </c>
      <c r="C1428" s="278">
        <v>1</v>
      </c>
      <c r="D1428" s="278" t="s">
        <v>3234</v>
      </c>
      <c r="E1428" s="278">
        <v>0</v>
      </c>
      <c r="F1428" s="278" t="s">
        <v>3230</v>
      </c>
      <c r="G1428" s="278">
        <v>1</v>
      </c>
      <c r="H1428" s="220">
        <v>1310023</v>
      </c>
      <c r="I1428" s="317" t="s">
        <v>186</v>
      </c>
      <c r="J1428" s="220">
        <v>13</v>
      </c>
      <c r="K1428" s="220">
        <v>2100199</v>
      </c>
      <c r="L1428" s="220">
        <v>21</v>
      </c>
      <c r="M1428" s="317" t="s">
        <v>3274</v>
      </c>
      <c r="N1428" s="317" t="s">
        <v>3275</v>
      </c>
      <c r="O1428" s="318" t="s">
        <v>3237</v>
      </c>
    </row>
    <row r="1429" spans="2:15" x14ac:dyDescent="0.3">
      <c r="B1429" s="235">
        <f t="shared" si="117"/>
        <v>1310024</v>
      </c>
      <c r="C1429" s="278">
        <v>1</v>
      </c>
      <c r="D1429" s="278" t="s">
        <v>3234</v>
      </c>
      <c r="E1429" s="278">
        <v>0</v>
      </c>
      <c r="F1429" s="278" t="s">
        <v>3230</v>
      </c>
      <c r="G1429" s="278">
        <v>1</v>
      </c>
      <c r="H1429" s="220">
        <v>1310024</v>
      </c>
      <c r="I1429" s="317" t="s">
        <v>186</v>
      </c>
      <c r="J1429" s="220">
        <v>13</v>
      </c>
      <c r="K1429" s="220">
        <v>2100200</v>
      </c>
      <c r="L1429" s="220">
        <v>21</v>
      </c>
      <c r="M1429" s="317" t="s">
        <v>3276</v>
      </c>
      <c r="N1429" s="317" t="s">
        <v>3277</v>
      </c>
      <c r="O1429" s="318" t="s">
        <v>3237</v>
      </c>
    </row>
    <row r="1430" spans="2:15" x14ac:dyDescent="0.3">
      <c r="B1430" s="235">
        <f t="shared" si="117"/>
        <v>1310025</v>
      </c>
      <c r="C1430" s="278">
        <v>1</v>
      </c>
      <c r="D1430" s="278" t="s">
        <v>3234</v>
      </c>
      <c r="E1430" s="278">
        <v>0</v>
      </c>
      <c r="F1430" s="278" t="s">
        <v>3230</v>
      </c>
      <c r="G1430" s="278">
        <v>1</v>
      </c>
      <c r="H1430" s="220">
        <v>1310025</v>
      </c>
      <c r="I1430" s="317" t="s">
        <v>186</v>
      </c>
      <c r="J1430" s="220">
        <v>13</v>
      </c>
      <c r="K1430" s="220">
        <v>2100201</v>
      </c>
      <c r="L1430" s="220">
        <v>21</v>
      </c>
      <c r="M1430" s="317" t="s">
        <v>3278</v>
      </c>
      <c r="N1430" s="317" t="s">
        <v>3279</v>
      </c>
      <c r="O1430" s="318" t="s">
        <v>3237</v>
      </c>
    </row>
    <row r="1431" spans="2:15" x14ac:dyDescent="0.3">
      <c r="B1431" s="235">
        <f t="shared" si="117"/>
        <v>1310026</v>
      </c>
      <c r="C1431" s="278">
        <v>1</v>
      </c>
      <c r="D1431" s="278" t="s">
        <v>3234</v>
      </c>
      <c r="E1431" s="278">
        <v>0</v>
      </c>
      <c r="F1431" s="278" t="s">
        <v>3230</v>
      </c>
      <c r="G1431" s="278">
        <v>1</v>
      </c>
      <c r="H1431" s="220">
        <v>1310026</v>
      </c>
      <c r="I1431" s="317" t="s">
        <v>186</v>
      </c>
      <c r="J1431" s="220">
        <v>13</v>
      </c>
      <c r="K1431" s="220">
        <v>2100166</v>
      </c>
      <c r="L1431" s="220">
        <v>21</v>
      </c>
      <c r="M1431" s="317" t="s">
        <v>3280</v>
      </c>
      <c r="N1431" s="317" t="s">
        <v>3281</v>
      </c>
      <c r="O1431" s="318" t="s">
        <v>3282</v>
      </c>
    </row>
    <row r="1432" spans="2:15" x14ac:dyDescent="0.3">
      <c r="B1432" s="235">
        <f t="shared" si="117"/>
        <v>1310027</v>
      </c>
      <c r="C1432" s="278">
        <v>1</v>
      </c>
      <c r="D1432" s="278" t="s">
        <v>3234</v>
      </c>
      <c r="E1432" s="278">
        <v>0</v>
      </c>
      <c r="F1432" s="278" t="s">
        <v>3230</v>
      </c>
      <c r="G1432" s="278">
        <v>1</v>
      </c>
      <c r="H1432" s="220">
        <v>1310027</v>
      </c>
      <c r="I1432" s="317" t="s">
        <v>186</v>
      </c>
      <c r="J1432" s="220">
        <v>13</v>
      </c>
      <c r="K1432" s="220">
        <v>2100168</v>
      </c>
      <c r="L1432" s="220">
        <v>21</v>
      </c>
      <c r="M1432" s="317" t="s">
        <v>3283</v>
      </c>
      <c r="N1432" s="317" t="s">
        <v>3284</v>
      </c>
      <c r="O1432" s="318" t="s">
        <v>3285</v>
      </c>
    </row>
    <row r="1433" spans="2:15" x14ac:dyDescent="0.3">
      <c r="B1433" s="235">
        <f t="shared" si="117"/>
        <v>1310028</v>
      </c>
      <c r="C1433" s="278">
        <v>1</v>
      </c>
      <c r="D1433" s="278" t="s">
        <v>3234</v>
      </c>
      <c r="E1433" s="278">
        <v>0</v>
      </c>
      <c r="F1433" s="278" t="s">
        <v>3230</v>
      </c>
      <c r="G1433" s="278">
        <v>1</v>
      </c>
      <c r="H1433" s="220">
        <v>1310028</v>
      </c>
      <c r="I1433" s="317" t="s">
        <v>186</v>
      </c>
      <c r="J1433" s="220">
        <v>13</v>
      </c>
      <c r="K1433" s="220">
        <v>2100169</v>
      </c>
      <c r="L1433" s="220">
        <v>21</v>
      </c>
      <c r="M1433" s="317" t="s">
        <v>3286</v>
      </c>
      <c r="N1433" s="317" t="s">
        <v>3287</v>
      </c>
      <c r="O1433" s="318" t="s">
        <v>3288</v>
      </c>
    </row>
    <row r="1434" spans="2:15" x14ac:dyDescent="0.3">
      <c r="B1434" s="235">
        <f t="shared" si="117"/>
        <v>1310029</v>
      </c>
      <c r="C1434" s="278">
        <v>1</v>
      </c>
      <c r="D1434" s="278" t="s">
        <v>3234</v>
      </c>
      <c r="E1434" s="278">
        <v>0</v>
      </c>
      <c r="F1434" s="278" t="s">
        <v>3230</v>
      </c>
      <c r="G1434" s="278">
        <v>1</v>
      </c>
      <c r="H1434" s="220">
        <v>1310029</v>
      </c>
      <c r="I1434" s="317" t="s">
        <v>186</v>
      </c>
      <c r="J1434" s="220">
        <v>13</v>
      </c>
      <c r="K1434" s="220">
        <v>2100174</v>
      </c>
      <c r="L1434" s="220">
        <v>21</v>
      </c>
      <c r="M1434" s="317" t="s">
        <v>3289</v>
      </c>
      <c r="N1434" s="317" t="s">
        <v>3290</v>
      </c>
      <c r="O1434" s="318" t="s">
        <v>3291</v>
      </c>
    </row>
    <row r="1435" spans="2:15" x14ac:dyDescent="0.3">
      <c r="B1435" s="235">
        <f t="shared" si="117"/>
        <v>1310030</v>
      </c>
      <c r="C1435" s="278">
        <v>1</v>
      </c>
      <c r="D1435" s="278" t="s">
        <v>3234</v>
      </c>
      <c r="E1435" s="278">
        <v>0</v>
      </c>
      <c r="F1435" s="278" t="s">
        <v>3230</v>
      </c>
      <c r="G1435" s="278">
        <v>1</v>
      </c>
      <c r="H1435" s="220">
        <v>1310030</v>
      </c>
      <c r="I1435" s="317" t="s">
        <v>186</v>
      </c>
      <c r="J1435" s="220">
        <v>13</v>
      </c>
      <c r="K1435" s="220">
        <v>2100175</v>
      </c>
      <c r="L1435" s="220">
        <v>21</v>
      </c>
      <c r="M1435" s="317" t="s">
        <v>3292</v>
      </c>
      <c r="N1435" s="317" t="s">
        <v>3293</v>
      </c>
      <c r="O1435" s="318" t="s">
        <v>3294</v>
      </c>
    </row>
    <row r="1436" spans="2:15" x14ac:dyDescent="0.3">
      <c r="B1436" s="235">
        <f t="shared" si="117"/>
        <v>1310031</v>
      </c>
      <c r="C1436" s="278">
        <v>1</v>
      </c>
      <c r="D1436" s="278" t="s">
        <v>3234</v>
      </c>
      <c r="E1436" s="278">
        <v>0</v>
      </c>
      <c r="F1436" s="278" t="s">
        <v>3230</v>
      </c>
      <c r="G1436" s="278">
        <v>1</v>
      </c>
      <c r="H1436" s="220">
        <v>1310031</v>
      </c>
      <c r="I1436" s="317" t="s">
        <v>186</v>
      </c>
      <c r="J1436" s="220">
        <v>13</v>
      </c>
      <c r="K1436" s="220">
        <v>2100185</v>
      </c>
      <c r="L1436" s="220">
        <v>21</v>
      </c>
      <c r="M1436" s="317" t="s">
        <v>3295</v>
      </c>
      <c r="N1436" s="317" t="s">
        <v>3296</v>
      </c>
      <c r="O1436" s="318" t="s">
        <v>3297</v>
      </c>
    </row>
    <row r="1437" spans="2:15" x14ac:dyDescent="0.3">
      <c r="B1437" s="235">
        <f t="shared" si="117"/>
        <v>1310032</v>
      </c>
      <c r="C1437" s="278">
        <v>1</v>
      </c>
      <c r="D1437" s="278" t="s">
        <v>3234</v>
      </c>
      <c r="E1437" s="278">
        <v>0</v>
      </c>
      <c r="F1437" s="278" t="s">
        <v>3230</v>
      </c>
      <c r="G1437" s="278">
        <v>1</v>
      </c>
      <c r="H1437" s="220">
        <v>1310032</v>
      </c>
      <c r="I1437" s="317" t="s">
        <v>186</v>
      </c>
      <c r="J1437" s="220">
        <v>13</v>
      </c>
      <c r="K1437" s="220">
        <v>2100186</v>
      </c>
      <c r="L1437" s="220">
        <v>21</v>
      </c>
      <c r="M1437" s="317" t="s">
        <v>3298</v>
      </c>
      <c r="N1437" s="317" t="s">
        <v>3299</v>
      </c>
      <c r="O1437" s="318" t="s">
        <v>3300</v>
      </c>
    </row>
    <row r="1438" spans="2:15" x14ac:dyDescent="0.3">
      <c r="B1438" s="235">
        <f t="shared" si="117"/>
        <v>1310033</v>
      </c>
      <c r="C1438" s="278">
        <v>1</v>
      </c>
      <c r="D1438" s="278" t="s">
        <v>3234</v>
      </c>
      <c r="E1438" s="278">
        <v>0</v>
      </c>
      <c r="F1438" s="278" t="s">
        <v>3230</v>
      </c>
      <c r="G1438" s="278">
        <v>1</v>
      </c>
      <c r="H1438" s="220">
        <v>1310033</v>
      </c>
      <c r="I1438" s="317" t="s">
        <v>186</v>
      </c>
      <c r="J1438" s="220">
        <v>13</v>
      </c>
      <c r="K1438" s="220">
        <v>2100187</v>
      </c>
      <c r="L1438" s="220">
        <v>21</v>
      </c>
      <c r="M1438" s="317" t="s">
        <v>3301</v>
      </c>
      <c r="N1438" s="317" t="s">
        <v>3302</v>
      </c>
      <c r="O1438" s="318" t="s">
        <v>3303</v>
      </c>
    </row>
    <row r="1439" spans="2:15" x14ac:dyDescent="0.3">
      <c r="B1439" s="235">
        <f t="shared" si="117"/>
        <v>1310034</v>
      </c>
      <c r="C1439" s="278">
        <v>1</v>
      </c>
      <c r="D1439" s="278" t="s">
        <v>3234</v>
      </c>
      <c r="E1439" s="278">
        <v>0</v>
      </c>
      <c r="F1439" s="278" t="s">
        <v>3230</v>
      </c>
      <c r="G1439" s="278">
        <v>1</v>
      </c>
      <c r="H1439" s="220">
        <v>1310034</v>
      </c>
      <c r="I1439" s="317" t="s">
        <v>186</v>
      </c>
      <c r="J1439" s="220">
        <v>13</v>
      </c>
      <c r="K1439" s="220">
        <v>2100188</v>
      </c>
      <c r="L1439" s="220">
        <v>21</v>
      </c>
      <c r="M1439" s="317" t="s">
        <v>3304</v>
      </c>
      <c r="N1439" s="317" t="s">
        <v>3305</v>
      </c>
      <c r="O1439" s="318" t="s">
        <v>3306</v>
      </c>
    </row>
    <row r="1440" spans="2:15" ht="12.75" thickBot="1" x14ac:dyDescent="0.35">
      <c r="B1440" s="237">
        <f t="shared" si="117"/>
        <v>1310035</v>
      </c>
      <c r="C1440" s="287">
        <v>1</v>
      </c>
      <c r="D1440" s="287" t="s">
        <v>3234</v>
      </c>
      <c r="E1440" s="287">
        <v>0</v>
      </c>
      <c r="F1440" s="287" t="s">
        <v>3230</v>
      </c>
      <c r="G1440" s="287">
        <v>1</v>
      </c>
      <c r="H1440" s="238">
        <v>1310035</v>
      </c>
      <c r="I1440" s="293" t="s">
        <v>186</v>
      </c>
      <c r="J1440" s="238">
        <v>13</v>
      </c>
      <c r="K1440" s="238">
        <v>2100202</v>
      </c>
      <c r="L1440" s="238">
        <v>21</v>
      </c>
      <c r="M1440" s="293" t="s">
        <v>3231</v>
      </c>
      <c r="N1440" s="293" t="s">
        <v>3307</v>
      </c>
      <c r="O1440" s="294" t="s">
        <v>3233</v>
      </c>
    </row>
    <row r="1441" spans="2:15" ht="12.75" thickBot="1" x14ac:dyDescent="0.35">
      <c r="B1441" s="240">
        <f>H1441</f>
        <v>1310036</v>
      </c>
      <c r="C1441" s="255">
        <v>1</v>
      </c>
      <c r="D1441" s="255" t="s">
        <v>3502</v>
      </c>
      <c r="E1441" s="255">
        <v>0</v>
      </c>
      <c r="F1441" s="255" t="s">
        <v>3451</v>
      </c>
      <c r="G1441" s="255">
        <v>1</v>
      </c>
      <c r="H1441" s="241">
        <v>1310036</v>
      </c>
      <c r="I1441" s="386" t="s">
        <v>186</v>
      </c>
      <c r="J1441" s="241">
        <v>13</v>
      </c>
      <c r="K1441" s="241">
        <v>2100167</v>
      </c>
      <c r="L1441" s="241">
        <v>21</v>
      </c>
      <c r="M1441" s="386" t="s">
        <v>3503</v>
      </c>
      <c r="N1441" s="386" t="s">
        <v>3504</v>
      </c>
      <c r="O1441" s="387" t="s">
        <v>3505</v>
      </c>
    </row>
    <row r="1442" spans="2:15" x14ac:dyDescent="0.3">
      <c r="B1442" s="380">
        <v>12000085</v>
      </c>
      <c r="C1442" s="381">
        <v>1</v>
      </c>
      <c r="D1442" s="382">
        <v>44735</v>
      </c>
      <c r="E1442" s="381">
        <v>0</v>
      </c>
      <c r="F1442" s="381">
        <v>0</v>
      </c>
      <c r="G1442" s="381">
        <v>1</v>
      </c>
      <c r="H1442" s="383">
        <v>12000085</v>
      </c>
      <c r="I1442" s="383" t="s">
        <v>186</v>
      </c>
      <c r="J1442" s="383">
        <v>13</v>
      </c>
      <c r="K1442" s="384">
        <v>1090101</v>
      </c>
      <c r="L1442" s="383">
        <v>21</v>
      </c>
      <c r="M1442" s="383" t="s">
        <v>3315</v>
      </c>
      <c r="N1442" s="383" t="s">
        <v>3316</v>
      </c>
      <c r="O1442" s="385" t="s">
        <v>3317</v>
      </c>
    </row>
    <row r="1443" spans="2:15" x14ac:dyDescent="0.3">
      <c r="B1443" s="235">
        <v>12000086</v>
      </c>
      <c r="C1443" s="278">
        <v>1</v>
      </c>
      <c r="D1443" s="320">
        <v>44735</v>
      </c>
      <c r="E1443" s="278">
        <v>0</v>
      </c>
      <c r="F1443" s="278">
        <v>0</v>
      </c>
      <c r="G1443" s="278">
        <v>1</v>
      </c>
      <c r="H1443" s="61">
        <v>12000086</v>
      </c>
      <c r="I1443" s="61" t="s">
        <v>186</v>
      </c>
      <c r="J1443" s="61">
        <v>13</v>
      </c>
      <c r="K1443" s="220">
        <v>1090102</v>
      </c>
      <c r="L1443" s="61">
        <v>21</v>
      </c>
      <c r="M1443" s="61" t="s">
        <v>3318</v>
      </c>
      <c r="N1443" s="61" t="s">
        <v>3319</v>
      </c>
      <c r="O1443" s="236" t="s">
        <v>3317</v>
      </c>
    </row>
    <row r="1444" spans="2:15" x14ac:dyDescent="0.3">
      <c r="B1444" s="235">
        <v>12000087</v>
      </c>
      <c r="C1444" s="278">
        <v>1</v>
      </c>
      <c r="D1444" s="320">
        <v>44735</v>
      </c>
      <c r="E1444" s="278">
        <v>0</v>
      </c>
      <c r="F1444" s="278">
        <v>0</v>
      </c>
      <c r="G1444" s="278">
        <v>1</v>
      </c>
      <c r="H1444" s="61">
        <v>12000087</v>
      </c>
      <c r="I1444" s="61" t="s">
        <v>186</v>
      </c>
      <c r="J1444" s="61">
        <v>13</v>
      </c>
      <c r="K1444" s="220">
        <v>1090103</v>
      </c>
      <c r="L1444" s="61">
        <v>21</v>
      </c>
      <c r="M1444" s="61" t="s">
        <v>3320</v>
      </c>
      <c r="N1444" s="61" t="s">
        <v>3321</v>
      </c>
      <c r="O1444" s="236" t="s">
        <v>3317</v>
      </c>
    </row>
    <row r="1445" spans="2:15" x14ac:dyDescent="0.3">
      <c r="B1445" s="322">
        <v>12000088</v>
      </c>
      <c r="C1445" s="327">
        <v>1</v>
      </c>
      <c r="D1445" s="328">
        <v>44735</v>
      </c>
      <c r="E1445" s="327">
        <v>0</v>
      </c>
      <c r="F1445" s="327">
        <v>0</v>
      </c>
      <c r="G1445" s="327">
        <v>1</v>
      </c>
      <c r="H1445" s="329">
        <v>12000088</v>
      </c>
      <c r="I1445" s="329" t="s">
        <v>186</v>
      </c>
      <c r="J1445" s="329">
        <v>13</v>
      </c>
      <c r="K1445" s="330">
        <v>1090104</v>
      </c>
      <c r="L1445" s="329">
        <v>21</v>
      </c>
      <c r="M1445" s="329" t="s">
        <v>3322</v>
      </c>
      <c r="N1445" s="329" t="s">
        <v>3323</v>
      </c>
      <c r="O1445" s="331" t="s">
        <v>3317</v>
      </c>
    </row>
    <row r="1446" spans="2:15" x14ac:dyDescent="0.3">
      <c r="B1446" s="322">
        <f>H1446</f>
        <v>12000089</v>
      </c>
      <c r="C1446" s="327">
        <v>1</v>
      </c>
      <c r="D1446" s="328">
        <v>44735</v>
      </c>
      <c r="E1446" s="327">
        <v>0</v>
      </c>
      <c r="F1446" s="327">
        <v>0</v>
      </c>
      <c r="G1446" s="327">
        <v>1</v>
      </c>
      <c r="H1446" s="329">
        <v>12000089</v>
      </c>
      <c r="I1446" s="329" t="s">
        <v>186</v>
      </c>
      <c r="J1446" s="329">
        <v>13</v>
      </c>
      <c r="K1446" s="330">
        <v>1090106</v>
      </c>
      <c r="L1446" s="329">
        <v>21</v>
      </c>
      <c r="M1446" s="329" t="s">
        <v>3327</v>
      </c>
      <c r="N1446" s="329" t="s">
        <v>3328</v>
      </c>
      <c r="O1446" s="331" t="s">
        <v>3317</v>
      </c>
    </row>
    <row r="1447" spans="2:15" customFormat="1" ht="16.5" x14ac:dyDescent="0.3">
      <c r="B1447" s="441">
        <f t="shared" ref="B1447:B1456" si="118">H1447</f>
        <v>12000090</v>
      </c>
      <c r="C1447" s="314">
        <v>1</v>
      </c>
      <c r="D1447" s="420"/>
      <c r="E1447" s="314"/>
      <c r="F1447" s="314"/>
      <c r="G1447" s="314">
        <v>1</v>
      </c>
      <c r="H1447" s="50">
        <v>12000090</v>
      </c>
      <c r="I1447" s="50" t="s">
        <v>186</v>
      </c>
      <c r="J1447" s="50">
        <v>21</v>
      </c>
      <c r="K1447" s="105">
        <v>2628210</v>
      </c>
      <c r="L1447" s="50">
        <v>21</v>
      </c>
      <c r="M1447" s="50" t="s">
        <v>4139</v>
      </c>
      <c r="N1447" s="50" t="s">
        <v>4140</v>
      </c>
      <c r="O1447" s="422"/>
    </row>
    <row r="1448" spans="2:15" customFormat="1" ht="16.5" x14ac:dyDescent="0.3">
      <c r="B1448" s="441">
        <f t="shared" si="118"/>
        <v>12000091</v>
      </c>
      <c r="C1448" s="314">
        <v>1</v>
      </c>
      <c r="D1448" s="420"/>
      <c r="E1448" s="314"/>
      <c r="F1448" s="314"/>
      <c r="G1448" s="314">
        <v>1</v>
      </c>
      <c r="H1448" s="50">
        <v>12000091</v>
      </c>
      <c r="I1448" s="50" t="s">
        <v>186</v>
      </c>
      <c r="J1448" s="50">
        <v>21</v>
      </c>
      <c r="K1448" s="105">
        <v>2628201</v>
      </c>
      <c r="L1448" s="50">
        <v>21</v>
      </c>
      <c r="M1448" s="50" t="s">
        <v>4141</v>
      </c>
      <c r="N1448" s="50" t="s">
        <v>4142</v>
      </c>
      <c r="O1448" s="422" t="s">
        <v>4143</v>
      </c>
    </row>
    <row r="1449" spans="2:15" customFormat="1" ht="16.5" x14ac:dyDescent="0.3">
      <c r="B1449" s="441">
        <f t="shared" si="118"/>
        <v>12000092</v>
      </c>
      <c r="C1449" s="314">
        <v>1</v>
      </c>
      <c r="D1449" s="420"/>
      <c r="E1449" s="314"/>
      <c r="F1449" s="314"/>
      <c r="G1449" s="314">
        <v>1</v>
      </c>
      <c r="H1449" s="50">
        <v>12000092</v>
      </c>
      <c r="I1449" s="50" t="s">
        <v>186</v>
      </c>
      <c r="J1449" s="50">
        <v>21</v>
      </c>
      <c r="K1449" s="105">
        <v>2628201</v>
      </c>
      <c r="L1449" s="50">
        <v>21</v>
      </c>
      <c r="M1449" s="50" t="s">
        <v>4141</v>
      </c>
      <c r="N1449" s="50" t="s">
        <v>4144</v>
      </c>
      <c r="O1449" s="422" t="s">
        <v>4145</v>
      </c>
    </row>
    <row r="1450" spans="2:15" customFormat="1" ht="16.5" x14ac:dyDescent="0.3">
      <c r="B1450" s="441">
        <f t="shared" si="118"/>
        <v>12000093</v>
      </c>
      <c r="C1450" s="314">
        <v>1</v>
      </c>
      <c r="D1450" s="420"/>
      <c r="E1450" s="314"/>
      <c r="F1450" s="314"/>
      <c r="G1450" s="314">
        <v>1</v>
      </c>
      <c r="H1450" s="50">
        <v>12000093</v>
      </c>
      <c r="I1450" s="50" t="s">
        <v>186</v>
      </c>
      <c r="J1450" s="50">
        <v>21</v>
      </c>
      <c r="K1450" s="105">
        <v>2628203</v>
      </c>
      <c r="L1450" s="50">
        <v>21</v>
      </c>
      <c r="M1450" s="50" t="s">
        <v>4146</v>
      </c>
      <c r="N1450" s="50" t="s">
        <v>4147</v>
      </c>
      <c r="O1450" s="422" t="s">
        <v>4148</v>
      </c>
    </row>
    <row r="1451" spans="2:15" customFormat="1" ht="16.5" x14ac:dyDescent="0.3">
      <c r="B1451" s="441">
        <f t="shared" si="118"/>
        <v>12000094</v>
      </c>
      <c r="C1451" s="314">
        <v>1</v>
      </c>
      <c r="D1451" s="420"/>
      <c r="E1451" s="314"/>
      <c r="F1451" s="314"/>
      <c r="G1451" s="314">
        <v>1</v>
      </c>
      <c r="H1451" s="50">
        <v>12000094</v>
      </c>
      <c r="I1451" s="50" t="s">
        <v>186</v>
      </c>
      <c r="J1451" s="50">
        <v>21</v>
      </c>
      <c r="K1451" s="105">
        <v>2628204</v>
      </c>
      <c r="L1451" s="50">
        <v>21</v>
      </c>
      <c r="M1451" s="50" t="s">
        <v>4149</v>
      </c>
      <c r="N1451" s="50" t="s">
        <v>4150</v>
      </c>
      <c r="O1451" s="422" t="s">
        <v>4151</v>
      </c>
    </row>
    <row r="1452" spans="2:15" customFormat="1" ht="16.5" x14ac:dyDescent="0.3">
      <c r="B1452" s="441">
        <f t="shared" si="118"/>
        <v>12000095</v>
      </c>
      <c r="C1452" s="314">
        <v>1</v>
      </c>
      <c r="D1452" s="420"/>
      <c r="E1452" s="314"/>
      <c r="F1452" s="314"/>
      <c r="G1452" s="314">
        <v>1</v>
      </c>
      <c r="H1452" s="50">
        <v>12000095</v>
      </c>
      <c r="I1452" s="50" t="s">
        <v>186</v>
      </c>
      <c r="J1452" s="50">
        <v>21</v>
      </c>
      <c r="K1452" s="105">
        <v>2628205</v>
      </c>
      <c r="L1452" s="50">
        <v>21</v>
      </c>
      <c r="M1452" s="50" t="s">
        <v>4152</v>
      </c>
      <c r="N1452" s="50" t="s">
        <v>4153</v>
      </c>
      <c r="O1452" s="422" t="s">
        <v>4154</v>
      </c>
    </row>
    <row r="1453" spans="2:15" customFormat="1" ht="16.5" x14ac:dyDescent="0.3">
      <c r="B1453" s="441">
        <f t="shared" si="118"/>
        <v>12000096</v>
      </c>
      <c r="C1453" s="314">
        <v>1</v>
      </c>
      <c r="D1453" s="420"/>
      <c r="E1453" s="314"/>
      <c r="F1453" s="314"/>
      <c r="G1453" s="314">
        <v>1</v>
      </c>
      <c r="H1453" s="50">
        <v>12000096</v>
      </c>
      <c r="I1453" s="50" t="s">
        <v>186</v>
      </c>
      <c r="J1453" s="50">
        <v>21</v>
      </c>
      <c r="K1453" s="105">
        <v>2628209</v>
      </c>
      <c r="L1453" s="50">
        <v>21</v>
      </c>
      <c r="M1453" s="50" t="s">
        <v>4155</v>
      </c>
      <c r="N1453" s="50" t="s">
        <v>4156</v>
      </c>
      <c r="O1453" s="422" t="s">
        <v>4157</v>
      </c>
    </row>
    <row r="1454" spans="2:15" customFormat="1" ht="16.5" x14ac:dyDescent="0.3">
      <c r="B1454" s="441">
        <f t="shared" si="118"/>
        <v>12000097</v>
      </c>
      <c r="C1454" s="314">
        <v>1</v>
      </c>
      <c r="D1454" s="420"/>
      <c r="E1454" s="314"/>
      <c r="F1454" s="314"/>
      <c r="G1454" s="314">
        <v>1</v>
      </c>
      <c r="H1454" s="50">
        <v>12000097</v>
      </c>
      <c r="I1454" s="50" t="s">
        <v>186</v>
      </c>
      <c r="J1454" s="50">
        <v>21</v>
      </c>
      <c r="K1454" s="105">
        <v>2628208</v>
      </c>
      <c r="L1454" s="50">
        <v>21</v>
      </c>
      <c r="M1454" s="50" t="s">
        <v>4158</v>
      </c>
      <c r="N1454" s="50" t="s">
        <v>4159</v>
      </c>
      <c r="O1454" s="422" t="s">
        <v>1477</v>
      </c>
    </row>
    <row r="1455" spans="2:15" customFormat="1" ht="16.5" x14ac:dyDescent="0.3">
      <c r="B1455" s="441">
        <f t="shared" si="118"/>
        <v>12000098</v>
      </c>
      <c r="C1455" s="314">
        <v>1</v>
      </c>
      <c r="D1455" s="420"/>
      <c r="E1455" s="314"/>
      <c r="F1455" s="314"/>
      <c r="G1455" s="314">
        <v>1</v>
      </c>
      <c r="H1455" s="50">
        <v>12000098</v>
      </c>
      <c r="I1455" s="50" t="s">
        <v>186</v>
      </c>
      <c r="J1455" s="50">
        <v>21</v>
      </c>
      <c r="K1455" s="105">
        <v>2628207</v>
      </c>
      <c r="L1455" s="50">
        <v>21</v>
      </c>
      <c r="M1455" s="50" t="s">
        <v>4160</v>
      </c>
      <c r="N1455" s="50" t="s">
        <v>4161</v>
      </c>
      <c r="O1455" s="422" t="s">
        <v>4162</v>
      </c>
    </row>
    <row r="1456" spans="2:15" customFormat="1" ht="17.25" thickBot="1" x14ac:dyDescent="0.35">
      <c r="B1456" s="441">
        <f t="shared" si="118"/>
        <v>12000099</v>
      </c>
      <c r="C1456" s="314">
        <v>1</v>
      </c>
      <c r="D1456" s="420"/>
      <c r="E1456" s="314"/>
      <c r="F1456" s="314"/>
      <c r="G1456" s="314">
        <v>1</v>
      </c>
      <c r="H1456" s="50">
        <v>12000099</v>
      </c>
      <c r="I1456" s="50" t="s">
        <v>186</v>
      </c>
      <c r="J1456" s="50">
        <v>21</v>
      </c>
      <c r="K1456" s="105">
        <v>2628207</v>
      </c>
      <c r="L1456" s="50">
        <v>21</v>
      </c>
      <c r="M1456" s="50" t="s">
        <v>4163</v>
      </c>
      <c r="N1456" s="50" t="s">
        <v>4164</v>
      </c>
      <c r="O1456" s="422" t="s">
        <v>4165</v>
      </c>
    </row>
    <row r="1457" spans="2:15" x14ac:dyDescent="0.3">
      <c r="B1457" s="388">
        <f>H1457</f>
        <v>65000001</v>
      </c>
      <c r="C1457" s="389">
        <v>1</v>
      </c>
      <c r="D1457" s="390"/>
      <c r="E1457" s="389">
        <v>0</v>
      </c>
      <c r="F1457" s="389">
        <v>0</v>
      </c>
      <c r="G1457" s="389">
        <v>1</v>
      </c>
      <c r="H1457" s="396">
        <v>65000001</v>
      </c>
      <c r="I1457" s="194" t="s">
        <v>186</v>
      </c>
      <c r="J1457" s="194">
        <v>13</v>
      </c>
      <c r="K1457" s="397">
        <v>1087038</v>
      </c>
      <c r="L1457" s="194">
        <v>21</v>
      </c>
      <c r="M1457" s="194" t="s">
        <v>3758</v>
      </c>
      <c r="N1457" s="194" t="s">
        <v>3509</v>
      </c>
      <c r="O1457" s="399" t="s">
        <v>3510</v>
      </c>
    </row>
    <row r="1458" spans="2:15" x14ac:dyDescent="0.3">
      <c r="B1458" s="391">
        <f>H1458</f>
        <v>65000002</v>
      </c>
      <c r="C1458" s="142">
        <v>1</v>
      </c>
      <c r="D1458" s="392"/>
      <c r="E1458" s="142">
        <v>0</v>
      </c>
      <c r="F1458" s="142">
        <v>0</v>
      </c>
      <c r="G1458" s="142">
        <v>1</v>
      </c>
      <c r="H1458" s="400">
        <v>65000002</v>
      </c>
      <c r="I1458" s="141" t="s">
        <v>186</v>
      </c>
      <c r="J1458" s="141">
        <v>13</v>
      </c>
      <c r="K1458" s="143">
        <v>1087039</v>
      </c>
      <c r="L1458" s="141">
        <v>21</v>
      </c>
      <c r="M1458" s="141" t="s">
        <v>3759</v>
      </c>
      <c r="N1458" s="141" t="s">
        <v>3511</v>
      </c>
      <c r="O1458" s="401" t="s">
        <v>3512</v>
      </c>
    </row>
    <row r="1459" spans="2:15" x14ac:dyDescent="0.3">
      <c r="B1459" s="391">
        <f t="shared" ref="B1459:B1468" si="119">H1459</f>
        <v>65000003</v>
      </c>
      <c r="C1459" s="142">
        <v>1</v>
      </c>
      <c r="D1459" s="392"/>
      <c r="E1459" s="142">
        <v>0</v>
      </c>
      <c r="F1459" s="142">
        <v>0</v>
      </c>
      <c r="G1459" s="142">
        <v>1</v>
      </c>
      <c r="H1459" s="400">
        <v>65000003</v>
      </c>
      <c r="I1459" s="141" t="s">
        <v>186</v>
      </c>
      <c r="J1459" s="141">
        <v>13</v>
      </c>
      <c r="K1459" s="143">
        <v>1087013</v>
      </c>
      <c r="L1459" s="141">
        <v>21</v>
      </c>
      <c r="M1459" s="141" t="s">
        <v>3760</v>
      </c>
      <c r="N1459" s="141" t="s">
        <v>3513</v>
      </c>
      <c r="O1459" s="401" t="s">
        <v>3514</v>
      </c>
    </row>
    <row r="1460" spans="2:15" x14ac:dyDescent="0.3">
      <c r="B1460" s="391">
        <f t="shared" si="119"/>
        <v>65000004</v>
      </c>
      <c r="C1460" s="142">
        <v>1</v>
      </c>
      <c r="D1460" s="392"/>
      <c r="E1460" s="142">
        <v>0</v>
      </c>
      <c r="F1460" s="142">
        <v>0</v>
      </c>
      <c r="G1460" s="142">
        <v>1</v>
      </c>
      <c r="H1460" s="400">
        <v>65000004</v>
      </c>
      <c r="I1460" s="141" t="s">
        <v>186</v>
      </c>
      <c r="J1460" s="141">
        <v>13</v>
      </c>
      <c r="K1460" s="143">
        <v>1087040</v>
      </c>
      <c r="L1460" s="141">
        <v>21</v>
      </c>
      <c r="M1460" s="144" t="s">
        <v>3761</v>
      </c>
      <c r="N1460" s="141" t="s">
        <v>3515</v>
      </c>
      <c r="O1460" s="401" t="s">
        <v>3516</v>
      </c>
    </row>
    <row r="1461" spans="2:15" x14ac:dyDescent="0.3">
      <c r="B1461" s="391">
        <f t="shared" si="119"/>
        <v>65000005</v>
      </c>
      <c r="C1461" s="142">
        <v>1</v>
      </c>
      <c r="D1461" s="392"/>
      <c r="E1461" s="142">
        <v>0</v>
      </c>
      <c r="F1461" s="142">
        <v>0</v>
      </c>
      <c r="G1461" s="142">
        <v>1</v>
      </c>
      <c r="H1461" s="400">
        <v>65000005</v>
      </c>
      <c r="I1461" s="141" t="s">
        <v>186</v>
      </c>
      <c r="J1461" s="141">
        <v>13</v>
      </c>
      <c r="K1461" s="143">
        <v>1087041</v>
      </c>
      <c r="L1461" s="141">
        <v>21</v>
      </c>
      <c r="M1461" s="141" t="s">
        <v>3762</v>
      </c>
      <c r="N1461" s="141" t="s">
        <v>3517</v>
      </c>
      <c r="O1461" s="401" t="s">
        <v>3518</v>
      </c>
    </row>
    <row r="1462" spans="2:15" x14ac:dyDescent="0.3">
      <c r="B1462" s="391">
        <f t="shared" si="119"/>
        <v>65000006</v>
      </c>
      <c r="C1462" s="142">
        <v>1</v>
      </c>
      <c r="D1462" s="392"/>
      <c r="E1462" s="142">
        <v>0</v>
      </c>
      <c r="F1462" s="142">
        <v>0</v>
      </c>
      <c r="G1462" s="142">
        <v>1</v>
      </c>
      <c r="H1462" s="400">
        <v>65000006</v>
      </c>
      <c r="I1462" s="141" t="s">
        <v>186</v>
      </c>
      <c r="J1462" s="141">
        <v>13</v>
      </c>
      <c r="K1462" s="143">
        <v>1087042</v>
      </c>
      <c r="L1462" s="141">
        <v>21</v>
      </c>
      <c r="M1462" s="141" t="s">
        <v>3763</v>
      </c>
      <c r="N1462" s="141" t="s">
        <v>3519</v>
      </c>
      <c r="O1462" s="401" t="s">
        <v>3520</v>
      </c>
    </row>
    <row r="1463" spans="2:15" x14ac:dyDescent="0.3">
      <c r="B1463" s="391">
        <f t="shared" si="119"/>
        <v>65000007</v>
      </c>
      <c r="C1463" s="142">
        <v>1</v>
      </c>
      <c r="D1463" s="392"/>
      <c r="E1463" s="142">
        <v>0</v>
      </c>
      <c r="F1463" s="142">
        <v>0</v>
      </c>
      <c r="G1463" s="142">
        <v>1</v>
      </c>
      <c r="H1463" s="400">
        <v>65000007</v>
      </c>
      <c r="I1463" s="141" t="s">
        <v>186</v>
      </c>
      <c r="J1463" s="141">
        <v>13</v>
      </c>
      <c r="K1463" s="143">
        <v>1087007</v>
      </c>
      <c r="L1463" s="141">
        <v>21</v>
      </c>
      <c r="M1463" s="141" t="s">
        <v>3764</v>
      </c>
      <c r="N1463" s="141" t="s">
        <v>3521</v>
      </c>
      <c r="O1463" s="401" t="s">
        <v>3522</v>
      </c>
    </row>
    <row r="1464" spans="2:15" x14ac:dyDescent="0.3">
      <c r="B1464" s="391">
        <f t="shared" si="119"/>
        <v>65000008</v>
      </c>
      <c r="C1464" s="142">
        <v>1</v>
      </c>
      <c r="D1464" s="392"/>
      <c r="E1464" s="142">
        <v>0</v>
      </c>
      <c r="F1464" s="142">
        <v>0</v>
      </c>
      <c r="G1464" s="142">
        <v>1</v>
      </c>
      <c r="H1464" s="400">
        <v>65000008</v>
      </c>
      <c r="I1464" s="141" t="s">
        <v>186</v>
      </c>
      <c r="J1464" s="141">
        <v>13</v>
      </c>
      <c r="K1464" s="143">
        <v>1087009</v>
      </c>
      <c r="L1464" s="141">
        <v>21</v>
      </c>
      <c r="M1464" s="141" t="s">
        <v>3765</v>
      </c>
      <c r="N1464" s="141" t="s">
        <v>3523</v>
      </c>
      <c r="O1464" s="401" t="s">
        <v>3524</v>
      </c>
    </row>
    <row r="1465" spans="2:15" x14ac:dyDescent="0.3">
      <c r="B1465" s="391">
        <f t="shared" si="119"/>
        <v>65000009</v>
      </c>
      <c r="C1465" s="142">
        <v>1</v>
      </c>
      <c r="D1465" s="392"/>
      <c r="E1465" s="142">
        <v>0</v>
      </c>
      <c r="F1465" s="142">
        <v>0</v>
      </c>
      <c r="G1465" s="142">
        <v>1</v>
      </c>
      <c r="H1465" s="400">
        <v>65000009</v>
      </c>
      <c r="I1465" s="141" t="s">
        <v>186</v>
      </c>
      <c r="J1465" s="141">
        <v>13</v>
      </c>
      <c r="K1465" s="143">
        <v>1087043</v>
      </c>
      <c r="L1465" s="141">
        <v>21</v>
      </c>
      <c r="M1465" s="144" t="s">
        <v>3766</v>
      </c>
      <c r="N1465" s="141" t="s">
        <v>3525</v>
      </c>
      <c r="O1465" s="401" t="s">
        <v>3526</v>
      </c>
    </row>
    <row r="1466" spans="2:15" x14ac:dyDescent="0.3">
      <c r="B1466" s="391">
        <f t="shared" si="119"/>
        <v>65000010</v>
      </c>
      <c r="C1466" s="142">
        <v>1</v>
      </c>
      <c r="D1466" s="392"/>
      <c r="E1466" s="142">
        <v>0</v>
      </c>
      <c r="F1466" s="142">
        <v>0</v>
      </c>
      <c r="G1466" s="142">
        <v>1</v>
      </c>
      <c r="H1466" s="400">
        <v>65000010</v>
      </c>
      <c r="I1466" s="141" t="s">
        <v>186</v>
      </c>
      <c r="J1466" s="141">
        <v>13</v>
      </c>
      <c r="K1466" s="143">
        <v>1045031</v>
      </c>
      <c r="L1466" s="141">
        <v>21</v>
      </c>
      <c r="M1466" s="141" t="s">
        <v>2946</v>
      </c>
      <c r="N1466" s="141" t="s">
        <v>3527</v>
      </c>
      <c r="O1466" s="401" t="s">
        <v>3767</v>
      </c>
    </row>
    <row r="1467" spans="2:15" x14ac:dyDescent="0.3">
      <c r="B1467" s="391">
        <f t="shared" si="119"/>
        <v>65000011</v>
      </c>
      <c r="C1467" s="142">
        <v>1</v>
      </c>
      <c r="D1467" s="392"/>
      <c r="E1467" s="142">
        <v>0</v>
      </c>
      <c r="F1467" s="142">
        <v>0</v>
      </c>
      <c r="G1467" s="142">
        <v>1</v>
      </c>
      <c r="H1467" s="400">
        <v>65000011</v>
      </c>
      <c r="I1467" s="141" t="s">
        <v>186</v>
      </c>
      <c r="J1467" s="141">
        <v>13</v>
      </c>
      <c r="K1467" s="143">
        <v>1087027</v>
      </c>
      <c r="L1467" s="141">
        <v>21</v>
      </c>
      <c r="M1467" s="141" t="s">
        <v>3768</v>
      </c>
      <c r="N1467" s="141" t="s">
        <v>3528</v>
      </c>
      <c r="O1467" s="401" t="s">
        <v>3529</v>
      </c>
    </row>
    <row r="1468" spans="2:15" x14ac:dyDescent="0.3">
      <c r="B1468" s="391">
        <f t="shared" si="119"/>
        <v>65000012</v>
      </c>
      <c r="C1468" s="142">
        <v>1</v>
      </c>
      <c r="D1468" s="392"/>
      <c r="E1468" s="142">
        <v>0</v>
      </c>
      <c r="F1468" s="142">
        <v>0</v>
      </c>
      <c r="G1468" s="142">
        <v>1</v>
      </c>
      <c r="H1468" s="400">
        <v>65000012</v>
      </c>
      <c r="I1468" s="141" t="s">
        <v>186</v>
      </c>
      <c r="J1468" s="141">
        <v>13</v>
      </c>
      <c r="K1468" s="143">
        <v>1087026</v>
      </c>
      <c r="L1468" s="141">
        <v>21</v>
      </c>
      <c r="M1468" s="141" t="s">
        <v>3530</v>
      </c>
      <c r="N1468" s="141" t="s">
        <v>3531</v>
      </c>
      <c r="O1468" s="401" t="s">
        <v>3532</v>
      </c>
    </row>
    <row r="1469" spans="2:15" x14ac:dyDescent="0.3">
      <c r="B1469" s="391">
        <f t="shared" ref="B1469" si="120">H1469</f>
        <v>65000013</v>
      </c>
      <c r="C1469" s="142">
        <v>1</v>
      </c>
      <c r="D1469" s="392"/>
      <c r="E1469" s="142">
        <v>0</v>
      </c>
      <c r="F1469" s="142">
        <v>0</v>
      </c>
      <c r="G1469" s="142">
        <v>1</v>
      </c>
      <c r="H1469" s="400">
        <v>65000013</v>
      </c>
      <c r="I1469" s="141" t="s">
        <v>186</v>
      </c>
      <c r="J1469" s="141">
        <v>13</v>
      </c>
      <c r="K1469" s="143">
        <v>1087025</v>
      </c>
      <c r="L1469" s="141">
        <v>21</v>
      </c>
      <c r="M1469" s="144" t="s">
        <v>3769</v>
      </c>
      <c r="N1469" s="141" t="s">
        <v>3770</v>
      </c>
      <c r="O1469" s="401" t="s">
        <v>3771</v>
      </c>
    </row>
    <row r="1470" spans="2:15" ht="12.75" thickBot="1" x14ac:dyDescent="0.35">
      <c r="B1470" s="393">
        <f t="shared" ref="B1470" si="121">H1470</f>
        <v>65000014</v>
      </c>
      <c r="C1470" s="394">
        <v>1</v>
      </c>
      <c r="D1470" s="395"/>
      <c r="E1470" s="394">
        <v>0</v>
      </c>
      <c r="F1470" s="394">
        <v>0</v>
      </c>
      <c r="G1470" s="394">
        <v>1</v>
      </c>
      <c r="H1470" s="402">
        <v>65000014</v>
      </c>
      <c r="I1470" s="403" t="s">
        <v>186</v>
      </c>
      <c r="J1470" s="403">
        <v>13</v>
      </c>
      <c r="K1470" s="404">
        <v>2042001</v>
      </c>
      <c r="L1470" s="403">
        <v>21</v>
      </c>
      <c r="M1470" s="405" t="s">
        <v>3772</v>
      </c>
      <c r="N1470" s="403" t="s">
        <v>3566</v>
      </c>
      <c r="O1470" s="406" t="s">
        <v>3773</v>
      </c>
    </row>
    <row r="1471" spans="2:15" x14ac:dyDescent="0.3">
      <c r="B1471" s="388">
        <v>17000200</v>
      </c>
      <c r="C1471" s="389">
        <v>1</v>
      </c>
      <c r="D1471" s="390"/>
      <c r="E1471" s="389">
        <v>0</v>
      </c>
      <c r="F1471" s="389">
        <v>0</v>
      </c>
      <c r="G1471" s="389">
        <v>1</v>
      </c>
      <c r="H1471" s="396">
        <v>17000200</v>
      </c>
      <c r="I1471" s="194" t="s">
        <v>186</v>
      </c>
      <c r="J1471" s="194">
        <v>13</v>
      </c>
      <c r="K1471" s="397">
        <v>1087044</v>
      </c>
      <c r="L1471" s="194">
        <v>21</v>
      </c>
      <c r="M1471" s="398" t="s">
        <v>3774</v>
      </c>
      <c r="N1471" s="194" t="s">
        <v>3775</v>
      </c>
      <c r="O1471" s="399" t="s">
        <v>3776</v>
      </c>
    </row>
    <row r="1472" spans="2:15" x14ac:dyDescent="0.3">
      <c r="B1472" s="391">
        <v>17000201</v>
      </c>
      <c r="C1472" s="142">
        <v>1</v>
      </c>
      <c r="D1472" s="392"/>
      <c r="E1472" s="142">
        <v>0</v>
      </c>
      <c r="F1472" s="142">
        <v>0</v>
      </c>
      <c r="G1472" s="142">
        <v>1</v>
      </c>
      <c r="H1472" s="400">
        <v>17000201</v>
      </c>
      <c r="I1472" s="141" t="s">
        <v>186</v>
      </c>
      <c r="J1472" s="141">
        <v>13</v>
      </c>
      <c r="K1472" s="143">
        <v>1087046</v>
      </c>
      <c r="L1472" s="141">
        <v>21</v>
      </c>
      <c r="M1472" s="144" t="s">
        <v>3777</v>
      </c>
      <c r="N1472" s="141" t="s">
        <v>3778</v>
      </c>
      <c r="O1472" s="401" t="s">
        <v>3779</v>
      </c>
    </row>
    <row r="1473" spans="2:15" x14ac:dyDescent="0.3">
      <c r="B1473" s="391">
        <v>17000202</v>
      </c>
      <c r="C1473" s="142">
        <v>1</v>
      </c>
      <c r="D1473" s="392"/>
      <c r="E1473" s="142">
        <v>0</v>
      </c>
      <c r="F1473" s="142">
        <v>0</v>
      </c>
      <c r="G1473" s="142">
        <v>1</v>
      </c>
      <c r="H1473" s="400">
        <v>17000202</v>
      </c>
      <c r="I1473" s="141" t="s">
        <v>186</v>
      </c>
      <c r="J1473" s="141">
        <v>13</v>
      </c>
      <c r="K1473" s="143">
        <v>1087047</v>
      </c>
      <c r="L1473" s="141">
        <v>21</v>
      </c>
      <c r="M1473" s="144" t="s">
        <v>3780</v>
      </c>
      <c r="N1473" s="141" t="s">
        <v>3781</v>
      </c>
      <c r="O1473" s="401" t="s">
        <v>3782</v>
      </c>
    </row>
    <row r="1474" spans="2:15" ht="12.75" thickBot="1" x14ac:dyDescent="0.35">
      <c r="B1474" s="393">
        <v>17000203</v>
      </c>
      <c r="C1474" s="394">
        <v>1</v>
      </c>
      <c r="D1474" s="395"/>
      <c r="E1474" s="394">
        <v>0</v>
      </c>
      <c r="F1474" s="394">
        <v>0</v>
      </c>
      <c r="G1474" s="394">
        <v>1</v>
      </c>
      <c r="H1474" s="402">
        <v>17000203</v>
      </c>
      <c r="I1474" s="403" t="s">
        <v>186</v>
      </c>
      <c r="J1474" s="403">
        <v>13</v>
      </c>
      <c r="K1474" s="404">
        <v>1087052</v>
      </c>
      <c r="L1474" s="403">
        <v>21</v>
      </c>
      <c r="M1474" s="405" t="s">
        <v>3783</v>
      </c>
      <c r="N1474" s="403" t="s">
        <v>3784</v>
      </c>
      <c r="O1474" s="406" t="s">
        <v>3782</v>
      </c>
    </row>
    <row r="1475" spans="2:15" x14ac:dyDescent="0.3">
      <c r="B1475" s="407">
        <v>17000204</v>
      </c>
      <c r="C1475" s="288">
        <v>1</v>
      </c>
      <c r="D1475" s="408"/>
      <c r="E1475" s="288">
        <v>0</v>
      </c>
      <c r="F1475" s="288">
        <v>0</v>
      </c>
      <c r="G1475" s="288">
        <v>1</v>
      </c>
      <c r="H1475" s="409">
        <v>17000204</v>
      </c>
      <c r="I1475" s="224" t="s">
        <v>186</v>
      </c>
      <c r="J1475" s="224">
        <v>21</v>
      </c>
      <c r="K1475" s="289">
        <v>1059725</v>
      </c>
      <c r="L1475" s="224">
        <v>21</v>
      </c>
      <c r="M1475" s="290" t="s">
        <v>2690</v>
      </c>
      <c r="N1475" s="224" t="s">
        <v>3874</v>
      </c>
      <c r="O1475" s="410" t="s">
        <v>3875</v>
      </c>
    </row>
    <row r="1476" spans="2:15" x14ac:dyDescent="0.3">
      <c r="B1476" s="407">
        <v>17000205</v>
      </c>
      <c r="C1476" s="288">
        <v>1</v>
      </c>
      <c r="D1476" s="408"/>
      <c r="E1476" s="288">
        <v>0</v>
      </c>
      <c r="F1476" s="288">
        <v>0</v>
      </c>
      <c r="G1476" s="288">
        <v>1</v>
      </c>
      <c r="H1476" s="409">
        <v>17000205</v>
      </c>
      <c r="I1476" s="224" t="s">
        <v>186</v>
      </c>
      <c r="J1476" s="224">
        <v>21</v>
      </c>
      <c r="K1476" s="289">
        <v>1059717</v>
      </c>
      <c r="L1476" s="224">
        <v>21</v>
      </c>
      <c r="M1476" s="290" t="s">
        <v>3876</v>
      </c>
      <c r="N1476" s="224" t="s">
        <v>3877</v>
      </c>
      <c r="O1476" s="410" t="s">
        <v>3878</v>
      </c>
    </row>
    <row r="1477" spans="2:15" ht="12.75" thickBot="1" x14ac:dyDescent="0.35">
      <c r="B1477" s="407">
        <v>62000001</v>
      </c>
      <c r="C1477" s="288">
        <v>1</v>
      </c>
      <c r="D1477" s="408"/>
      <c r="E1477" s="288">
        <v>0</v>
      </c>
      <c r="F1477" s="288">
        <v>0</v>
      </c>
      <c r="G1477" s="288">
        <v>1</v>
      </c>
      <c r="H1477" s="409">
        <v>62000001</v>
      </c>
      <c r="I1477" s="224" t="s">
        <v>186</v>
      </c>
      <c r="J1477" s="224">
        <v>13</v>
      </c>
      <c r="K1477" s="289">
        <v>1087050</v>
      </c>
      <c r="L1477" s="224">
        <v>21</v>
      </c>
      <c r="M1477" s="290" t="s">
        <v>3064</v>
      </c>
      <c r="N1477" s="224" t="s">
        <v>3785</v>
      </c>
      <c r="O1477" s="410" t="s">
        <v>3786</v>
      </c>
    </row>
    <row r="1478" spans="2:15" x14ac:dyDescent="0.3">
      <c r="B1478" s="411">
        <f t="shared" ref="B1478:B1491" si="122">H1478</f>
        <v>1110000</v>
      </c>
      <c r="C1478" s="412">
        <v>1</v>
      </c>
      <c r="D1478" s="413"/>
      <c r="E1478" s="412">
        <v>0</v>
      </c>
      <c r="F1478" s="412">
        <v>0</v>
      </c>
      <c r="G1478" s="412">
        <v>1</v>
      </c>
      <c r="H1478" s="414">
        <v>1110000</v>
      </c>
      <c r="I1478" s="415" t="s">
        <v>186</v>
      </c>
      <c r="J1478" s="415">
        <v>13</v>
      </c>
      <c r="K1478" s="416">
        <v>1400626</v>
      </c>
      <c r="L1478" s="415">
        <v>21</v>
      </c>
      <c r="M1478" s="417" t="s">
        <v>3722</v>
      </c>
      <c r="N1478" s="415" t="s">
        <v>3723</v>
      </c>
      <c r="O1478" s="418" t="s">
        <v>3724</v>
      </c>
    </row>
    <row r="1479" spans="2:15" x14ac:dyDescent="0.3">
      <c r="B1479" s="419">
        <f t="shared" si="122"/>
        <v>1110001</v>
      </c>
      <c r="C1479" s="314">
        <v>1</v>
      </c>
      <c r="D1479" s="420"/>
      <c r="E1479" s="314">
        <v>0</v>
      </c>
      <c r="F1479" s="314">
        <v>0</v>
      </c>
      <c r="G1479" s="314">
        <v>1</v>
      </c>
      <c r="H1479" s="421">
        <v>1110001</v>
      </c>
      <c r="I1479" s="50" t="s">
        <v>186</v>
      </c>
      <c r="J1479" s="50">
        <v>13</v>
      </c>
      <c r="K1479" s="105">
        <v>1400627</v>
      </c>
      <c r="L1479" s="50">
        <v>21</v>
      </c>
      <c r="M1479" s="208" t="s">
        <v>3725</v>
      </c>
      <c r="N1479" s="50" t="s">
        <v>3726</v>
      </c>
      <c r="O1479" s="422" t="s">
        <v>3727</v>
      </c>
    </row>
    <row r="1480" spans="2:15" x14ac:dyDescent="0.3">
      <c r="B1480" s="419">
        <f t="shared" si="122"/>
        <v>1110002</v>
      </c>
      <c r="C1480" s="314">
        <v>1</v>
      </c>
      <c r="D1480" s="420"/>
      <c r="E1480" s="314">
        <v>0</v>
      </c>
      <c r="F1480" s="314">
        <v>0</v>
      </c>
      <c r="G1480" s="314">
        <v>1</v>
      </c>
      <c r="H1480" s="421">
        <v>1110002</v>
      </c>
      <c r="I1480" s="50" t="s">
        <v>186</v>
      </c>
      <c r="J1480" s="50">
        <v>13</v>
      </c>
      <c r="K1480" s="105">
        <v>1400628</v>
      </c>
      <c r="L1480" s="50">
        <v>21</v>
      </c>
      <c r="M1480" s="208" t="s">
        <v>3728</v>
      </c>
      <c r="N1480" s="50" t="s">
        <v>3729</v>
      </c>
      <c r="O1480" s="422" t="s">
        <v>3730</v>
      </c>
    </row>
    <row r="1481" spans="2:15" x14ac:dyDescent="0.3">
      <c r="B1481" s="419">
        <f t="shared" si="122"/>
        <v>1110003</v>
      </c>
      <c r="C1481" s="314">
        <v>1</v>
      </c>
      <c r="D1481" s="420"/>
      <c r="E1481" s="314">
        <v>0</v>
      </c>
      <c r="F1481" s="314">
        <v>0</v>
      </c>
      <c r="G1481" s="314">
        <v>1</v>
      </c>
      <c r="H1481" s="421">
        <v>1110003</v>
      </c>
      <c r="I1481" s="50" t="s">
        <v>186</v>
      </c>
      <c r="J1481" s="50">
        <v>13</v>
      </c>
      <c r="K1481" s="105">
        <v>1400629</v>
      </c>
      <c r="L1481" s="50">
        <v>21</v>
      </c>
      <c r="M1481" s="208" t="s">
        <v>3731</v>
      </c>
      <c r="N1481" s="50" t="s">
        <v>3732</v>
      </c>
      <c r="O1481" s="422" t="s">
        <v>3733</v>
      </c>
    </row>
    <row r="1482" spans="2:15" x14ac:dyDescent="0.3">
      <c r="B1482" s="419">
        <f t="shared" si="122"/>
        <v>1110004</v>
      </c>
      <c r="C1482" s="314">
        <v>1</v>
      </c>
      <c r="D1482" s="420"/>
      <c r="E1482" s="314">
        <v>0</v>
      </c>
      <c r="F1482" s="314">
        <v>0</v>
      </c>
      <c r="G1482" s="314">
        <v>1</v>
      </c>
      <c r="H1482" s="421">
        <v>1110004</v>
      </c>
      <c r="I1482" s="50" t="s">
        <v>186</v>
      </c>
      <c r="J1482" s="50">
        <v>13</v>
      </c>
      <c r="K1482" s="105">
        <v>1400630</v>
      </c>
      <c r="L1482" s="50">
        <v>21</v>
      </c>
      <c r="M1482" s="208" t="s">
        <v>3734</v>
      </c>
      <c r="N1482" s="50" t="s">
        <v>3735</v>
      </c>
      <c r="O1482" s="422" t="s">
        <v>3736</v>
      </c>
    </row>
    <row r="1483" spans="2:15" x14ac:dyDescent="0.3">
      <c r="B1483" s="419">
        <f t="shared" si="122"/>
        <v>1110005</v>
      </c>
      <c r="C1483" s="314">
        <v>1</v>
      </c>
      <c r="D1483" s="420"/>
      <c r="E1483" s="314">
        <v>0</v>
      </c>
      <c r="F1483" s="314">
        <v>0</v>
      </c>
      <c r="G1483" s="314">
        <v>1</v>
      </c>
      <c r="H1483" s="421">
        <v>1110005</v>
      </c>
      <c r="I1483" s="50" t="s">
        <v>186</v>
      </c>
      <c r="J1483" s="50">
        <v>13</v>
      </c>
      <c r="K1483" s="105">
        <v>1400631</v>
      </c>
      <c r="L1483" s="50">
        <v>21</v>
      </c>
      <c r="M1483" s="208" t="s">
        <v>3737</v>
      </c>
      <c r="N1483" s="50" t="s">
        <v>3738</v>
      </c>
      <c r="O1483" s="422" t="s">
        <v>3739</v>
      </c>
    </row>
    <row r="1484" spans="2:15" x14ac:dyDescent="0.3">
      <c r="B1484" s="419">
        <f t="shared" si="122"/>
        <v>1110006</v>
      </c>
      <c r="C1484" s="314">
        <v>1</v>
      </c>
      <c r="D1484" s="420"/>
      <c r="E1484" s="314">
        <v>0</v>
      </c>
      <c r="F1484" s="314">
        <v>0</v>
      </c>
      <c r="G1484" s="314">
        <v>1</v>
      </c>
      <c r="H1484" s="421">
        <v>1110006</v>
      </c>
      <c r="I1484" s="50" t="s">
        <v>186</v>
      </c>
      <c r="J1484" s="50">
        <v>13</v>
      </c>
      <c r="K1484" s="105">
        <v>1400632</v>
      </c>
      <c r="L1484" s="50">
        <v>21</v>
      </c>
      <c r="M1484" s="208" t="s">
        <v>3740</v>
      </c>
      <c r="N1484" s="50" t="s">
        <v>3741</v>
      </c>
      <c r="O1484" s="422" t="s">
        <v>3742</v>
      </c>
    </row>
    <row r="1485" spans="2:15" x14ac:dyDescent="0.3">
      <c r="B1485" s="419">
        <f t="shared" si="122"/>
        <v>1110007</v>
      </c>
      <c r="C1485" s="314">
        <v>1</v>
      </c>
      <c r="D1485" s="420"/>
      <c r="E1485" s="314">
        <v>0</v>
      </c>
      <c r="F1485" s="314">
        <v>0</v>
      </c>
      <c r="G1485" s="314">
        <v>1</v>
      </c>
      <c r="H1485" s="421">
        <v>1110007</v>
      </c>
      <c r="I1485" s="50" t="s">
        <v>186</v>
      </c>
      <c r="J1485" s="50">
        <v>13</v>
      </c>
      <c r="K1485" s="105">
        <v>1400633</v>
      </c>
      <c r="L1485" s="50">
        <v>21</v>
      </c>
      <c r="M1485" s="208" t="s">
        <v>3743</v>
      </c>
      <c r="N1485" s="50" t="s">
        <v>3744</v>
      </c>
      <c r="O1485" s="422" t="s">
        <v>3745</v>
      </c>
    </row>
    <row r="1486" spans="2:15" x14ac:dyDescent="0.3">
      <c r="B1486" s="419">
        <f t="shared" si="122"/>
        <v>1110008</v>
      </c>
      <c r="C1486" s="314">
        <v>1</v>
      </c>
      <c r="D1486" s="420"/>
      <c r="E1486" s="314">
        <v>0</v>
      </c>
      <c r="F1486" s="314">
        <v>0</v>
      </c>
      <c r="G1486" s="314">
        <v>1</v>
      </c>
      <c r="H1486" s="421">
        <v>1110008</v>
      </c>
      <c r="I1486" s="50" t="s">
        <v>186</v>
      </c>
      <c r="J1486" s="50">
        <v>13</v>
      </c>
      <c r="K1486" s="105">
        <v>1400634</v>
      </c>
      <c r="L1486" s="50">
        <v>21</v>
      </c>
      <c r="M1486" s="208" t="s">
        <v>3746</v>
      </c>
      <c r="N1486" s="50" t="s">
        <v>3747</v>
      </c>
      <c r="O1486" s="422" t="s">
        <v>3748</v>
      </c>
    </row>
    <row r="1487" spans="2:15" x14ac:dyDescent="0.3">
      <c r="B1487" s="419">
        <f t="shared" si="122"/>
        <v>1110009</v>
      </c>
      <c r="C1487" s="314">
        <v>1</v>
      </c>
      <c r="D1487" s="420"/>
      <c r="E1487" s="314">
        <v>0</v>
      </c>
      <c r="F1487" s="314">
        <v>0</v>
      </c>
      <c r="G1487" s="314">
        <v>1</v>
      </c>
      <c r="H1487" s="421">
        <v>1110009</v>
      </c>
      <c r="I1487" s="50" t="s">
        <v>186</v>
      </c>
      <c r="J1487" s="50">
        <v>13</v>
      </c>
      <c r="K1487" s="105">
        <v>1400635</v>
      </c>
      <c r="L1487" s="50">
        <v>21</v>
      </c>
      <c r="M1487" s="208" t="s">
        <v>3749</v>
      </c>
      <c r="N1487" s="50" t="s">
        <v>3750</v>
      </c>
      <c r="O1487" s="422" t="s">
        <v>3751</v>
      </c>
    </row>
    <row r="1488" spans="2:15" ht="12.75" thickBot="1" x14ac:dyDescent="0.35">
      <c r="B1488" s="423">
        <f t="shared" si="122"/>
        <v>1110010</v>
      </c>
      <c r="C1488" s="424">
        <v>1</v>
      </c>
      <c r="D1488" s="425"/>
      <c r="E1488" s="424">
        <v>0</v>
      </c>
      <c r="F1488" s="424">
        <v>0</v>
      </c>
      <c r="G1488" s="424">
        <v>1</v>
      </c>
      <c r="H1488" s="426">
        <v>1110010</v>
      </c>
      <c r="I1488" s="251" t="s">
        <v>186</v>
      </c>
      <c r="J1488" s="251">
        <v>13</v>
      </c>
      <c r="K1488" s="252">
        <v>1400636</v>
      </c>
      <c r="L1488" s="251">
        <v>21</v>
      </c>
      <c r="M1488" s="209" t="s">
        <v>3752</v>
      </c>
      <c r="N1488" s="251" t="s">
        <v>3753</v>
      </c>
      <c r="O1488" s="427" t="s">
        <v>3754</v>
      </c>
    </row>
    <row r="1489" spans="2:15" ht="13.5" x14ac:dyDescent="0.3">
      <c r="B1489" s="411">
        <f t="shared" si="122"/>
        <v>65100001</v>
      </c>
      <c r="C1489" s="412">
        <v>1</v>
      </c>
      <c r="D1489" s="413" t="s">
        <v>3799</v>
      </c>
      <c r="E1489" s="412">
        <v>0</v>
      </c>
      <c r="F1489" s="412" t="s">
        <v>3833</v>
      </c>
      <c r="G1489" s="412">
        <v>1</v>
      </c>
      <c r="H1489" s="414">
        <v>65100001</v>
      </c>
      <c r="I1489" s="415" t="s">
        <v>186</v>
      </c>
      <c r="J1489" s="415">
        <v>13</v>
      </c>
      <c r="K1489" s="416">
        <v>2618037</v>
      </c>
      <c r="L1489" s="415">
        <v>21</v>
      </c>
      <c r="M1489" s="429" t="s">
        <v>3790</v>
      </c>
      <c r="N1489" s="415" t="s">
        <v>3791</v>
      </c>
      <c r="O1489" s="418" t="s">
        <v>3792</v>
      </c>
    </row>
    <row r="1490" spans="2:15" ht="13.5" x14ac:dyDescent="0.3">
      <c r="B1490" s="419">
        <f t="shared" si="122"/>
        <v>65100002</v>
      </c>
      <c r="C1490" s="314">
        <v>1</v>
      </c>
      <c r="D1490" s="420" t="s">
        <v>3798</v>
      </c>
      <c r="E1490" s="314">
        <v>0</v>
      </c>
      <c r="F1490" s="314" t="s">
        <v>3832</v>
      </c>
      <c r="G1490" s="314">
        <v>1</v>
      </c>
      <c r="H1490" s="421">
        <v>65100002</v>
      </c>
      <c r="I1490" s="50" t="s">
        <v>186</v>
      </c>
      <c r="J1490" s="50">
        <v>13</v>
      </c>
      <c r="K1490" s="105">
        <v>2618038</v>
      </c>
      <c r="L1490" s="50">
        <v>21</v>
      </c>
      <c r="M1490" s="429" t="s">
        <v>3793</v>
      </c>
      <c r="N1490" s="50" t="s">
        <v>3794</v>
      </c>
      <c r="O1490" s="422" t="s">
        <v>3795</v>
      </c>
    </row>
    <row r="1491" spans="2:15" ht="13.5" x14ac:dyDescent="0.3">
      <c r="B1491" s="419">
        <f t="shared" si="122"/>
        <v>65100003</v>
      </c>
      <c r="C1491" s="314">
        <v>1</v>
      </c>
      <c r="D1491" s="420" t="s">
        <v>3798</v>
      </c>
      <c r="E1491" s="314">
        <v>0</v>
      </c>
      <c r="F1491" s="314" t="s">
        <v>3832</v>
      </c>
      <c r="G1491" s="314">
        <v>1</v>
      </c>
      <c r="H1491" s="421">
        <v>65100003</v>
      </c>
      <c r="I1491" s="50" t="s">
        <v>186</v>
      </c>
      <c r="J1491" s="50">
        <v>13</v>
      </c>
      <c r="K1491" s="105">
        <v>2618039</v>
      </c>
      <c r="L1491" s="50">
        <v>21</v>
      </c>
      <c r="M1491" s="429" t="s">
        <v>3796</v>
      </c>
      <c r="N1491" s="50" t="s">
        <v>3797</v>
      </c>
      <c r="O1491" s="422" t="s">
        <v>3795</v>
      </c>
    </row>
    <row r="1492" spans="2:15" ht="13.5" x14ac:dyDescent="0.3">
      <c r="B1492" s="419">
        <f t="shared" ref="B1492" si="123">H1492</f>
        <v>13000025</v>
      </c>
      <c r="C1492" s="314">
        <v>0</v>
      </c>
      <c r="D1492" s="420"/>
      <c r="E1492" s="314">
        <v>0</v>
      </c>
      <c r="F1492" s="314" t="s">
        <v>3800</v>
      </c>
      <c r="G1492" s="314">
        <v>1</v>
      </c>
      <c r="H1492" s="421">
        <v>13000025</v>
      </c>
      <c r="I1492" s="50" t="s">
        <v>186</v>
      </c>
      <c r="J1492" s="50">
        <v>13</v>
      </c>
      <c r="K1492" s="430">
        <v>2531068</v>
      </c>
      <c r="L1492" s="50">
        <v>21</v>
      </c>
      <c r="M1492" s="378" t="s">
        <v>3801</v>
      </c>
      <c r="N1492" s="50" t="s">
        <v>3803</v>
      </c>
      <c r="O1492" s="422" t="s">
        <v>3802</v>
      </c>
    </row>
    <row r="1493" spans="2:15" x14ac:dyDescent="0.3">
      <c r="B1493" s="419">
        <f t="shared" ref="B1493:B1498" si="124">H1493</f>
        <v>64000101</v>
      </c>
      <c r="C1493" s="314">
        <v>0</v>
      </c>
      <c r="D1493" s="420"/>
      <c r="E1493" s="314">
        <v>0</v>
      </c>
      <c r="F1493" s="314" t="s">
        <v>3807</v>
      </c>
      <c r="G1493" s="314">
        <v>1</v>
      </c>
      <c r="H1493" s="421">
        <v>64000101</v>
      </c>
      <c r="I1493" s="50" t="s">
        <v>186</v>
      </c>
      <c r="J1493" s="50">
        <v>13</v>
      </c>
      <c r="K1493" s="105">
        <v>2619028</v>
      </c>
      <c r="L1493" s="50">
        <v>21</v>
      </c>
      <c r="M1493" s="50" t="s">
        <v>3808</v>
      </c>
      <c r="N1493" s="50" t="s">
        <v>3814</v>
      </c>
      <c r="O1493" s="50" t="s">
        <v>3820</v>
      </c>
    </row>
    <row r="1494" spans="2:15" x14ac:dyDescent="0.3">
      <c r="B1494" s="419">
        <f t="shared" si="124"/>
        <v>64000102</v>
      </c>
      <c r="C1494" s="314">
        <v>0</v>
      </c>
      <c r="D1494" s="420"/>
      <c r="E1494" s="314">
        <v>0</v>
      </c>
      <c r="F1494" s="314" t="s">
        <v>3807</v>
      </c>
      <c r="G1494" s="314">
        <v>1</v>
      </c>
      <c r="H1494" s="421">
        <v>64000102</v>
      </c>
      <c r="I1494" s="50" t="s">
        <v>186</v>
      </c>
      <c r="J1494" s="50">
        <v>13</v>
      </c>
      <c r="K1494" s="105">
        <v>2619036</v>
      </c>
      <c r="L1494" s="50">
        <v>21</v>
      </c>
      <c r="M1494" s="50" t="s">
        <v>3809</v>
      </c>
      <c r="N1494" s="50" t="s">
        <v>3815</v>
      </c>
      <c r="O1494" s="50" t="s">
        <v>3821</v>
      </c>
    </row>
    <row r="1495" spans="2:15" x14ac:dyDescent="0.3">
      <c r="B1495" s="419">
        <f t="shared" si="124"/>
        <v>64000103</v>
      </c>
      <c r="C1495" s="314">
        <v>0</v>
      </c>
      <c r="D1495" s="420"/>
      <c r="E1495" s="314">
        <v>0</v>
      </c>
      <c r="F1495" s="314" t="s">
        <v>3807</v>
      </c>
      <c r="G1495" s="314">
        <v>1</v>
      </c>
      <c r="H1495" s="421">
        <v>64000103</v>
      </c>
      <c r="I1495" s="50" t="s">
        <v>186</v>
      </c>
      <c r="J1495" s="50">
        <v>13</v>
      </c>
      <c r="K1495" s="105">
        <v>2619037</v>
      </c>
      <c r="L1495" s="50">
        <v>21</v>
      </c>
      <c r="M1495" s="50" t="s">
        <v>3810</v>
      </c>
      <c r="N1495" s="50" t="s">
        <v>3816</v>
      </c>
      <c r="O1495" s="50" t="s">
        <v>3822</v>
      </c>
    </row>
    <row r="1496" spans="2:15" x14ac:dyDescent="0.3">
      <c r="B1496" s="419">
        <f t="shared" si="124"/>
        <v>64000104</v>
      </c>
      <c r="C1496" s="314">
        <v>0</v>
      </c>
      <c r="D1496" s="420"/>
      <c r="E1496" s="314">
        <v>0</v>
      </c>
      <c r="F1496" s="314" t="s">
        <v>3807</v>
      </c>
      <c r="G1496" s="314">
        <v>1</v>
      </c>
      <c r="H1496" s="421">
        <v>64000104</v>
      </c>
      <c r="I1496" s="50" t="s">
        <v>186</v>
      </c>
      <c r="J1496" s="50">
        <v>13</v>
      </c>
      <c r="K1496" s="105">
        <v>2619038</v>
      </c>
      <c r="L1496" s="50">
        <v>21</v>
      </c>
      <c r="M1496" s="50" t="s">
        <v>3811</v>
      </c>
      <c r="N1496" s="50" t="s">
        <v>3817</v>
      </c>
      <c r="O1496" s="50" t="s">
        <v>3823</v>
      </c>
    </row>
    <row r="1497" spans="2:15" x14ac:dyDescent="0.3">
      <c r="B1497" s="419">
        <f t="shared" si="124"/>
        <v>64000105</v>
      </c>
      <c r="C1497" s="314">
        <v>0</v>
      </c>
      <c r="D1497" s="420"/>
      <c r="E1497" s="314">
        <v>0</v>
      </c>
      <c r="F1497" s="314" t="s">
        <v>3807</v>
      </c>
      <c r="G1497" s="314">
        <v>1</v>
      </c>
      <c r="H1497" s="421">
        <v>64000105</v>
      </c>
      <c r="I1497" s="50" t="s">
        <v>186</v>
      </c>
      <c r="J1497" s="50">
        <v>13</v>
      </c>
      <c r="K1497" s="105">
        <v>2619039</v>
      </c>
      <c r="L1497" s="50">
        <v>21</v>
      </c>
      <c r="M1497" s="50" t="s">
        <v>3812</v>
      </c>
      <c r="N1497" s="50" t="s">
        <v>3818</v>
      </c>
      <c r="O1497" s="50" t="s">
        <v>3824</v>
      </c>
    </row>
    <row r="1498" spans="2:15" x14ac:dyDescent="0.3">
      <c r="B1498" s="419">
        <f t="shared" si="124"/>
        <v>64000106</v>
      </c>
      <c r="C1498" s="314">
        <v>0</v>
      </c>
      <c r="D1498" s="420"/>
      <c r="E1498" s="314">
        <v>0</v>
      </c>
      <c r="F1498" s="314" t="s">
        <v>3807</v>
      </c>
      <c r="G1498" s="314">
        <v>1</v>
      </c>
      <c r="H1498" s="421">
        <v>64000106</v>
      </c>
      <c r="I1498" s="50" t="s">
        <v>186</v>
      </c>
      <c r="J1498" s="50">
        <v>13</v>
      </c>
      <c r="K1498" s="105">
        <v>2619040</v>
      </c>
      <c r="L1498" s="50">
        <v>21</v>
      </c>
      <c r="M1498" s="50" t="s">
        <v>3813</v>
      </c>
      <c r="N1498" s="50" t="s">
        <v>3819</v>
      </c>
      <c r="O1498" s="50" t="s">
        <v>3825</v>
      </c>
    </row>
    <row r="1499" spans="2:15" ht="12.75" thickBot="1" x14ac:dyDescent="0.35">
      <c r="B1499" s="419">
        <f t="shared" ref="B1499:B1520" si="125">H1499</f>
        <v>64000107</v>
      </c>
      <c r="C1499" s="314">
        <v>0</v>
      </c>
      <c r="D1499" s="420"/>
      <c r="E1499" s="314">
        <v>0</v>
      </c>
      <c r="F1499" s="314" t="s">
        <v>3807</v>
      </c>
      <c r="G1499" s="314">
        <v>1</v>
      </c>
      <c r="H1499" s="421">
        <v>64000107</v>
      </c>
      <c r="I1499" s="50" t="s">
        <v>186</v>
      </c>
      <c r="J1499" s="50">
        <v>13</v>
      </c>
      <c r="K1499" s="105">
        <v>2619028</v>
      </c>
      <c r="L1499" s="50">
        <v>21</v>
      </c>
      <c r="M1499" s="50" t="s">
        <v>3829</v>
      </c>
      <c r="N1499" s="50" t="s">
        <v>3830</v>
      </c>
      <c r="O1499" s="50" t="s">
        <v>3831</v>
      </c>
    </row>
    <row r="1500" spans="2:15" ht="12.75" thickBot="1" x14ac:dyDescent="0.35">
      <c r="B1500" s="451">
        <f>H1500</f>
        <v>64000110</v>
      </c>
      <c r="C1500" s="452">
        <v>1</v>
      </c>
      <c r="D1500" s="453">
        <v>0</v>
      </c>
      <c r="E1500" s="452">
        <v>0</v>
      </c>
      <c r="F1500" s="452" t="s">
        <v>4301</v>
      </c>
      <c r="G1500" s="452">
        <v>1</v>
      </c>
      <c r="H1500" s="454">
        <v>64000110</v>
      </c>
      <c r="I1500" s="376" t="s">
        <v>186</v>
      </c>
      <c r="J1500" s="376">
        <v>13</v>
      </c>
      <c r="K1500" s="377">
        <v>1017114</v>
      </c>
      <c r="L1500" s="376">
        <v>21</v>
      </c>
      <c r="M1500" s="376" t="s">
        <v>4305</v>
      </c>
      <c r="N1500" s="376" t="s">
        <v>4306</v>
      </c>
      <c r="O1500" s="136" t="s">
        <v>4304</v>
      </c>
    </row>
    <row r="1501" spans="2:15" ht="13.5" x14ac:dyDescent="0.3">
      <c r="B1501" s="419">
        <f t="shared" si="125"/>
        <v>66000001</v>
      </c>
      <c r="C1501" s="314">
        <v>1</v>
      </c>
      <c r="D1501" s="420" t="s">
        <v>3855</v>
      </c>
      <c r="E1501" s="314">
        <v>0</v>
      </c>
      <c r="F1501" s="314" t="s">
        <v>3879</v>
      </c>
      <c r="G1501" s="314">
        <v>1</v>
      </c>
      <c r="H1501" s="421">
        <v>66000001</v>
      </c>
      <c r="I1501" s="50" t="s">
        <v>186</v>
      </c>
      <c r="J1501" s="50">
        <v>13</v>
      </c>
      <c r="K1501" s="105">
        <v>2620201</v>
      </c>
      <c r="L1501" s="50">
        <v>21</v>
      </c>
      <c r="M1501" s="429" t="s">
        <v>3856</v>
      </c>
      <c r="N1501" s="50" t="s">
        <v>3857</v>
      </c>
      <c r="O1501" s="422" t="s">
        <v>3858</v>
      </c>
    </row>
    <row r="1502" spans="2:15" ht="13.5" x14ac:dyDescent="0.3">
      <c r="B1502" s="419">
        <f t="shared" si="125"/>
        <v>66000002</v>
      </c>
      <c r="C1502" s="314">
        <v>1</v>
      </c>
      <c r="D1502" s="420" t="s">
        <v>3855</v>
      </c>
      <c r="E1502" s="314">
        <v>0</v>
      </c>
      <c r="F1502" s="314" t="s">
        <v>3879</v>
      </c>
      <c r="G1502" s="314">
        <v>1</v>
      </c>
      <c r="H1502" s="421">
        <v>66000002</v>
      </c>
      <c r="I1502" s="50" t="s">
        <v>186</v>
      </c>
      <c r="J1502" s="50">
        <v>13</v>
      </c>
      <c r="K1502" s="105">
        <v>2620202</v>
      </c>
      <c r="L1502" s="50">
        <v>21</v>
      </c>
      <c r="M1502" s="429" t="s">
        <v>3859</v>
      </c>
      <c r="N1502" s="50" t="s">
        <v>3860</v>
      </c>
      <c r="O1502" s="422" t="s">
        <v>3861</v>
      </c>
    </row>
    <row r="1503" spans="2:15" ht="13.5" x14ac:dyDescent="0.3">
      <c r="B1503" s="419">
        <f t="shared" si="125"/>
        <v>66000003</v>
      </c>
      <c r="C1503" s="314">
        <v>1</v>
      </c>
      <c r="D1503" s="420" t="s">
        <v>3855</v>
      </c>
      <c r="E1503" s="314">
        <v>0</v>
      </c>
      <c r="F1503" s="314" t="s">
        <v>3879</v>
      </c>
      <c r="G1503" s="314">
        <v>1</v>
      </c>
      <c r="H1503" s="421">
        <v>66000003</v>
      </c>
      <c r="I1503" s="50" t="s">
        <v>186</v>
      </c>
      <c r="J1503" s="50">
        <v>13</v>
      </c>
      <c r="K1503" s="105">
        <v>2620203</v>
      </c>
      <c r="L1503" s="50">
        <v>21</v>
      </c>
      <c r="M1503" s="429" t="s">
        <v>3862</v>
      </c>
      <c r="N1503" s="50" t="s">
        <v>3863</v>
      </c>
      <c r="O1503" s="422" t="s">
        <v>3864</v>
      </c>
    </row>
    <row r="1504" spans="2:15" ht="13.5" x14ac:dyDescent="0.3">
      <c r="B1504" s="419">
        <f t="shared" si="125"/>
        <v>66000004</v>
      </c>
      <c r="C1504" s="314">
        <v>1</v>
      </c>
      <c r="D1504" s="420" t="s">
        <v>3855</v>
      </c>
      <c r="E1504" s="314">
        <v>0</v>
      </c>
      <c r="F1504" s="314" t="s">
        <v>3879</v>
      </c>
      <c r="G1504" s="314">
        <v>1</v>
      </c>
      <c r="H1504" s="421">
        <v>66000004</v>
      </c>
      <c r="I1504" s="50" t="s">
        <v>186</v>
      </c>
      <c r="J1504" s="50">
        <v>13</v>
      </c>
      <c r="K1504" s="105">
        <v>2620204</v>
      </c>
      <c r="L1504" s="50">
        <v>21</v>
      </c>
      <c r="M1504" s="429" t="s">
        <v>3865</v>
      </c>
      <c r="N1504" s="50" t="s">
        <v>3866</v>
      </c>
      <c r="O1504" s="422" t="s">
        <v>3867</v>
      </c>
    </row>
    <row r="1505" spans="2:15" ht="13.5" x14ac:dyDescent="0.3">
      <c r="B1505" s="419">
        <f t="shared" si="125"/>
        <v>66000005</v>
      </c>
      <c r="C1505" s="314">
        <v>1</v>
      </c>
      <c r="D1505" s="420" t="s">
        <v>3855</v>
      </c>
      <c r="E1505" s="314">
        <v>0</v>
      </c>
      <c r="F1505" s="314" t="s">
        <v>3879</v>
      </c>
      <c r="G1505" s="314">
        <v>1</v>
      </c>
      <c r="H1505" s="421">
        <v>66000005</v>
      </c>
      <c r="I1505" s="50" t="s">
        <v>186</v>
      </c>
      <c r="J1505" s="50">
        <v>13</v>
      </c>
      <c r="K1505" s="105">
        <v>2620205</v>
      </c>
      <c r="L1505" s="50">
        <v>21</v>
      </c>
      <c r="M1505" s="429" t="s">
        <v>3868</v>
      </c>
      <c r="N1505" s="50" t="s">
        <v>3869</v>
      </c>
      <c r="O1505" s="422" t="s">
        <v>3870</v>
      </c>
    </row>
    <row r="1506" spans="2:15" ht="13.5" x14ac:dyDescent="0.3">
      <c r="B1506" s="419">
        <f t="shared" si="125"/>
        <v>66000006</v>
      </c>
      <c r="C1506" s="314">
        <v>1</v>
      </c>
      <c r="D1506" s="420" t="s">
        <v>3855</v>
      </c>
      <c r="E1506" s="314">
        <v>0</v>
      </c>
      <c r="F1506" s="314" t="s">
        <v>3879</v>
      </c>
      <c r="G1506" s="314">
        <v>1</v>
      </c>
      <c r="H1506" s="421">
        <v>66000006</v>
      </c>
      <c r="I1506" s="50" t="s">
        <v>186</v>
      </c>
      <c r="J1506" s="50">
        <v>13</v>
      </c>
      <c r="K1506" s="105">
        <v>2620206</v>
      </c>
      <c r="L1506" s="50">
        <v>21</v>
      </c>
      <c r="M1506" s="429" t="s">
        <v>3871</v>
      </c>
      <c r="N1506" s="50" t="s">
        <v>3872</v>
      </c>
      <c r="O1506" s="422" t="s">
        <v>3873</v>
      </c>
    </row>
    <row r="1507" spans="2:15" x14ac:dyDescent="0.3">
      <c r="B1507" s="419">
        <f t="shared" si="125"/>
        <v>60000100</v>
      </c>
      <c r="C1507" s="314">
        <v>1</v>
      </c>
      <c r="D1507" s="420"/>
      <c r="E1507" s="314"/>
      <c r="F1507" s="314"/>
      <c r="G1507" s="314">
        <v>1</v>
      </c>
      <c r="H1507" s="421">
        <v>60000100</v>
      </c>
      <c r="I1507" s="50" t="s">
        <v>437</v>
      </c>
      <c r="J1507" s="50">
        <v>0</v>
      </c>
      <c r="K1507" s="105">
        <v>0</v>
      </c>
      <c r="L1507" s="50">
        <v>21</v>
      </c>
      <c r="M1507" s="50" t="s">
        <v>3880</v>
      </c>
      <c r="N1507" s="50" t="s">
        <v>3881</v>
      </c>
      <c r="O1507" s="50" t="s">
        <v>3882</v>
      </c>
    </row>
    <row r="1508" spans="2:15" x14ac:dyDescent="0.3">
      <c r="B1508" s="419">
        <f t="shared" si="125"/>
        <v>60000101</v>
      </c>
      <c r="C1508" s="314">
        <v>1</v>
      </c>
      <c r="D1508" s="420"/>
      <c r="E1508" s="314"/>
      <c r="F1508" s="314"/>
      <c r="G1508" s="314">
        <v>1</v>
      </c>
      <c r="H1508" s="421">
        <v>60000101</v>
      </c>
      <c r="I1508" s="50" t="s">
        <v>437</v>
      </c>
      <c r="J1508" s="50">
        <v>0</v>
      </c>
      <c r="K1508" s="105">
        <v>0</v>
      </c>
      <c r="L1508" s="50">
        <v>21</v>
      </c>
      <c r="M1508" s="50" t="s">
        <v>3883</v>
      </c>
      <c r="N1508" s="50" t="s">
        <v>3884</v>
      </c>
      <c r="O1508" s="50" t="s">
        <v>3885</v>
      </c>
    </row>
    <row r="1509" spans="2:15" x14ac:dyDescent="0.3">
      <c r="B1509" s="419">
        <f t="shared" si="125"/>
        <v>60000102</v>
      </c>
      <c r="C1509" s="314">
        <v>1</v>
      </c>
      <c r="D1509" s="420"/>
      <c r="E1509" s="314"/>
      <c r="F1509" s="314"/>
      <c r="G1509" s="314">
        <v>1</v>
      </c>
      <c r="H1509" s="421">
        <v>60000102</v>
      </c>
      <c r="I1509" s="50" t="s">
        <v>437</v>
      </c>
      <c r="J1509" s="50">
        <v>0</v>
      </c>
      <c r="K1509" s="105">
        <v>0</v>
      </c>
      <c r="L1509" s="50">
        <v>21</v>
      </c>
      <c r="M1509" s="50" t="s">
        <v>3898</v>
      </c>
      <c r="N1509" s="50" t="s">
        <v>3899</v>
      </c>
      <c r="O1509" s="50" t="s">
        <v>3900</v>
      </c>
    </row>
    <row r="1510" spans="2:15" ht="13.5" x14ac:dyDescent="0.3">
      <c r="B1510" s="419">
        <f t="shared" si="125"/>
        <v>60000103</v>
      </c>
      <c r="C1510" s="314">
        <v>1</v>
      </c>
      <c r="D1510" s="420"/>
      <c r="E1510" s="314"/>
      <c r="F1510" s="314"/>
      <c r="G1510" s="314">
        <v>1</v>
      </c>
      <c r="H1510" s="421">
        <v>60000103</v>
      </c>
      <c r="I1510" s="50" t="s">
        <v>437</v>
      </c>
      <c r="J1510" s="50">
        <v>0</v>
      </c>
      <c r="K1510" s="105">
        <v>0</v>
      </c>
      <c r="L1510" s="50">
        <v>21</v>
      </c>
      <c r="M1510" s="429" t="s">
        <v>3901</v>
      </c>
      <c r="N1510" s="50" t="s">
        <v>3886</v>
      </c>
      <c r="O1510" s="422" t="s">
        <v>3887</v>
      </c>
    </row>
    <row r="1511" spans="2:15" ht="13.5" x14ac:dyDescent="0.3">
      <c r="B1511" s="419">
        <f t="shared" si="125"/>
        <v>60000104</v>
      </c>
      <c r="C1511" s="314">
        <v>1</v>
      </c>
      <c r="D1511" s="420"/>
      <c r="E1511" s="314"/>
      <c r="F1511" s="314"/>
      <c r="G1511" s="314">
        <v>1</v>
      </c>
      <c r="H1511" s="421">
        <v>60000104</v>
      </c>
      <c r="I1511" s="50" t="s">
        <v>437</v>
      </c>
      <c r="J1511" s="50">
        <v>0</v>
      </c>
      <c r="K1511" s="105">
        <v>0</v>
      </c>
      <c r="L1511" s="50">
        <v>21</v>
      </c>
      <c r="M1511" s="429" t="s">
        <v>3902</v>
      </c>
      <c r="N1511" s="50" t="s">
        <v>3888</v>
      </c>
      <c r="O1511" s="422" t="s">
        <v>3889</v>
      </c>
    </row>
    <row r="1512" spans="2:15" ht="13.5" x14ac:dyDescent="0.3">
      <c r="B1512" s="419">
        <f t="shared" si="125"/>
        <v>60000105</v>
      </c>
      <c r="C1512" s="314">
        <v>1</v>
      </c>
      <c r="D1512" s="420"/>
      <c r="E1512" s="314"/>
      <c r="F1512" s="314"/>
      <c r="G1512" s="314">
        <v>1</v>
      </c>
      <c r="H1512" s="421">
        <v>60000105</v>
      </c>
      <c r="I1512" s="50" t="s">
        <v>437</v>
      </c>
      <c r="J1512" s="50">
        <v>0</v>
      </c>
      <c r="K1512" s="105">
        <v>0</v>
      </c>
      <c r="L1512" s="50">
        <v>21</v>
      </c>
      <c r="M1512" s="429" t="s">
        <v>3903</v>
      </c>
      <c r="N1512" s="50" t="s">
        <v>3890</v>
      </c>
      <c r="O1512" s="422" t="s">
        <v>3891</v>
      </c>
    </row>
    <row r="1513" spans="2:15" ht="13.5" x14ac:dyDescent="0.3">
      <c r="B1513" s="419">
        <f t="shared" si="125"/>
        <v>60000106</v>
      </c>
      <c r="C1513" s="314">
        <v>1</v>
      </c>
      <c r="D1513" s="420"/>
      <c r="E1513" s="314"/>
      <c r="F1513" s="314"/>
      <c r="G1513" s="314">
        <v>1</v>
      </c>
      <c r="H1513" s="421">
        <v>60000106</v>
      </c>
      <c r="I1513" s="50" t="s">
        <v>437</v>
      </c>
      <c r="J1513" s="50">
        <v>0</v>
      </c>
      <c r="K1513" s="105">
        <v>0</v>
      </c>
      <c r="L1513" s="50">
        <v>21</v>
      </c>
      <c r="M1513" s="429" t="s">
        <v>3904</v>
      </c>
      <c r="N1513" s="50" t="s">
        <v>3892</v>
      </c>
      <c r="O1513" s="422" t="s">
        <v>3893</v>
      </c>
    </row>
    <row r="1514" spans="2:15" ht="13.5" x14ac:dyDescent="0.3">
      <c r="B1514" s="419">
        <f t="shared" si="125"/>
        <v>60000107</v>
      </c>
      <c r="C1514" s="314">
        <v>1</v>
      </c>
      <c r="D1514" s="420"/>
      <c r="E1514" s="314"/>
      <c r="F1514" s="314"/>
      <c r="G1514" s="314">
        <v>1</v>
      </c>
      <c r="H1514" s="421">
        <v>60000107</v>
      </c>
      <c r="I1514" s="50" t="s">
        <v>437</v>
      </c>
      <c r="J1514" s="50">
        <v>0</v>
      </c>
      <c r="K1514" s="105">
        <v>0</v>
      </c>
      <c r="L1514" s="50">
        <v>21</v>
      </c>
      <c r="M1514" s="429" t="s">
        <v>3905</v>
      </c>
      <c r="N1514" s="50" t="s">
        <v>3894</v>
      </c>
      <c r="O1514" s="422" t="s">
        <v>3895</v>
      </c>
    </row>
    <row r="1515" spans="2:15" ht="13.5" x14ac:dyDescent="0.3">
      <c r="B1515" s="419">
        <f t="shared" si="125"/>
        <v>60000108</v>
      </c>
      <c r="C1515" s="314">
        <v>1</v>
      </c>
      <c r="D1515" s="420"/>
      <c r="E1515" s="314"/>
      <c r="F1515" s="314"/>
      <c r="G1515" s="314">
        <v>1</v>
      </c>
      <c r="H1515" s="421">
        <v>60000108</v>
      </c>
      <c r="I1515" s="50" t="s">
        <v>437</v>
      </c>
      <c r="J1515" s="50">
        <v>0</v>
      </c>
      <c r="K1515" s="105">
        <v>0</v>
      </c>
      <c r="L1515" s="50">
        <v>21</v>
      </c>
      <c r="M1515" s="429" t="s">
        <v>3906</v>
      </c>
      <c r="N1515" s="50" t="s">
        <v>3896</v>
      </c>
      <c r="O1515" s="422" t="s">
        <v>3897</v>
      </c>
    </row>
    <row r="1516" spans="2:15" ht="13.5" x14ac:dyDescent="0.3">
      <c r="B1516" s="419">
        <f t="shared" si="125"/>
        <v>60000115</v>
      </c>
      <c r="C1516" s="314">
        <v>1</v>
      </c>
      <c r="D1516" s="420"/>
      <c r="E1516" s="314"/>
      <c r="F1516" s="314"/>
      <c r="G1516" s="314">
        <v>1</v>
      </c>
      <c r="H1516" s="421">
        <v>60000115</v>
      </c>
      <c r="I1516" s="50" t="s">
        <v>437</v>
      </c>
      <c r="J1516" s="50">
        <v>0</v>
      </c>
      <c r="K1516" s="105">
        <v>0</v>
      </c>
      <c r="L1516" s="50">
        <v>21</v>
      </c>
      <c r="M1516" s="429" t="s">
        <v>4196</v>
      </c>
      <c r="N1516" s="50" t="s">
        <v>4197</v>
      </c>
      <c r="O1516" s="50" t="s">
        <v>4198</v>
      </c>
    </row>
    <row r="1517" spans="2:15" ht="13.5" x14ac:dyDescent="0.3">
      <c r="B1517" s="419">
        <f t="shared" si="125"/>
        <v>60000116</v>
      </c>
      <c r="C1517" s="314">
        <v>1</v>
      </c>
      <c r="D1517" s="420"/>
      <c r="E1517" s="314"/>
      <c r="F1517" s="314"/>
      <c r="G1517" s="314">
        <v>1</v>
      </c>
      <c r="H1517" s="421">
        <v>60000116</v>
      </c>
      <c r="I1517" s="50" t="s">
        <v>437</v>
      </c>
      <c r="J1517" s="50">
        <v>0</v>
      </c>
      <c r="K1517" s="105">
        <v>0</v>
      </c>
      <c r="L1517" s="50">
        <v>21</v>
      </c>
      <c r="M1517" s="429" t="s">
        <v>4199</v>
      </c>
      <c r="N1517" s="50" t="s">
        <v>4200</v>
      </c>
      <c r="O1517" s="50" t="s">
        <v>4201</v>
      </c>
    </row>
    <row r="1518" spans="2:15" ht="13.5" x14ac:dyDescent="0.3">
      <c r="B1518" s="419">
        <f t="shared" si="125"/>
        <v>60000117</v>
      </c>
      <c r="C1518" s="314">
        <v>1</v>
      </c>
      <c r="D1518" s="420"/>
      <c r="E1518" s="314"/>
      <c r="F1518" s="314"/>
      <c r="G1518" s="314">
        <v>1</v>
      </c>
      <c r="H1518" s="421">
        <v>60000117</v>
      </c>
      <c r="I1518" s="50" t="s">
        <v>437</v>
      </c>
      <c r="J1518" s="50">
        <v>0</v>
      </c>
      <c r="K1518" s="105">
        <v>0</v>
      </c>
      <c r="L1518" s="50">
        <v>21</v>
      </c>
      <c r="M1518" s="429" t="s">
        <v>4202</v>
      </c>
      <c r="N1518" s="50" t="s">
        <v>4203</v>
      </c>
      <c r="O1518" s="50" t="s">
        <v>4204</v>
      </c>
    </row>
    <row r="1519" spans="2:15" ht="13.5" x14ac:dyDescent="0.3">
      <c r="B1519" s="419">
        <f t="shared" si="125"/>
        <v>60000118</v>
      </c>
      <c r="C1519" s="314">
        <v>1</v>
      </c>
      <c r="D1519" s="420"/>
      <c r="E1519" s="314"/>
      <c r="F1519" s="314"/>
      <c r="G1519" s="314">
        <v>1</v>
      </c>
      <c r="H1519" s="421">
        <v>60000118</v>
      </c>
      <c r="I1519" s="50" t="s">
        <v>437</v>
      </c>
      <c r="J1519" s="50">
        <v>0</v>
      </c>
      <c r="K1519" s="105">
        <v>0</v>
      </c>
      <c r="L1519" s="50">
        <v>21</v>
      </c>
      <c r="M1519" s="429" t="s">
        <v>4205</v>
      </c>
      <c r="N1519" s="50" t="s">
        <v>4206</v>
      </c>
      <c r="O1519" s="50" t="s">
        <v>4207</v>
      </c>
    </row>
    <row r="1520" spans="2:15" x14ac:dyDescent="0.3">
      <c r="B1520" s="419">
        <f t="shared" si="125"/>
        <v>53010004</v>
      </c>
      <c r="C1520" s="314">
        <v>1</v>
      </c>
      <c r="D1520" s="314" t="s">
        <v>3911</v>
      </c>
      <c r="E1520" s="314">
        <v>0</v>
      </c>
      <c r="F1520" s="314" t="s">
        <v>3912</v>
      </c>
      <c r="G1520" s="314">
        <v>1</v>
      </c>
      <c r="H1520" s="50">
        <v>53010004</v>
      </c>
      <c r="I1520" s="50" t="s">
        <v>187</v>
      </c>
      <c r="J1520" s="50">
        <v>31</v>
      </c>
      <c r="K1520" s="105">
        <v>1282307</v>
      </c>
      <c r="L1520" s="50">
        <v>31</v>
      </c>
      <c r="M1520" s="50" t="s">
        <v>3913</v>
      </c>
      <c r="N1520" s="50" t="s">
        <v>3914</v>
      </c>
      <c r="O1520" s="50" t="s">
        <v>3915</v>
      </c>
    </row>
    <row r="1521" spans="2:15" ht="12.75" thickBot="1" x14ac:dyDescent="0.35">
      <c r="B1521" s="419">
        <f>H1521</f>
        <v>63230016</v>
      </c>
      <c r="C1521" s="314">
        <v>1</v>
      </c>
      <c r="D1521" s="314"/>
      <c r="E1521" s="314">
        <v>0</v>
      </c>
      <c r="F1521" s="314" t="s">
        <v>3912</v>
      </c>
      <c r="G1521" s="314">
        <v>1</v>
      </c>
      <c r="H1521" s="50">
        <v>63230016</v>
      </c>
      <c r="I1521" s="50" t="s">
        <v>187</v>
      </c>
      <c r="J1521" s="50">
        <v>21</v>
      </c>
      <c r="K1521" s="105">
        <v>2200560</v>
      </c>
      <c r="L1521" s="50">
        <v>21</v>
      </c>
      <c r="M1521" s="432" t="s">
        <v>3918</v>
      </c>
      <c r="N1521" s="50" t="s">
        <v>3916</v>
      </c>
      <c r="O1521" s="50" t="s">
        <v>3917</v>
      </c>
    </row>
    <row r="1522" spans="2:15" x14ac:dyDescent="0.3">
      <c r="B1522" s="411">
        <f>H1522</f>
        <v>63230022</v>
      </c>
      <c r="C1522" s="412">
        <v>1</v>
      </c>
      <c r="D1522" s="412">
        <v>0</v>
      </c>
      <c r="E1522" s="412">
        <v>0</v>
      </c>
      <c r="F1522" s="412" t="s">
        <v>4096</v>
      </c>
      <c r="G1522" s="412">
        <v>1</v>
      </c>
      <c r="H1522" s="415">
        <v>63230022</v>
      </c>
      <c r="I1522" s="415" t="s">
        <v>186</v>
      </c>
      <c r="J1522" s="415">
        <v>13</v>
      </c>
      <c r="K1522" s="416">
        <v>1400643</v>
      </c>
      <c r="L1522" s="415">
        <v>21</v>
      </c>
      <c r="M1522" s="439" t="s">
        <v>4097</v>
      </c>
      <c r="N1522" s="415" t="s">
        <v>4101</v>
      </c>
      <c r="O1522" s="418" t="s">
        <v>4098</v>
      </c>
    </row>
    <row r="1523" spans="2:15" ht="12.75" thickBot="1" x14ac:dyDescent="0.35">
      <c r="B1523" s="423">
        <f>H1523</f>
        <v>63230023</v>
      </c>
      <c r="C1523" s="424">
        <v>1</v>
      </c>
      <c r="D1523" s="424">
        <v>0</v>
      </c>
      <c r="E1523" s="424">
        <v>0</v>
      </c>
      <c r="F1523" s="424" t="s">
        <v>4096</v>
      </c>
      <c r="G1523" s="424">
        <v>1</v>
      </c>
      <c r="H1523" s="251">
        <v>63230023</v>
      </c>
      <c r="I1523" s="251" t="s">
        <v>186</v>
      </c>
      <c r="J1523" s="251">
        <v>13</v>
      </c>
      <c r="K1523" s="252">
        <v>1400644</v>
      </c>
      <c r="L1523" s="251">
        <v>21</v>
      </c>
      <c r="M1523" s="440" t="s">
        <v>4099</v>
      </c>
      <c r="N1523" s="251" t="s">
        <v>4100</v>
      </c>
      <c r="O1523" s="427" t="s">
        <v>4098</v>
      </c>
    </row>
    <row r="1524" spans="2:15" x14ac:dyDescent="0.3">
      <c r="B1524" s="419">
        <f>H1524</f>
        <v>45200007</v>
      </c>
      <c r="C1524" s="314">
        <v>1</v>
      </c>
      <c r="D1524" s="314"/>
      <c r="E1524" s="314">
        <v>0</v>
      </c>
      <c r="F1524" s="314" t="s">
        <v>3925</v>
      </c>
      <c r="G1524" s="314">
        <v>1</v>
      </c>
      <c r="H1524" s="50">
        <v>45200007</v>
      </c>
      <c r="I1524" s="50" t="s">
        <v>187</v>
      </c>
      <c r="J1524" s="50">
        <v>21</v>
      </c>
      <c r="K1524" s="105">
        <v>1060919</v>
      </c>
      <c r="L1524" s="50">
        <v>21</v>
      </c>
      <c r="M1524" s="433" t="s">
        <v>3919</v>
      </c>
      <c r="N1524" s="50" t="s">
        <v>3921</v>
      </c>
      <c r="O1524" s="50" t="s">
        <v>3923</v>
      </c>
    </row>
    <row r="1525" spans="2:15" x14ac:dyDescent="0.3">
      <c r="B1525" s="419">
        <f>H1525</f>
        <v>45080005</v>
      </c>
      <c r="C1525" s="314">
        <v>1</v>
      </c>
      <c r="D1525" s="314"/>
      <c r="E1525" s="314">
        <v>0</v>
      </c>
      <c r="F1525" s="314" t="s">
        <v>3925</v>
      </c>
      <c r="G1525" s="314">
        <v>1</v>
      </c>
      <c r="H1525" s="50">
        <v>45080005</v>
      </c>
      <c r="I1525" s="50" t="s">
        <v>187</v>
      </c>
      <c r="J1525" s="50">
        <v>21</v>
      </c>
      <c r="K1525" s="105">
        <v>1060920</v>
      </c>
      <c r="L1525" s="50">
        <v>21</v>
      </c>
      <c r="M1525" s="433" t="s">
        <v>3920</v>
      </c>
      <c r="N1525" s="50" t="s">
        <v>3922</v>
      </c>
      <c r="O1525" s="50" t="s">
        <v>3924</v>
      </c>
    </row>
    <row r="1526" spans="2:15" x14ac:dyDescent="0.3">
      <c r="B1526" s="419">
        <f t="shared" ref="B1526:B1550" si="126">H1526</f>
        <v>66100001</v>
      </c>
      <c r="C1526" s="314">
        <v>1</v>
      </c>
      <c r="D1526" s="314" t="s">
        <v>4026</v>
      </c>
      <c r="E1526" s="314">
        <v>0</v>
      </c>
      <c r="F1526" s="314">
        <v>0</v>
      </c>
      <c r="G1526" s="314">
        <v>1</v>
      </c>
      <c r="H1526" s="50">
        <v>66100001</v>
      </c>
      <c r="I1526" s="50" t="s">
        <v>186</v>
      </c>
      <c r="J1526" s="50">
        <v>21</v>
      </c>
      <c r="K1526" s="105">
        <v>2625501</v>
      </c>
      <c r="L1526" s="50">
        <v>21</v>
      </c>
      <c r="M1526" s="433" t="s">
        <v>4027</v>
      </c>
      <c r="N1526" s="50" t="s">
        <v>4028</v>
      </c>
      <c r="O1526" s="50" t="s">
        <v>4029</v>
      </c>
    </row>
    <row r="1527" spans="2:15" x14ac:dyDescent="0.3">
      <c r="B1527" s="419">
        <f t="shared" si="126"/>
        <v>66100002</v>
      </c>
      <c r="C1527" s="314">
        <v>1</v>
      </c>
      <c r="D1527" s="314" t="s">
        <v>4026</v>
      </c>
      <c r="E1527" s="314">
        <v>0</v>
      </c>
      <c r="F1527" s="314">
        <v>0</v>
      </c>
      <c r="G1527" s="314">
        <v>1</v>
      </c>
      <c r="H1527" s="50">
        <v>66100002</v>
      </c>
      <c r="I1527" s="50" t="s">
        <v>186</v>
      </c>
      <c r="J1527" s="50">
        <v>21</v>
      </c>
      <c r="K1527" s="105">
        <v>2625502</v>
      </c>
      <c r="L1527" s="50">
        <v>21</v>
      </c>
      <c r="M1527" s="433" t="s">
        <v>4030</v>
      </c>
      <c r="N1527" s="50" t="s">
        <v>4031</v>
      </c>
      <c r="O1527" s="50" t="s">
        <v>4029</v>
      </c>
    </row>
    <row r="1528" spans="2:15" x14ac:dyDescent="0.3">
      <c r="B1528" s="419">
        <f t="shared" si="126"/>
        <v>66100003</v>
      </c>
      <c r="C1528" s="314">
        <v>1</v>
      </c>
      <c r="D1528" s="314" t="s">
        <v>4026</v>
      </c>
      <c r="E1528" s="314">
        <v>0</v>
      </c>
      <c r="F1528" s="314">
        <v>0</v>
      </c>
      <c r="G1528" s="314">
        <v>1</v>
      </c>
      <c r="H1528" s="50">
        <v>66100003</v>
      </c>
      <c r="I1528" s="50" t="s">
        <v>186</v>
      </c>
      <c r="J1528" s="50">
        <v>21</v>
      </c>
      <c r="K1528" s="105">
        <v>2625503</v>
      </c>
      <c r="L1528" s="50">
        <v>21</v>
      </c>
      <c r="M1528" s="433" t="s">
        <v>4032</v>
      </c>
      <c r="N1528" s="50" t="s">
        <v>4033</v>
      </c>
      <c r="O1528" s="50" t="s">
        <v>4029</v>
      </c>
    </row>
    <row r="1529" spans="2:15" x14ac:dyDescent="0.3">
      <c r="B1529" s="419">
        <f t="shared" si="126"/>
        <v>66100004</v>
      </c>
      <c r="C1529" s="314">
        <v>1</v>
      </c>
      <c r="D1529" s="314" t="s">
        <v>4026</v>
      </c>
      <c r="E1529" s="314">
        <v>0</v>
      </c>
      <c r="F1529" s="314">
        <v>0</v>
      </c>
      <c r="G1529" s="314">
        <v>1</v>
      </c>
      <c r="H1529" s="50">
        <v>66100004</v>
      </c>
      <c r="I1529" s="50" t="s">
        <v>186</v>
      </c>
      <c r="J1529" s="50">
        <v>21</v>
      </c>
      <c r="K1529" s="105">
        <v>2625504</v>
      </c>
      <c r="L1529" s="50">
        <v>21</v>
      </c>
      <c r="M1529" s="433" t="s">
        <v>4034</v>
      </c>
      <c r="N1529" s="50" t="s">
        <v>4035</v>
      </c>
      <c r="O1529" s="50" t="s">
        <v>4029</v>
      </c>
    </row>
    <row r="1530" spans="2:15" x14ac:dyDescent="0.3">
      <c r="B1530" s="419">
        <f t="shared" si="126"/>
        <v>66100005</v>
      </c>
      <c r="C1530" s="314">
        <v>1</v>
      </c>
      <c r="D1530" s="314" t="s">
        <v>4026</v>
      </c>
      <c r="E1530" s="314">
        <v>0</v>
      </c>
      <c r="F1530" s="314">
        <v>0</v>
      </c>
      <c r="G1530" s="314">
        <v>1</v>
      </c>
      <c r="H1530" s="50">
        <v>66100005</v>
      </c>
      <c r="I1530" s="50" t="s">
        <v>186</v>
      </c>
      <c r="J1530" s="50">
        <v>21</v>
      </c>
      <c r="K1530" s="105">
        <v>2625505</v>
      </c>
      <c r="L1530" s="50">
        <v>21</v>
      </c>
      <c r="M1530" s="433" t="s">
        <v>4036</v>
      </c>
      <c r="N1530" s="50" t="s">
        <v>4037</v>
      </c>
      <c r="O1530" s="50" t="s">
        <v>4029</v>
      </c>
    </row>
    <row r="1531" spans="2:15" x14ac:dyDescent="0.3">
      <c r="B1531" s="419">
        <f t="shared" si="126"/>
        <v>66100006</v>
      </c>
      <c r="C1531" s="314">
        <v>1</v>
      </c>
      <c r="D1531" s="314" t="s">
        <v>4026</v>
      </c>
      <c r="E1531" s="314">
        <v>0</v>
      </c>
      <c r="F1531" s="314">
        <v>0</v>
      </c>
      <c r="G1531" s="314">
        <v>1</v>
      </c>
      <c r="H1531" s="50">
        <v>66100006</v>
      </c>
      <c r="I1531" s="50" t="s">
        <v>186</v>
      </c>
      <c r="J1531" s="50">
        <v>21</v>
      </c>
      <c r="K1531" s="105">
        <v>2625506</v>
      </c>
      <c r="L1531" s="50">
        <v>21</v>
      </c>
      <c r="M1531" s="433" t="s">
        <v>4038</v>
      </c>
      <c r="N1531" s="50" t="s">
        <v>4039</v>
      </c>
      <c r="O1531" s="50" t="s">
        <v>4029</v>
      </c>
    </row>
    <row r="1532" spans="2:15" x14ac:dyDescent="0.3">
      <c r="B1532" s="419">
        <f t="shared" si="126"/>
        <v>66100007</v>
      </c>
      <c r="C1532" s="314">
        <v>1</v>
      </c>
      <c r="D1532" s="314" t="s">
        <v>4026</v>
      </c>
      <c r="E1532" s="314">
        <v>0</v>
      </c>
      <c r="F1532" s="314">
        <v>0</v>
      </c>
      <c r="G1532" s="314">
        <v>1</v>
      </c>
      <c r="H1532" s="50">
        <v>66100007</v>
      </c>
      <c r="I1532" s="50" t="s">
        <v>186</v>
      </c>
      <c r="J1532" s="50">
        <v>21</v>
      </c>
      <c r="K1532" s="105">
        <v>2625507</v>
      </c>
      <c r="L1532" s="50">
        <v>21</v>
      </c>
      <c r="M1532" s="433" t="s">
        <v>4040</v>
      </c>
      <c r="N1532" s="50" t="s">
        <v>4041</v>
      </c>
      <c r="O1532" s="50" t="s">
        <v>4029</v>
      </c>
    </row>
    <row r="1533" spans="2:15" x14ac:dyDescent="0.3">
      <c r="B1533" s="419">
        <f t="shared" si="126"/>
        <v>66100008</v>
      </c>
      <c r="C1533" s="314">
        <v>1</v>
      </c>
      <c r="D1533" s="314" t="s">
        <v>4026</v>
      </c>
      <c r="E1533" s="314">
        <v>0</v>
      </c>
      <c r="F1533" s="314">
        <v>0</v>
      </c>
      <c r="G1533" s="314">
        <v>1</v>
      </c>
      <c r="H1533" s="50">
        <v>66100008</v>
      </c>
      <c r="I1533" s="50" t="s">
        <v>186</v>
      </c>
      <c r="J1533" s="50">
        <v>21</v>
      </c>
      <c r="K1533" s="105">
        <v>2625508</v>
      </c>
      <c r="L1533" s="50">
        <v>21</v>
      </c>
      <c r="M1533" s="433" t="s">
        <v>4042</v>
      </c>
      <c r="N1533" s="50" t="s">
        <v>4043</v>
      </c>
      <c r="O1533" s="50" t="s">
        <v>4029</v>
      </c>
    </row>
    <row r="1534" spans="2:15" x14ac:dyDescent="0.3">
      <c r="B1534" s="419">
        <f t="shared" si="126"/>
        <v>66100009</v>
      </c>
      <c r="C1534" s="314">
        <v>1</v>
      </c>
      <c r="D1534" s="314" t="s">
        <v>4026</v>
      </c>
      <c r="E1534" s="314">
        <v>0</v>
      </c>
      <c r="F1534" s="314">
        <v>0</v>
      </c>
      <c r="G1534" s="314">
        <v>1</v>
      </c>
      <c r="H1534" s="50">
        <v>66100009</v>
      </c>
      <c r="I1534" s="50" t="s">
        <v>186</v>
      </c>
      <c r="J1534" s="50">
        <v>21</v>
      </c>
      <c r="K1534" s="105">
        <v>2625509</v>
      </c>
      <c r="L1534" s="50">
        <v>21</v>
      </c>
      <c r="M1534" s="433" t="s">
        <v>4044</v>
      </c>
      <c r="N1534" s="50" t="s">
        <v>4045</v>
      </c>
      <c r="O1534" s="50" t="s">
        <v>4029</v>
      </c>
    </row>
    <row r="1535" spans="2:15" x14ac:dyDescent="0.3">
      <c r="B1535" s="419">
        <f t="shared" si="126"/>
        <v>66100010</v>
      </c>
      <c r="C1535" s="314">
        <v>1</v>
      </c>
      <c r="D1535" s="314" t="s">
        <v>4026</v>
      </c>
      <c r="E1535" s="314">
        <v>0</v>
      </c>
      <c r="F1535" s="314">
        <v>0</v>
      </c>
      <c r="G1535" s="314">
        <v>1</v>
      </c>
      <c r="H1535" s="50">
        <v>66100010</v>
      </c>
      <c r="I1535" s="50" t="s">
        <v>186</v>
      </c>
      <c r="J1535" s="50">
        <v>21</v>
      </c>
      <c r="K1535" s="105">
        <v>2625510</v>
      </c>
      <c r="L1535" s="50">
        <v>21</v>
      </c>
      <c r="M1535" s="433" t="s">
        <v>4046</v>
      </c>
      <c r="N1535" s="50" t="s">
        <v>4047</v>
      </c>
      <c r="O1535" s="50" t="s">
        <v>4029</v>
      </c>
    </row>
    <row r="1536" spans="2:15" x14ac:dyDescent="0.3">
      <c r="B1536" s="419">
        <f t="shared" si="126"/>
        <v>66100011</v>
      </c>
      <c r="C1536" s="314">
        <v>1</v>
      </c>
      <c r="D1536" s="314" t="s">
        <v>4026</v>
      </c>
      <c r="E1536" s="314">
        <v>0</v>
      </c>
      <c r="F1536" s="314">
        <v>0</v>
      </c>
      <c r="G1536" s="314">
        <v>1</v>
      </c>
      <c r="H1536" s="50">
        <v>66100011</v>
      </c>
      <c r="I1536" s="50" t="s">
        <v>186</v>
      </c>
      <c r="J1536" s="50">
        <v>21</v>
      </c>
      <c r="K1536" s="105">
        <v>2625511</v>
      </c>
      <c r="L1536" s="50">
        <v>21</v>
      </c>
      <c r="M1536" s="433" t="s">
        <v>4048</v>
      </c>
      <c r="N1536" s="50" t="s">
        <v>4049</v>
      </c>
      <c r="O1536" s="50" t="s">
        <v>4029</v>
      </c>
    </row>
    <row r="1537" spans="2:15" x14ac:dyDescent="0.3">
      <c r="B1537" s="419">
        <f t="shared" si="126"/>
        <v>66100012</v>
      </c>
      <c r="C1537" s="314">
        <v>1</v>
      </c>
      <c r="D1537" s="314" t="s">
        <v>4026</v>
      </c>
      <c r="E1537" s="314">
        <v>0</v>
      </c>
      <c r="F1537" s="314">
        <v>0</v>
      </c>
      <c r="G1537" s="314">
        <v>1</v>
      </c>
      <c r="H1537" s="50">
        <v>66100012</v>
      </c>
      <c r="I1537" s="50" t="s">
        <v>186</v>
      </c>
      <c r="J1537" s="50">
        <v>21</v>
      </c>
      <c r="K1537" s="105">
        <v>2625512</v>
      </c>
      <c r="L1537" s="50">
        <v>21</v>
      </c>
      <c r="M1537" s="433" t="s">
        <v>4050</v>
      </c>
      <c r="N1537" s="50" t="s">
        <v>4051</v>
      </c>
      <c r="O1537" s="50" t="s">
        <v>4029</v>
      </c>
    </row>
    <row r="1538" spans="2:15" x14ac:dyDescent="0.3">
      <c r="B1538" s="419">
        <f t="shared" si="126"/>
        <v>66100013</v>
      </c>
      <c r="C1538" s="314">
        <v>1</v>
      </c>
      <c r="D1538" s="314" t="s">
        <v>4026</v>
      </c>
      <c r="E1538" s="314">
        <v>0</v>
      </c>
      <c r="F1538" s="314">
        <v>0</v>
      </c>
      <c r="G1538" s="314">
        <v>1</v>
      </c>
      <c r="H1538" s="50">
        <v>66100013</v>
      </c>
      <c r="I1538" s="50" t="s">
        <v>186</v>
      </c>
      <c r="J1538" s="50">
        <v>21</v>
      </c>
      <c r="K1538" s="105">
        <v>2625513</v>
      </c>
      <c r="L1538" s="50">
        <v>21</v>
      </c>
      <c r="M1538" s="433" t="s">
        <v>4052</v>
      </c>
      <c r="N1538" s="50" t="s">
        <v>4053</v>
      </c>
      <c r="O1538" s="50" t="s">
        <v>4029</v>
      </c>
    </row>
    <row r="1539" spans="2:15" x14ac:dyDescent="0.3">
      <c r="B1539" s="419">
        <f t="shared" si="126"/>
        <v>66100014</v>
      </c>
      <c r="C1539" s="314">
        <v>1</v>
      </c>
      <c r="D1539" s="314" t="s">
        <v>4026</v>
      </c>
      <c r="E1539" s="314">
        <v>0</v>
      </c>
      <c r="F1539" s="314">
        <v>0</v>
      </c>
      <c r="G1539" s="314">
        <v>1</v>
      </c>
      <c r="H1539" s="50">
        <v>66100014</v>
      </c>
      <c r="I1539" s="50" t="s">
        <v>186</v>
      </c>
      <c r="J1539" s="50">
        <v>21</v>
      </c>
      <c r="K1539" s="105">
        <v>2625514</v>
      </c>
      <c r="L1539" s="50">
        <v>21</v>
      </c>
      <c r="M1539" s="433" t="s">
        <v>4054</v>
      </c>
      <c r="N1539" s="50" t="s">
        <v>4055</v>
      </c>
      <c r="O1539" s="50" t="s">
        <v>4029</v>
      </c>
    </row>
    <row r="1540" spans="2:15" x14ac:dyDescent="0.3">
      <c r="B1540" s="419">
        <f t="shared" si="126"/>
        <v>66100015</v>
      </c>
      <c r="C1540" s="314">
        <v>1</v>
      </c>
      <c r="D1540" s="314" t="s">
        <v>4026</v>
      </c>
      <c r="E1540" s="314">
        <v>0</v>
      </c>
      <c r="F1540" s="314">
        <v>0</v>
      </c>
      <c r="G1540" s="314">
        <v>1</v>
      </c>
      <c r="H1540" s="50">
        <v>66100015</v>
      </c>
      <c r="I1540" s="50" t="s">
        <v>186</v>
      </c>
      <c r="J1540" s="50">
        <v>21</v>
      </c>
      <c r="K1540" s="105">
        <v>2625515</v>
      </c>
      <c r="L1540" s="50">
        <v>21</v>
      </c>
      <c r="M1540" s="433" t="s">
        <v>4056</v>
      </c>
      <c r="N1540" s="50" t="s">
        <v>4057</v>
      </c>
      <c r="O1540" s="50" t="s">
        <v>4029</v>
      </c>
    </row>
    <row r="1541" spans="2:15" x14ac:dyDescent="0.3">
      <c r="B1541" s="419">
        <f t="shared" si="126"/>
        <v>66100016</v>
      </c>
      <c r="C1541" s="314">
        <v>1</v>
      </c>
      <c r="D1541" s="314" t="s">
        <v>4026</v>
      </c>
      <c r="E1541" s="314">
        <v>0</v>
      </c>
      <c r="F1541" s="314">
        <v>0</v>
      </c>
      <c r="G1541" s="314">
        <v>1</v>
      </c>
      <c r="H1541" s="50">
        <v>66100016</v>
      </c>
      <c r="I1541" s="50" t="s">
        <v>186</v>
      </c>
      <c r="J1541" s="50">
        <v>21</v>
      </c>
      <c r="K1541" s="105">
        <v>2625516</v>
      </c>
      <c r="L1541" s="50">
        <v>21</v>
      </c>
      <c r="M1541" s="433" t="s">
        <v>4058</v>
      </c>
      <c r="N1541" s="50" t="s">
        <v>4059</v>
      </c>
      <c r="O1541" s="50" t="s">
        <v>4029</v>
      </c>
    </row>
    <row r="1542" spans="2:15" x14ac:dyDescent="0.3">
      <c r="B1542" s="419">
        <f t="shared" si="126"/>
        <v>66100017</v>
      </c>
      <c r="C1542" s="314">
        <v>1</v>
      </c>
      <c r="D1542" s="314" t="s">
        <v>4026</v>
      </c>
      <c r="E1542" s="314">
        <v>0</v>
      </c>
      <c r="F1542" s="314">
        <v>0</v>
      </c>
      <c r="G1542" s="314">
        <v>1</v>
      </c>
      <c r="H1542" s="50">
        <v>66100017</v>
      </c>
      <c r="I1542" s="50" t="s">
        <v>186</v>
      </c>
      <c r="J1542" s="50">
        <v>21</v>
      </c>
      <c r="K1542" s="105">
        <v>2625517</v>
      </c>
      <c r="L1542" s="50">
        <v>21</v>
      </c>
      <c r="M1542" s="433" t="s">
        <v>4060</v>
      </c>
      <c r="N1542" s="50" t="s">
        <v>4061</v>
      </c>
      <c r="O1542" s="50" t="s">
        <v>4029</v>
      </c>
    </row>
    <row r="1543" spans="2:15" x14ac:dyDescent="0.3">
      <c r="B1543" s="419">
        <f t="shared" si="126"/>
        <v>66100018</v>
      </c>
      <c r="C1543" s="314">
        <v>1</v>
      </c>
      <c r="D1543" s="314" t="s">
        <v>4026</v>
      </c>
      <c r="E1543" s="314">
        <v>0</v>
      </c>
      <c r="F1543" s="314">
        <v>0</v>
      </c>
      <c r="G1543" s="314">
        <v>1</v>
      </c>
      <c r="H1543" s="50">
        <v>66100018</v>
      </c>
      <c r="I1543" s="50" t="s">
        <v>186</v>
      </c>
      <c r="J1543" s="50">
        <v>21</v>
      </c>
      <c r="K1543" s="105">
        <v>2625518</v>
      </c>
      <c r="L1543" s="50">
        <v>21</v>
      </c>
      <c r="M1543" s="433" t="s">
        <v>4062</v>
      </c>
      <c r="N1543" s="50" t="s">
        <v>4063</v>
      </c>
      <c r="O1543" s="50" t="s">
        <v>4029</v>
      </c>
    </row>
    <row r="1544" spans="2:15" x14ac:dyDescent="0.3">
      <c r="B1544" s="419">
        <f t="shared" si="126"/>
        <v>66100019</v>
      </c>
      <c r="C1544" s="314">
        <v>1</v>
      </c>
      <c r="D1544" s="314" t="s">
        <v>4026</v>
      </c>
      <c r="E1544" s="314">
        <v>0</v>
      </c>
      <c r="F1544" s="314">
        <v>0</v>
      </c>
      <c r="G1544" s="314">
        <v>1</v>
      </c>
      <c r="H1544" s="50">
        <v>66100019</v>
      </c>
      <c r="I1544" s="50" t="s">
        <v>186</v>
      </c>
      <c r="J1544" s="50">
        <v>21</v>
      </c>
      <c r="K1544" s="105">
        <v>2625519</v>
      </c>
      <c r="L1544" s="50">
        <v>21</v>
      </c>
      <c r="M1544" s="433" t="s">
        <v>4064</v>
      </c>
      <c r="N1544" s="50" t="s">
        <v>4065</v>
      </c>
      <c r="O1544" s="50" t="s">
        <v>4029</v>
      </c>
    </row>
    <row r="1545" spans="2:15" x14ac:dyDescent="0.3">
      <c r="B1545" s="419">
        <f t="shared" si="126"/>
        <v>66100020</v>
      </c>
      <c r="C1545" s="314">
        <v>1</v>
      </c>
      <c r="D1545" s="314" t="s">
        <v>4026</v>
      </c>
      <c r="E1545" s="314">
        <v>0</v>
      </c>
      <c r="F1545" s="314">
        <v>0</v>
      </c>
      <c r="G1545" s="314">
        <v>1</v>
      </c>
      <c r="H1545" s="50">
        <v>66100020</v>
      </c>
      <c r="I1545" s="50" t="s">
        <v>186</v>
      </c>
      <c r="J1545" s="50">
        <v>21</v>
      </c>
      <c r="K1545" s="105">
        <v>2625520</v>
      </c>
      <c r="L1545" s="50">
        <v>21</v>
      </c>
      <c r="M1545" s="433" t="s">
        <v>4066</v>
      </c>
      <c r="N1545" s="50" t="s">
        <v>4067</v>
      </c>
      <c r="O1545" s="50" t="s">
        <v>4029</v>
      </c>
    </row>
    <row r="1546" spans="2:15" x14ac:dyDescent="0.3">
      <c r="B1546" s="419">
        <f t="shared" si="126"/>
        <v>66100021</v>
      </c>
      <c r="C1546" s="314">
        <v>1</v>
      </c>
      <c r="D1546" s="314" t="s">
        <v>4026</v>
      </c>
      <c r="E1546" s="314">
        <v>0</v>
      </c>
      <c r="F1546" s="314">
        <v>0</v>
      </c>
      <c r="G1546" s="314">
        <v>1</v>
      </c>
      <c r="H1546" s="50">
        <v>66100021</v>
      </c>
      <c r="I1546" s="50" t="s">
        <v>186</v>
      </c>
      <c r="J1546" s="50">
        <v>21</v>
      </c>
      <c r="K1546" s="105">
        <v>2625521</v>
      </c>
      <c r="L1546" s="50">
        <v>21</v>
      </c>
      <c r="M1546" s="433" t="s">
        <v>4068</v>
      </c>
      <c r="N1546" s="50" t="s">
        <v>4069</v>
      </c>
      <c r="O1546" s="50" t="s">
        <v>4029</v>
      </c>
    </row>
    <row r="1547" spans="2:15" x14ac:dyDescent="0.3">
      <c r="B1547" s="419">
        <f t="shared" si="126"/>
        <v>66100022</v>
      </c>
      <c r="C1547" s="314">
        <v>1</v>
      </c>
      <c r="D1547" s="314" t="s">
        <v>4026</v>
      </c>
      <c r="E1547" s="314">
        <v>0</v>
      </c>
      <c r="F1547" s="314">
        <v>0</v>
      </c>
      <c r="G1547" s="314">
        <v>1</v>
      </c>
      <c r="H1547" s="50">
        <v>66100022</v>
      </c>
      <c r="I1547" s="50" t="s">
        <v>186</v>
      </c>
      <c r="J1547" s="50">
        <v>21</v>
      </c>
      <c r="K1547" s="105">
        <v>2625522</v>
      </c>
      <c r="L1547" s="50">
        <v>21</v>
      </c>
      <c r="M1547" s="433" t="s">
        <v>4070</v>
      </c>
      <c r="N1547" s="50" t="s">
        <v>4071</v>
      </c>
      <c r="O1547" s="50" t="s">
        <v>4029</v>
      </c>
    </row>
    <row r="1548" spans="2:15" x14ac:dyDescent="0.3">
      <c r="B1548" s="419">
        <f t="shared" si="126"/>
        <v>66100023</v>
      </c>
      <c r="C1548" s="314">
        <v>1</v>
      </c>
      <c r="D1548" s="314" t="s">
        <v>4026</v>
      </c>
      <c r="E1548" s="314">
        <v>0</v>
      </c>
      <c r="F1548" s="314">
        <v>0</v>
      </c>
      <c r="G1548" s="314">
        <v>1</v>
      </c>
      <c r="H1548" s="50">
        <v>66100023</v>
      </c>
      <c r="I1548" s="50" t="s">
        <v>186</v>
      </c>
      <c r="J1548" s="50">
        <v>21</v>
      </c>
      <c r="K1548" s="105">
        <v>2625523</v>
      </c>
      <c r="L1548" s="50">
        <v>21</v>
      </c>
      <c r="M1548" s="433" t="s">
        <v>4072</v>
      </c>
      <c r="N1548" s="50" t="s">
        <v>4073</v>
      </c>
      <c r="O1548" s="50" t="s">
        <v>4029</v>
      </c>
    </row>
    <row r="1549" spans="2:15" x14ac:dyDescent="0.3">
      <c r="B1549" s="419">
        <f t="shared" si="126"/>
        <v>66100024</v>
      </c>
      <c r="C1549" s="314">
        <v>1</v>
      </c>
      <c r="D1549" s="314" t="s">
        <v>4026</v>
      </c>
      <c r="E1549" s="314">
        <v>0</v>
      </c>
      <c r="F1549" s="314">
        <v>0</v>
      </c>
      <c r="G1549" s="314">
        <v>1</v>
      </c>
      <c r="H1549" s="50">
        <v>66100024</v>
      </c>
      <c r="I1549" s="50" t="s">
        <v>186</v>
      </c>
      <c r="J1549" s="50">
        <v>21</v>
      </c>
      <c r="K1549" s="105">
        <v>2625524</v>
      </c>
      <c r="L1549" s="50">
        <v>21</v>
      </c>
      <c r="M1549" s="433" t="s">
        <v>4074</v>
      </c>
      <c r="N1549" s="50" t="s">
        <v>4075</v>
      </c>
      <c r="O1549" s="50" t="s">
        <v>4029</v>
      </c>
    </row>
    <row r="1550" spans="2:15" x14ac:dyDescent="0.3">
      <c r="B1550" s="419">
        <f t="shared" si="126"/>
        <v>66100025</v>
      </c>
      <c r="C1550" s="314">
        <v>1</v>
      </c>
      <c r="D1550" s="314" t="s">
        <v>4026</v>
      </c>
      <c r="E1550" s="314">
        <v>0</v>
      </c>
      <c r="F1550" s="314">
        <v>0</v>
      </c>
      <c r="G1550" s="314">
        <v>1</v>
      </c>
      <c r="H1550" s="50">
        <v>66100025</v>
      </c>
      <c r="I1550" s="50" t="s">
        <v>186</v>
      </c>
      <c r="J1550" s="50">
        <v>21</v>
      </c>
      <c r="K1550" s="105">
        <v>2625525</v>
      </c>
      <c r="L1550" s="50">
        <v>21</v>
      </c>
      <c r="M1550" s="433" t="s">
        <v>4076</v>
      </c>
      <c r="N1550" s="50" t="s">
        <v>4077</v>
      </c>
      <c r="O1550" s="50" t="s">
        <v>4029</v>
      </c>
    </row>
    <row r="1551" spans="2:15" x14ac:dyDescent="0.3">
      <c r="B1551" s="129">
        <f t="shared" ref="B1551:B1582" si="127">H1551</f>
        <v>66011000</v>
      </c>
      <c r="C1551" s="210">
        <v>1</v>
      </c>
      <c r="D1551" s="210" t="s">
        <v>3971</v>
      </c>
      <c r="E1551" s="210">
        <v>0</v>
      </c>
      <c r="F1551" s="210" t="s">
        <v>4012</v>
      </c>
      <c r="G1551" s="210">
        <v>1</v>
      </c>
      <c r="H1551" s="219">
        <v>66011000</v>
      </c>
      <c r="I1551" s="47" t="s">
        <v>187</v>
      </c>
      <c r="J1551" s="47">
        <v>21</v>
      </c>
      <c r="K1551" s="198">
        <v>2626201</v>
      </c>
      <c r="L1551" s="50">
        <v>21</v>
      </c>
      <c r="M1551" s="47" t="s">
        <v>3972</v>
      </c>
      <c r="N1551" s="219" t="s">
        <v>3973</v>
      </c>
      <c r="O1551" s="141" t="s">
        <v>3974</v>
      </c>
    </row>
    <row r="1552" spans="2:15" x14ac:dyDescent="0.3">
      <c r="B1552" s="129">
        <f t="shared" si="127"/>
        <v>66011001</v>
      </c>
      <c r="C1552" s="210">
        <v>1</v>
      </c>
      <c r="D1552" s="210" t="s">
        <v>3971</v>
      </c>
      <c r="E1552" s="210">
        <v>0</v>
      </c>
      <c r="F1552" s="210" t="s">
        <v>4012</v>
      </c>
      <c r="G1552" s="210">
        <v>1</v>
      </c>
      <c r="H1552" s="219">
        <v>66011001</v>
      </c>
      <c r="I1552" s="47" t="s">
        <v>187</v>
      </c>
      <c r="J1552" s="47">
        <v>21</v>
      </c>
      <c r="K1552" s="198">
        <v>2626202</v>
      </c>
      <c r="L1552" s="50">
        <v>21</v>
      </c>
      <c r="M1552" s="47" t="s">
        <v>3975</v>
      </c>
      <c r="N1552" s="219" t="s">
        <v>3976</v>
      </c>
      <c r="O1552" s="141" t="s">
        <v>3974</v>
      </c>
    </row>
    <row r="1553" spans="2:15" x14ac:dyDescent="0.3">
      <c r="B1553" s="129">
        <f t="shared" si="127"/>
        <v>66011002</v>
      </c>
      <c r="C1553" s="210">
        <v>1</v>
      </c>
      <c r="D1553" s="210" t="s">
        <v>3971</v>
      </c>
      <c r="E1553" s="210">
        <v>0</v>
      </c>
      <c r="F1553" s="210" t="s">
        <v>4012</v>
      </c>
      <c r="G1553" s="210">
        <v>1</v>
      </c>
      <c r="H1553" s="219">
        <v>66011002</v>
      </c>
      <c r="I1553" s="47" t="s">
        <v>187</v>
      </c>
      <c r="J1553" s="47">
        <v>21</v>
      </c>
      <c r="K1553" s="198">
        <v>2626203</v>
      </c>
      <c r="L1553" s="50">
        <v>21</v>
      </c>
      <c r="M1553" s="47" t="s">
        <v>3977</v>
      </c>
      <c r="N1553" s="219" t="s">
        <v>3978</v>
      </c>
      <c r="O1553" s="141" t="s">
        <v>3974</v>
      </c>
    </row>
    <row r="1554" spans="2:15" x14ac:dyDescent="0.3">
      <c r="B1554" s="129">
        <f t="shared" si="127"/>
        <v>66011003</v>
      </c>
      <c r="C1554" s="210">
        <v>1</v>
      </c>
      <c r="D1554" s="210" t="s">
        <v>3971</v>
      </c>
      <c r="E1554" s="210">
        <v>0</v>
      </c>
      <c r="F1554" s="210" t="s">
        <v>4012</v>
      </c>
      <c r="G1554" s="210">
        <v>1</v>
      </c>
      <c r="H1554" s="219">
        <v>66011003</v>
      </c>
      <c r="I1554" s="47" t="s">
        <v>187</v>
      </c>
      <c r="J1554" s="47">
        <v>21</v>
      </c>
      <c r="K1554" s="198">
        <v>2626204</v>
      </c>
      <c r="L1554" s="50">
        <v>21</v>
      </c>
      <c r="M1554" s="47" t="s">
        <v>3979</v>
      </c>
      <c r="N1554" s="219" t="s">
        <v>3980</v>
      </c>
      <c r="O1554" s="141" t="s">
        <v>3974</v>
      </c>
    </row>
    <row r="1555" spans="2:15" x14ac:dyDescent="0.3">
      <c r="B1555" s="129">
        <f t="shared" si="127"/>
        <v>66011004</v>
      </c>
      <c r="C1555" s="210">
        <v>1</v>
      </c>
      <c r="D1555" s="210" t="s">
        <v>3971</v>
      </c>
      <c r="E1555" s="210">
        <v>0</v>
      </c>
      <c r="F1555" s="210" t="s">
        <v>4012</v>
      </c>
      <c r="G1555" s="210">
        <v>1</v>
      </c>
      <c r="H1555" s="219">
        <v>66011004</v>
      </c>
      <c r="I1555" s="47" t="s">
        <v>187</v>
      </c>
      <c r="J1555" s="47">
        <v>21</v>
      </c>
      <c r="K1555" s="198">
        <v>2626205</v>
      </c>
      <c r="L1555" s="50">
        <v>21</v>
      </c>
      <c r="M1555" s="47" t="s">
        <v>3981</v>
      </c>
      <c r="N1555" s="219" t="s">
        <v>3982</v>
      </c>
      <c r="O1555" s="141" t="s">
        <v>3974</v>
      </c>
    </row>
    <row r="1556" spans="2:15" x14ac:dyDescent="0.3">
      <c r="B1556" s="129">
        <f t="shared" si="127"/>
        <v>66011005</v>
      </c>
      <c r="C1556" s="210">
        <v>1</v>
      </c>
      <c r="D1556" s="210" t="s">
        <v>3971</v>
      </c>
      <c r="E1556" s="210">
        <v>0</v>
      </c>
      <c r="F1556" s="210" t="s">
        <v>4012</v>
      </c>
      <c r="G1556" s="210">
        <v>1</v>
      </c>
      <c r="H1556" s="219">
        <v>66011005</v>
      </c>
      <c r="I1556" s="47" t="s">
        <v>187</v>
      </c>
      <c r="J1556" s="47">
        <v>21</v>
      </c>
      <c r="K1556" s="198">
        <v>2626206</v>
      </c>
      <c r="L1556" s="50">
        <v>21</v>
      </c>
      <c r="M1556" s="47" t="s">
        <v>3983</v>
      </c>
      <c r="N1556" s="219" t="s">
        <v>3984</v>
      </c>
      <c r="O1556" s="141" t="s">
        <v>3974</v>
      </c>
    </row>
    <row r="1557" spans="2:15" x14ac:dyDescent="0.3">
      <c r="B1557" s="129">
        <f t="shared" si="127"/>
        <v>66011006</v>
      </c>
      <c r="C1557" s="210">
        <v>1</v>
      </c>
      <c r="D1557" s="210" t="s">
        <v>3971</v>
      </c>
      <c r="E1557" s="210">
        <v>0</v>
      </c>
      <c r="F1557" s="210" t="s">
        <v>4012</v>
      </c>
      <c r="G1557" s="210">
        <v>1</v>
      </c>
      <c r="H1557" s="219">
        <v>66011006</v>
      </c>
      <c r="I1557" s="47" t="s">
        <v>187</v>
      </c>
      <c r="J1557" s="47">
        <v>21</v>
      </c>
      <c r="K1557" s="198">
        <v>2626207</v>
      </c>
      <c r="L1557" s="50">
        <v>21</v>
      </c>
      <c r="M1557" s="47" t="s">
        <v>3985</v>
      </c>
      <c r="N1557" s="219" t="s">
        <v>3986</v>
      </c>
      <c r="O1557" s="141" t="s">
        <v>3974</v>
      </c>
    </row>
    <row r="1558" spans="2:15" x14ac:dyDescent="0.3">
      <c r="B1558" s="129">
        <f t="shared" si="127"/>
        <v>66011007</v>
      </c>
      <c r="C1558" s="210">
        <v>1</v>
      </c>
      <c r="D1558" s="210" t="s">
        <v>3971</v>
      </c>
      <c r="E1558" s="210">
        <v>0</v>
      </c>
      <c r="F1558" s="210" t="s">
        <v>4012</v>
      </c>
      <c r="G1558" s="210">
        <v>1</v>
      </c>
      <c r="H1558" s="219">
        <v>66011007</v>
      </c>
      <c r="I1558" s="47" t="s">
        <v>187</v>
      </c>
      <c r="J1558" s="47">
        <v>21</v>
      </c>
      <c r="K1558" s="198">
        <v>2626208</v>
      </c>
      <c r="L1558" s="50">
        <v>21</v>
      </c>
      <c r="M1558" s="47" t="s">
        <v>3987</v>
      </c>
      <c r="N1558" s="219" t="s">
        <v>3988</v>
      </c>
      <c r="O1558" s="141" t="s">
        <v>3974</v>
      </c>
    </row>
    <row r="1559" spans="2:15" x14ac:dyDescent="0.3">
      <c r="B1559" s="129">
        <f t="shared" si="127"/>
        <v>66011008</v>
      </c>
      <c r="C1559" s="210">
        <v>1</v>
      </c>
      <c r="D1559" s="210" t="s">
        <v>3971</v>
      </c>
      <c r="E1559" s="210">
        <v>0</v>
      </c>
      <c r="F1559" s="210" t="s">
        <v>4012</v>
      </c>
      <c r="G1559" s="210">
        <v>1</v>
      </c>
      <c r="H1559" s="219">
        <v>66011008</v>
      </c>
      <c r="I1559" s="47" t="s">
        <v>187</v>
      </c>
      <c r="J1559" s="47">
        <v>21</v>
      </c>
      <c r="K1559" s="198">
        <v>2626209</v>
      </c>
      <c r="L1559" s="50">
        <v>21</v>
      </c>
      <c r="M1559" s="47" t="s">
        <v>3989</v>
      </c>
      <c r="N1559" s="219" t="s">
        <v>3990</v>
      </c>
      <c r="O1559" s="141" t="s">
        <v>3974</v>
      </c>
    </row>
    <row r="1560" spans="2:15" x14ac:dyDescent="0.3">
      <c r="B1560" s="129">
        <f t="shared" si="127"/>
        <v>66011009</v>
      </c>
      <c r="C1560" s="210">
        <v>1</v>
      </c>
      <c r="D1560" s="210" t="s">
        <v>3971</v>
      </c>
      <c r="E1560" s="210">
        <v>0</v>
      </c>
      <c r="F1560" s="210" t="s">
        <v>4012</v>
      </c>
      <c r="G1560" s="210">
        <v>1</v>
      </c>
      <c r="H1560" s="219">
        <v>66011009</v>
      </c>
      <c r="I1560" s="47" t="s">
        <v>187</v>
      </c>
      <c r="J1560" s="47">
        <v>21</v>
      </c>
      <c r="K1560" s="198">
        <v>2626210</v>
      </c>
      <c r="L1560" s="50">
        <v>21</v>
      </c>
      <c r="M1560" s="47" t="s">
        <v>3991</v>
      </c>
      <c r="N1560" s="219" t="s">
        <v>3992</v>
      </c>
      <c r="O1560" s="141" t="s">
        <v>3974</v>
      </c>
    </row>
    <row r="1561" spans="2:15" x14ac:dyDescent="0.3">
      <c r="B1561" s="129">
        <f t="shared" si="127"/>
        <v>66011010</v>
      </c>
      <c r="C1561" s="210">
        <v>1</v>
      </c>
      <c r="D1561" s="210" t="s">
        <v>3971</v>
      </c>
      <c r="E1561" s="210">
        <v>0</v>
      </c>
      <c r="F1561" s="210" t="s">
        <v>4012</v>
      </c>
      <c r="G1561" s="210">
        <v>1</v>
      </c>
      <c r="H1561" s="219">
        <v>66011010</v>
      </c>
      <c r="I1561" s="47" t="s">
        <v>187</v>
      </c>
      <c r="J1561" s="47">
        <v>21</v>
      </c>
      <c r="K1561" s="198">
        <v>2626211</v>
      </c>
      <c r="L1561" s="50">
        <v>21</v>
      </c>
      <c r="M1561" s="47" t="s">
        <v>3993</v>
      </c>
      <c r="N1561" s="219" t="s">
        <v>3994</v>
      </c>
      <c r="O1561" s="141" t="s">
        <v>3974</v>
      </c>
    </row>
    <row r="1562" spans="2:15" x14ac:dyDescent="0.3">
      <c r="B1562" s="129">
        <f t="shared" si="127"/>
        <v>66011011</v>
      </c>
      <c r="C1562" s="210">
        <v>1</v>
      </c>
      <c r="D1562" s="210" t="s">
        <v>3971</v>
      </c>
      <c r="E1562" s="210">
        <v>0</v>
      </c>
      <c r="F1562" s="210" t="s">
        <v>4012</v>
      </c>
      <c r="G1562" s="210">
        <v>1</v>
      </c>
      <c r="H1562" s="219">
        <v>66011011</v>
      </c>
      <c r="I1562" s="47" t="s">
        <v>187</v>
      </c>
      <c r="J1562" s="47">
        <v>21</v>
      </c>
      <c r="K1562" s="198">
        <v>2626212</v>
      </c>
      <c r="L1562" s="50">
        <v>21</v>
      </c>
      <c r="M1562" s="47" t="s">
        <v>3995</v>
      </c>
      <c r="N1562" s="219" t="s">
        <v>3996</v>
      </c>
      <c r="O1562" s="141" t="s">
        <v>3974</v>
      </c>
    </row>
    <row r="1563" spans="2:15" x14ac:dyDescent="0.3">
      <c r="B1563" s="129">
        <f t="shared" si="127"/>
        <v>66011012</v>
      </c>
      <c r="C1563" s="210">
        <v>1</v>
      </c>
      <c r="D1563" s="210" t="s">
        <v>3971</v>
      </c>
      <c r="E1563" s="210">
        <v>0</v>
      </c>
      <c r="F1563" s="210" t="s">
        <v>4012</v>
      </c>
      <c r="G1563" s="210">
        <v>1</v>
      </c>
      <c r="H1563" s="219">
        <v>66011012</v>
      </c>
      <c r="I1563" s="47" t="s">
        <v>187</v>
      </c>
      <c r="J1563" s="47">
        <v>21</v>
      </c>
      <c r="K1563" s="198">
        <v>2626213</v>
      </c>
      <c r="L1563" s="50">
        <v>21</v>
      </c>
      <c r="M1563" s="47" t="s">
        <v>3997</v>
      </c>
      <c r="N1563" s="219" t="s">
        <v>3998</v>
      </c>
      <c r="O1563" s="141" t="s">
        <v>3974</v>
      </c>
    </row>
    <row r="1564" spans="2:15" x14ac:dyDescent="0.3">
      <c r="B1564" s="129">
        <f t="shared" si="127"/>
        <v>66011013</v>
      </c>
      <c r="C1564" s="210">
        <v>1</v>
      </c>
      <c r="D1564" s="210" t="s">
        <v>3971</v>
      </c>
      <c r="E1564" s="210">
        <v>0</v>
      </c>
      <c r="F1564" s="210" t="s">
        <v>4012</v>
      </c>
      <c r="G1564" s="210">
        <v>1</v>
      </c>
      <c r="H1564" s="219">
        <v>66011013</v>
      </c>
      <c r="I1564" s="47" t="s">
        <v>187</v>
      </c>
      <c r="J1564" s="47">
        <v>21</v>
      </c>
      <c r="K1564" s="198">
        <v>2626214</v>
      </c>
      <c r="L1564" s="50">
        <v>21</v>
      </c>
      <c r="M1564" s="47" t="s">
        <v>3999</v>
      </c>
      <c r="N1564" s="219" t="s">
        <v>4000</v>
      </c>
      <c r="O1564" s="141" t="s">
        <v>3974</v>
      </c>
    </row>
    <row r="1565" spans="2:15" x14ac:dyDescent="0.3">
      <c r="B1565" s="129">
        <f t="shared" si="127"/>
        <v>66011014</v>
      </c>
      <c r="C1565" s="210">
        <v>1</v>
      </c>
      <c r="D1565" s="210" t="s">
        <v>3971</v>
      </c>
      <c r="E1565" s="210">
        <v>0</v>
      </c>
      <c r="F1565" s="210" t="s">
        <v>4012</v>
      </c>
      <c r="G1565" s="210">
        <v>1</v>
      </c>
      <c r="H1565" s="219">
        <v>66011014</v>
      </c>
      <c r="I1565" s="47" t="s">
        <v>187</v>
      </c>
      <c r="J1565" s="47">
        <v>21</v>
      </c>
      <c r="K1565" s="198">
        <v>2626215</v>
      </c>
      <c r="L1565" s="50">
        <v>21</v>
      </c>
      <c r="M1565" s="47" t="s">
        <v>4001</v>
      </c>
      <c r="N1565" s="219" t="s">
        <v>4002</v>
      </c>
      <c r="O1565" s="141" t="s">
        <v>3974</v>
      </c>
    </row>
    <row r="1566" spans="2:15" x14ac:dyDescent="0.3">
      <c r="B1566" s="129">
        <f t="shared" si="127"/>
        <v>66011015</v>
      </c>
      <c r="C1566" s="210">
        <v>1</v>
      </c>
      <c r="D1566" s="210" t="s">
        <v>3971</v>
      </c>
      <c r="E1566" s="210">
        <v>0</v>
      </c>
      <c r="F1566" s="210" t="s">
        <v>4012</v>
      </c>
      <c r="G1566" s="210">
        <v>1</v>
      </c>
      <c r="H1566" s="219">
        <v>66011015</v>
      </c>
      <c r="I1566" s="47" t="s">
        <v>187</v>
      </c>
      <c r="J1566" s="47">
        <v>21</v>
      </c>
      <c r="K1566" s="198">
        <v>2626216</v>
      </c>
      <c r="L1566" s="50">
        <v>21</v>
      </c>
      <c r="M1566" s="47" t="s">
        <v>4003</v>
      </c>
      <c r="N1566" s="219" t="s">
        <v>4004</v>
      </c>
      <c r="O1566" s="141" t="s">
        <v>3974</v>
      </c>
    </row>
    <row r="1567" spans="2:15" x14ac:dyDescent="0.3">
      <c r="B1567" s="129">
        <f t="shared" si="127"/>
        <v>66011016</v>
      </c>
      <c r="C1567" s="210">
        <v>1</v>
      </c>
      <c r="D1567" s="210" t="s">
        <v>3971</v>
      </c>
      <c r="E1567" s="210">
        <v>0</v>
      </c>
      <c r="F1567" s="210" t="s">
        <v>4012</v>
      </c>
      <c r="G1567" s="210">
        <v>1</v>
      </c>
      <c r="H1567" s="219">
        <v>66011016</v>
      </c>
      <c r="I1567" s="47" t="s">
        <v>187</v>
      </c>
      <c r="J1567" s="47">
        <v>21</v>
      </c>
      <c r="K1567" s="198">
        <v>2626217</v>
      </c>
      <c r="L1567" s="50">
        <v>21</v>
      </c>
      <c r="M1567" s="47" t="s">
        <v>4017</v>
      </c>
      <c r="N1567" s="219" t="s">
        <v>4005</v>
      </c>
      <c r="O1567" s="141" t="s">
        <v>3974</v>
      </c>
    </row>
    <row r="1568" spans="2:15" x14ac:dyDescent="0.3">
      <c r="B1568" s="129">
        <f t="shared" si="127"/>
        <v>66011017</v>
      </c>
      <c r="C1568" s="210">
        <v>1</v>
      </c>
      <c r="D1568" s="210" t="s">
        <v>3971</v>
      </c>
      <c r="E1568" s="210">
        <v>0</v>
      </c>
      <c r="F1568" s="210" t="s">
        <v>4012</v>
      </c>
      <c r="G1568" s="210">
        <v>1</v>
      </c>
      <c r="H1568" s="219">
        <v>66011017</v>
      </c>
      <c r="I1568" s="47" t="s">
        <v>187</v>
      </c>
      <c r="J1568" s="47">
        <v>21</v>
      </c>
      <c r="K1568" s="198">
        <v>2626218</v>
      </c>
      <c r="L1568" s="50">
        <v>21</v>
      </c>
      <c r="M1568" s="47" t="s">
        <v>4006</v>
      </c>
      <c r="N1568" s="219" t="s">
        <v>4007</v>
      </c>
      <c r="O1568" s="141" t="s">
        <v>3974</v>
      </c>
    </row>
    <row r="1569" spans="2:15" x14ac:dyDescent="0.3">
      <c r="B1569" s="129">
        <f t="shared" si="127"/>
        <v>66011018</v>
      </c>
      <c r="C1569" s="210">
        <v>1</v>
      </c>
      <c r="D1569" s="210" t="s">
        <v>3971</v>
      </c>
      <c r="E1569" s="210">
        <v>0</v>
      </c>
      <c r="F1569" s="210" t="s">
        <v>4012</v>
      </c>
      <c r="G1569" s="210">
        <v>1</v>
      </c>
      <c r="H1569" s="219">
        <v>66011018</v>
      </c>
      <c r="I1569" s="47" t="s">
        <v>187</v>
      </c>
      <c r="J1569" s="47">
        <v>21</v>
      </c>
      <c r="K1569" s="198">
        <v>2626219</v>
      </c>
      <c r="L1569" s="50">
        <v>21</v>
      </c>
      <c r="M1569" s="47" t="s">
        <v>4008</v>
      </c>
      <c r="N1569" s="219" t="s">
        <v>4009</v>
      </c>
      <c r="O1569" s="141" t="s">
        <v>3974</v>
      </c>
    </row>
    <row r="1570" spans="2:15" x14ac:dyDescent="0.3">
      <c r="B1570" s="129">
        <f t="shared" si="127"/>
        <v>66011019</v>
      </c>
      <c r="C1570" s="210">
        <v>1</v>
      </c>
      <c r="D1570" s="210" t="s">
        <v>3971</v>
      </c>
      <c r="E1570" s="210">
        <v>0</v>
      </c>
      <c r="F1570" s="210" t="s">
        <v>4012</v>
      </c>
      <c r="G1570" s="210">
        <v>1</v>
      </c>
      <c r="H1570" s="219">
        <v>66011019</v>
      </c>
      <c r="I1570" s="47" t="s">
        <v>187</v>
      </c>
      <c r="J1570" s="47">
        <v>21</v>
      </c>
      <c r="K1570" s="198">
        <v>2626221</v>
      </c>
      <c r="L1570" s="50">
        <v>21</v>
      </c>
      <c r="M1570" s="47" t="s">
        <v>4010</v>
      </c>
      <c r="N1570" s="219" t="s">
        <v>4011</v>
      </c>
      <c r="O1570" s="141" t="s">
        <v>3974</v>
      </c>
    </row>
    <row r="1571" spans="2:15" x14ac:dyDescent="0.3">
      <c r="B1571" s="129">
        <f t="shared" si="127"/>
        <v>63800045</v>
      </c>
      <c r="C1571" s="210">
        <v>1</v>
      </c>
      <c r="D1571" s="210"/>
      <c r="E1571" s="210">
        <v>0</v>
      </c>
      <c r="F1571" s="210" t="s">
        <v>4102</v>
      </c>
      <c r="G1571" s="210">
        <v>1</v>
      </c>
      <c r="H1571" s="219">
        <v>63800045</v>
      </c>
      <c r="I1571" s="47" t="s">
        <v>187</v>
      </c>
      <c r="J1571" s="47">
        <v>13</v>
      </c>
      <c r="K1571" s="198">
        <v>2634101</v>
      </c>
      <c r="L1571" s="47">
        <f t="shared" ref="L1571" si="128">VLOOKUP(I1571,error,2,FALSE)</f>
        <v>21</v>
      </c>
      <c r="M1571" s="47" t="s">
        <v>4103</v>
      </c>
      <c r="N1571" s="219" t="s">
        <v>4104</v>
      </c>
      <c r="O1571" s="141" t="s">
        <v>4105</v>
      </c>
    </row>
    <row r="1572" spans="2:15" x14ac:dyDescent="0.3">
      <c r="B1572" s="129">
        <f t="shared" si="127"/>
        <v>63800046</v>
      </c>
      <c r="C1572" s="210">
        <v>1</v>
      </c>
      <c r="D1572" s="210"/>
      <c r="E1572" s="210">
        <v>0</v>
      </c>
      <c r="F1572" s="210" t="s">
        <v>4102</v>
      </c>
      <c r="G1572" s="210">
        <v>1</v>
      </c>
      <c r="H1572" s="219">
        <v>63800046</v>
      </c>
      <c r="I1572" s="47" t="s">
        <v>187</v>
      </c>
      <c r="J1572" s="47">
        <v>13</v>
      </c>
      <c r="K1572" s="198">
        <v>2634102</v>
      </c>
      <c r="L1572" s="47">
        <f t="shared" ref="L1572:L1582" si="129">VLOOKUP(I1572,error,2,FALSE)</f>
        <v>21</v>
      </c>
      <c r="M1572" s="47" t="s">
        <v>4106</v>
      </c>
      <c r="N1572" s="219" t="s">
        <v>4107</v>
      </c>
      <c r="O1572" s="141" t="s">
        <v>4105</v>
      </c>
    </row>
    <row r="1573" spans="2:15" x14ac:dyDescent="0.3">
      <c r="B1573" s="129">
        <f t="shared" si="127"/>
        <v>63800047</v>
      </c>
      <c r="C1573" s="210">
        <v>1</v>
      </c>
      <c r="D1573" s="210"/>
      <c r="E1573" s="210">
        <v>0</v>
      </c>
      <c r="F1573" s="210" t="s">
        <v>4102</v>
      </c>
      <c r="G1573" s="210">
        <v>1</v>
      </c>
      <c r="H1573" s="219">
        <v>63800047</v>
      </c>
      <c r="I1573" s="47" t="s">
        <v>187</v>
      </c>
      <c r="J1573" s="47">
        <v>13</v>
      </c>
      <c r="K1573" s="198">
        <v>2634103</v>
      </c>
      <c r="L1573" s="47">
        <f t="shared" si="129"/>
        <v>21</v>
      </c>
      <c r="M1573" s="47" t="s">
        <v>4108</v>
      </c>
      <c r="N1573" s="219" t="s">
        <v>4109</v>
      </c>
      <c r="O1573" s="141" t="s">
        <v>4105</v>
      </c>
    </row>
    <row r="1574" spans="2:15" x14ac:dyDescent="0.3">
      <c r="B1574" s="129">
        <f t="shared" si="127"/>
        <v>63800048</v>
      </c>
      <c r="C1574" s="210">
        <v>1</v>
      </c>
      <c r="D1574" s="210"/>
      <c r="E1574" s="210">
        <v>0</v>
      </c>
      <c r="F1574" s="210" t="s">
        <v>4102</v>
      </c>
      <c r="G1574" s="210">
        <v>1</v>
      </c>
      <c r="H1574" s="219">
        <v>63800048</v>
      </c>
      <c r="I1574" s="47" t="s">
        <v>187</v>
      </c>
      <c r="J1574" s="47">
        <v>13</v>
      </c>
      <c r="K1574" s="198">
        <v>2634104</v>
      </c>
      <c r="L1574" s="47">
        <f t="shared" si="129"/>
        <v>21</v>
      </c>
      <c r="M1574" s="47" t="s">
        <v>4110</v>
      </c>
      <c r="N1574" s="219" t="s">
        <v>4111</v>
      </c>
      <c r="O1574" s="141" t="s">
        <v>4105</v>
      </c>
    </row>
    <row r="1575" spans="2:15" x14ac:dyDescent="0.3">
      <c r="B1575" s="129">
        <f t="shared" si="127"/>
        <v>63800049</v>
      </c>
      <c r="C1575" s="210">
        <v>1</v>
      </c>
      <c r="D1575" s="210"/>
      <c r="E1575" s="210">
        <v>0</v>
      </c>
      <c r="F1575" s="210" t="s">
        <v>4102</v>
      </c>
      <c r="G1575" s="210">
        <v>1</v>
      </c>
      <c r="H1575" s="219">
        <v>63800049</v>
      </c>
      <c r="I1575" s="47" t="s">
        <v>187</v>
      </c>
      <c r="J1575" s="47">
        <v>13</v>
      </c>
      <c r="K1575" s="198">
        <v>2634105</v>
      </c>
      <c r="L1575" s="47">
        <f t="shared" si="129"/>
        <v>21</v>
      </c>
      <c r="M1575" s="47" t="s">
        <v>4112</v>
      </c>
      <c r="N1575" s="219" t="s">
        <v>4113</v>
      </c>
      <c r="O1575" s="141" t="s">
        <v>4105</v>
      </c>
    </row>
    <row r="1576" spans="2:15" x14ac:dyDescent="0.3">
      <c r="B1576" s="129">
        <f t="shared" si="127"/>
        <v>63800050</v>
      </c>
      <c r="C1576" s="210">
        <v>1</v>
      </c>
      <c r="D1576" s="210"/>
      <c r="E1576" s="210">
        <v>0</v>
      </c>
      <c r="F1576" s="210" t="s">
        <v>4102</v>
      </c>
      <c r="G1576" s="210">
        <v>1</v>
      </c>
      <c r="H1576" s="219">
        <v>63800050</v>
      </c>
      <c r="I1576" s="47" t="s">
        <v>187</v>
      </c>
      <c r="J1576" s="47">
        <v>13</v>
      </c>
      <c r="K1576" s="198">
        <v>2634106</v>
      </c>
      <c r="L1576" s="47">
        <f t="shared" si="129"/>
        <v>21</v>
      </c>
      <c r="M1576" s="47" t="s">
        <v>4114</v>
      </c>
      <c r="N1576" s="219" t="s">
        <v>4115</v>
      </c>
      <c r="O1576" s="141" t="s">
        <v>4105</v>
      </c>
    </row>
    <row r="1577" spans="2:15" x14ac:dyDescent="0.3">
      <c r="B1577" s="129">
        <f t="shared" si="127"/>
        <v>63800051</v>
      </c>
      <c r="C1577" s="210">
        <v>1</v>
      </c>
      <c r="D1577" s="210"/>
      <c r="E1577" s="210">
        <v>0</v>
      </c>
      <c r="F1577" s="210" t="s">
        <v>4102</v>
      </c>
      <c r="G1577" s="210">
        <v>1</v>
      </c>
      <c r="H1577" s="219">
        <v>63800051</v>
      </c>
      <c r="I1577" s="47" t="s">
        <v>187</v>
      </c>
      <c r="J1577" s="47">
        <v>13</v>
      </c>
      <c r="K1577" s="198">
        <v>2634107</v>
      </c>
      <c r="L1577" s="47">
        <f t="shared" si="129"/>
        <v>21</v>
      </c>
      <c r="M1577" s="47" t="s">
        <v>4116</v>
      </c>
      <c r="N1577" s="219" t="s">
        <v>4117</v>
      </c>
      <c r="O1577" s="141" t="s">
        <v>4105</v>
      </c>
    </row>
    <row r="1578" spans="2:15" x14ac:dyDescent="0.3">
      <c r="B1578" s="129">
        <f t="shared" si="127"/>
        <v>63800052</v>
      </c>
      <c r="C1578" s="210">
        <v>1</v>
      </c>
      <c r="D1578" s="210"/>
      <c r="E1578" s="210">
        <v>0</v>
      </c>
      <c r="F1578" s="210" t="s">
        <v>4102</v>
      </c>
      <c r="G1578" s="210">
        <v>1</v>
      </c>
      <c r="H1578" s="219">
        <v>63800052</v>
      </c>
      <c r="I1578" s="47" t="s">
        <v>187</v>
      </c>
      <c r="J1578" s="47">
        <v>13</v>
      </c>
      <c r="K1578" s="198">
        <v>2634108</v>
      </c>
      <c r="L1578" s="47">
        <f t="shared" si="129"/>
        <v>21</v>
      </c>
      <c r="M1578" s="47" t="s">
        <v>4118</v>
      </c>
      <c r="N1578" s="219" t="s">
        <v>4119</v>
      </c>
      <c r="O1578" s="141" t="s">
        <v>4105</v>
      </c>
    </row>
    <row r="1579" spans="2:15" x14ac:dyDescent="0.3">
      <c r="B1579" s="129">
        <f t="shared" si="127"/>
        <v>63800053</v>
      </c>
      <c r="C1579" s="210">
        <v>1</v>
      </c>
      <c r="D1579" s="210"/>
      <c r="E1579" s="210">
        <v>0</v>
      </c>
      <c r="F1579" s="210" t="s">
        <v>4102</v>
      </c>
      <c r="G1579" s="210">
        <v>1</v>
      </c>
      <c r="H1579" s="219">
        <v>63800053</v>
      </c>
      <c r="I1579" s="47" t="s">
        <v>187</v>
      </c>
      <c r="J1579" s="47">
        <v>13</v>
      </c>
      <c r="K1579" s="198">
        <v>2634109</v>
      </c>
      <c r="L1579" s="47">
        <f t="shared" si="129"/>
        <v>21</v>
      </c>
      <c r="M1579" s="47" t="s">
        <v>4120</v>
      </c>
      <c r="N1579" s="219" t="s">
        <v>4121</v>
      </c>
      <c r="O1579" s="141" t="s">
        <v>4105</v>
      </c>
    </row>
    <row r="1580" spans="2:15" x14ac:dyDescent="0.3">
      <c r="B1580" s="129">
        <f t="shared" si="127"/>
        <v>63800054</v>
      </c>
      <c r="C1580" s="210">
        <v>1</v>
      </c>
      <c r="D1580" s="210"/>
      <c r="E1580" s="210">
        <v>0</v>
      </c>
      <c r="F1580" s="210" t="s">
        <v>4102</v>
      </c>
      <c r="G1580" s="210">
        <v>1</v>
      </c>
      <c r="H1580" s="219">
        <v>63800054</v>
      </c>
      <c r="I1580" s="47" t="s">
        <v>187</v>
      </c>
      <c r="J1580" s="47">
        <v>13</v>
      </c>
      <c r="K1580" s="198">
        <v>2634110</v>
      </c>
      <c r="L1580" s="47">
        <f t="shared" si="129"/>
        <v>21</v>
      </c>
      <c r="M1580" s="47" t="s">
        <v>4122</v>
      </c>
      <c r="N1580" s="219" t="s">
        <v>4123</v>
      </c>
      <c r="O1580" s="141" t="s">
        <v>4105</v>
      </c>
    </row>
    <row r="1581" spans="2:15" x14ac:dyDescent="0.3">
      <c r="B1581" s="129">
        <f t="shared" si="127"/>
        <v>63800055</v>
      </c>
      <c r="C1581" s="210">
        <v>1</v>
      </c>
      <c r="D1581" s="210"/>
      <c r="E1581" s="210">
        <v>0</v>
      </c>
      <c r="F1581" s="210" t="s">
        <v>4102</v>
      </c>
      <c r="G1581" s="210">
        <v>1</v>
      </c>
      <c r="H1581" s="219">
        <v>63800055</v>
      </c>
      <c r="I1581" s="47" t="s">
        <v>187</v>
      </c>
      <c r="J1581" s="47">
        <v>13</v>
      </c>
      <c r="K1581" s="198">
        <v>2634111</v>
      </c>
      <c r="L1581" s="47">
        <f t="shared" si="129"/>
        <v>21</v>
      </c>
      <c r="M1581" s="47" t="s">
        <v>4124</v>
      </c>
      <c r="N1581" s="219" t="s">
        <v>4125</v>
      </c>
      <c r="O1581" s="141" t="s">
        <v>4105</v>
      </c>
    </row>
    <row r="1582" spans="2:15" x14ac:dyDescent="0.3">
      <c r="B1582" s="129">
        <f t="shared" si="127"/>
        <v>63800056</v>
      </c>
      <c r="C1582" s="210">
        <v>1</v>
      </c>
      <c r="D1582" s="210"/>
      <c r="E1582" s="210">
        <v>0</v>
      </c>
      <c r="F1582" s="210" t="s">
        <v>4102</v>
      </c>
      <c r="G1582" s="210">
        <v>1</v>
      </c>
      <c r="H1582" s="219">
        <v>63800056</v>
      </c>
      <c r="I1582" s="47" t="s">
        <v>187</v>
      </c>
      <c r="J1582" s="47">
        <v>13</v>
      </c>
      <c r="K1582" s="198">
        <v>2634112</v>
      </c>
      <c r="L1582" s="47">
        <f t="shared" si="129"/>
        <v>21</v>
      </c>
      <c r="M1582" s="47" t="s">
        <v>4126</v>
      </c>
      <c r="N1582" s="219" t="s">
        <v>4127</v>
      </c>
      <c r="O1582" s="141" t="s">
        <v>4105</v>
      </c>
    </row>
    <row r="1583" spans="2:15" x14ac:dyDescent="0.3">
      <c r="B1583" s="129">
        <f>H1583</f>
        <v>63800044</v>
      </c>
      <c r="C1583" s="210">
        <v>1</v>
      </c>
      <c r="D1583" s="210"/>
      <c r="E1583" s="210">
        <v>0</v>
      </c>
      <c r="F1583" s="210" t="s">
        <v>4102</v>
      </c>
      <c r="G1583" s="210">
        <v>1</v>
      </c>
      <c r="H1583" s="219">
        <v>63800044</v>
      </c>
      <c r="I1583" s="47" t="s">
        <v>187</v>
      </c>
      <c r="J1583" s="47">
        <v>13</v>
      </c>
      <c r="K1583" s="198">
        <v>2634113</v>
      </c>
      <c r="L1583" s="47">
        <f>VLOOKUP(I1583,error,2,FALSE)</f>
        <v>21</v>
      </c>
      <c r="M1583" s="47" t="s">
        <v>4128</v>
      </c>
      <c r="N1583" s="219" t="s">
        <v>4129</v>
      </c>
      <c r="O1583" s="141" t="s">
        <v>4105</v>
      </c>
    </row>
    <row r="1584" spans="2:15" x14ac:dyDescent="0.3">
      <c r="B1584" s="129">
        <f t="shared" ref="B1584:B1599" si="130">H1584</f>
        <v>63800057</v>
      </c>
      <c r="C1584" s="210">
        <v>1</v>
      </c>
      <c r="D1584" s="210"/>
      <c r="E1584" s="210">
        <v>0</v>
      </c>
      <c r="F1584" s="210" t="s">
        <v>4102</v>
      </c>
      <c r="G1584" s="210">
        <v>1</v>
      </c>
      <c r="H1584" s="219">
        <v>63800057</v>
      </c>
      <c r="I1584" s="47" t="s">
        <v>187</v>
      </c>
      <c r="J1584" s="47">
        <v>13</v>
      </c>
      <c r="K1584" s="198">
        <v>2634114</v>
      </c>
      <c r="L1584" s="47">
        <f t="shared" ref="L1584:L1585" si="131">VLOOKUP(I1584,error,2,FALSE)</f>
        <v>21</v>
      </c>
      <c r="M1584" s="47" t="s">
        <v>4130</v>
      </c>
      <c r="N1584" s="219" t="s">
        <v>4131</v>
      </c>
      <c r="O1584" s="141" t="s">
        <v>4105</v>
      </c>
    </row>
    <row r="1585" spans="2:15" x14ac:dyDescent="0.3">
      <c r="B1585" s="129">
        <f t="shared" si="130"/>
        <v>63800058</v>
      </c>
      <c r="C1585" s="210">
        <v>1</v>
      </c>
      <c r="D1585" s="210"/>
      <c r="E1585" s="210">
        <v>0</v>
      </c>
      <c r="F1585" s="210" t="s">
        <v>4102</v>
      </c>
      <c r="G1585" s="210">
        <v>1</v>
      </c>
      <c r="H1585" s="219">
        <v>63800058</v>
      </c>
      <c r="I1585" s="47" t="s">
        <v>187</v>
      </c>
      <c r="J1585" s="47">
        <v>13</v>
      </c>
      <c r="K1585" s="198">
        <v>2634115</v>
      </c>
      <c r="L1585" s="47">
        <f t="shared" si="131"/>
        <v>21</v>
      </c>
      <c r="M1585" s="47" t="s">
        <v>4132</v>
      </c>
      <c r="N1585" s="219" t="s">
        <v>4133</v>
      </c>
      <c r="O1585" s="141" t="s">
        <v>4105</v>
      </c>
    </row>
    <row r="1586" spans="2:15" x14ac:dyDescent="0.3">
      <c r="B1586" s="129">
        <f t="shared" si="130"/>
        <v>50500000</v>
      </c>
      <c r="C1586" s="210">
        <v>1</v>
      </c>
      <c r="D1586" s="210" t="s">
        <v>4078</v>
      </c>
      <c r="E1586" s="210">
        <v>0</v>
      </c>
      <c r="F1586" s="210" t="s">
        <v>4195</v>
      </c>
      <c r="G1586" s="210">
        <v>1</v>
      </c>
      <c r="H1586" s="219">
        <v>50500000</v>
      </c>
      <c r="I1586" s="47" t="s">
        <v>187</v>
      </c>
      <c r="J1586" s="47">
        <v>13</v>
      </c>
      <c r="K1586" s="198">
        <v>2629101</v>
      </c>
      <c r="L1586" s="47">
        <f t="shared" ref="L1586:L1598" si="132">VLOOKUP(I1586,error,2,FALSE)</f>
        <v>21</v>
      </c>
      <c r="M1586" s="47" t="s">
        <v>4166</v>
      </c>
      <c r="N1586" s="219" t="s">
        <v>4167</v>
      </c>
      <c r="O1586" s="141" t="s">
        <v>4168</v>
      </c>
    </row>
    <row r="1587" spans="2:15" x14ac:dyDescent="0.3">
      <c r="B1587" s="129">
        <f t="shared" si="130"/>
        <v>50500001</v>
      </c>
      <c r="C1587" s="210">
        <v>1</v>
      </c>
      <c r="D1587" s="210" t="s">
        <v>4078</v>
      </c>
      <c r="E1587" s="210">
        <v>0</v>
      </c>
      <c r="F1587" s="210" t="s">
        <v>4195</v>
      </c>
      <c r="G1587" s="210">
        <v>1</v>
      </c>
      <c r="H1587" s="219">
        <v>50500001</v>
      </c>
      <c r="I1587" s="47" t="s">
        <v>187</v>
      </c>
      <c r="J1587" s="47">
        <v>13</v>
      </c>
      <c r="K1587" s="198">
        <v>2629102</v>
      </c>
      <c r="L1587" s="47">
        <f t="shared" si="132"/>
        <v>21</v>
      </c>
      <c r="M1587" s="47" t="s">
        <v>4169</v>
      </c>
      <c r="N1587" s="219" t="s">
        <v>4170</v>
      </c>
      <c r="O1587" s="141" t="s">
        <v>4168</v>
      </c>
    </row>
    <row r="1588" spans="2:15" x14ac:dyDescent="0.3">
      <c r="B1588" s="129">
        <f t="shared" si="130"/>
        <v>50500002</v>
      </c>
      <c r="C1588" s="210">
        <v>1</v>
      </c>
      <c r="D1588" s="210" t="s">
        <v>4078</v>
      </c>
      <c r="E1588" s="210">
        <v>0</v>
      </c>
      <c r="F1588" s="210" t="s">
        <v>4195</v>
      </c>
      <c r="G1588" s="210">
        <v>1</v>
      </c>
      <c r="H1588" s="219">
        <v>50500002</v>
      </c>
      <c r="I1588" s="47" t="s">
        <v>187</v>
      </c>
      <c r="J1588" s="47">
        <v>13</v>
      </c>
      <c r="K1588" s="198">
        <v>2629103</v>
      </c>
      <c r="L1588" s="47">
        <f t="shared" si="132"/>
        <v>21</v>
      </c>
      <c r="M1588" s="47" t="s">
        <v>4171</v>
      </c>
      <c r="N1588" s="219" t="s">
        <v>4172</v>
      </c>
      <c r="O1588" s="141" t="s">
        <v>4168</v>
      </c>
    </row>
    <row r="1589" spans="2:15" x14ac:dyDescent="0.3">
      <c r="B1589" s="129">
        <f t="shared" si="130"/>
        <v>50500003</v>
      </c>
      <c r="C1589" s="210">
        <v>1</v>
      </c>
      <c r="D1589" s="210" t="s">
        <v>4078</v>
      </c>
      <c r="E1589" s="210">
        <v>0</v>
      </c>
      <c r="F1589" s="210" t="s">
        <v>4195</v>
      </c>
      <c r="G1589" s="210">
        <v>1</v>
      </c>
      <c r="H1589" s="219">
        <v>50500003</v>
      </c>
      <c r="I1589" s="47" t="s">
        <v>187</v>
      </c>
      <c r="J1589" s="47">
        <v>13</v>
      </c>
      <c r="K1589" s="198">
        <v>2629104</v>
      </c>
      <c r="L1589" s="47">
        <f t="shared" si="132"/>
        <v>21</v>
      </c>
      <c r="M1589" s="47" t="s">
        <v>4173</v>
      </c>
      <c r="N1589" s="219" t="s">
        <v>4174</v>
      </c>
      <c r="O1589" s="141" t="s">
        <v>4168</v>
      </c>
    </row>
    <row r="1590" spans="2:15" x14ac:dyDescent="0.3">
      <c r="B1590" s="129">
        <f t="shared" si="130"/>
        <v>50500004</v>
      </c>
      <c r="C1590" s="210">
        <v>1</v>
      </c>
      <c r="D1590" s="210" t="s">
        <v>4078</v>
      </c>
      <c r="E1590" s="210">
        <v>0</v>
      </c>
      <c r="F1590" s="210" t="s">
        <v>4195</v>
      </c>
      <c r="G1590" s="210">
        <v>1</v>
      </c>
      <c r="H1590" s="219">
        <v>50500004</v>
      </c>
      <c r="I1590" s="47" t="s">
        <v>187</v>
      </c>
      <c r="J1590" s="47">
        <v>13</v>
      </c>
      <c r="K1590" s="198">
        <v>2629105</v>
      </c>
      <c r="L1590" s="47">
        <f t="shared" si="132"/>
        <v>21</v>
      </c>
      <c r="M1590" s="47" t="s">
        <v>4175</v>
      </c>
      <c r="N1590" s="219" t="s">
        <v>4176</v>
      </c>
      <c r="O1590" s="141" t="s">
        <v>4168</v>
      </c>
    </row>
    <row r="1591" spans="2:15" x14ac:dyDescent="0.3">
      <c r="B1591" s="129">
        <f t="shared" si="130"/>
        <v>50500005</v>
      </c>
      <c r="C1591" s="210">
        <v>1</v>
      </c>
      <c r="D1591" s="210" t="s">
        <v>4078</v>
      </c>
      <c r="E1591" s="210">
        <v>0</v>
      </c>
      <c r="F1591" s="210" t="s">
        <v>4195</v>
      </c>
      <c r="G1591" s="210">
        <v>1</v>
      </c>
      <c r="H1591" s="219">
        <v>50500005</v>
      </c>
      <c r="I1591" s="47" t="s">
        <v>187</v>
      </c>
      <c r="J1591" s="47">
        <v>13</v>
      </c>
      <c r="K1591" s="198">
        <v>2629106</v>
      </c>
      <c r="L1591" s="47">
        <f t="shared" si="132"/>
        <v>21</v>
      </c>
      <c r="M1591" s="47" t="s">
        <v>4177</v>
      </c>
      <c r="N1591" s="219" t="s">
        <v>4178</v>
      </c>
      <c r="O1591" s="141" t="s">
        <v>4168</v>
      </c>
    </row>
    <row r="1592" spans="2:15" x14ac:dyDescent="0.3">
      <c r="B1592" s="129">
        <f t="shared" si="130"/>
        <v>50500006</v>
      </c>
      <c r="C1592" s="210">
        <v>1</v>
      </c>
      <c r="D1592" s="210" t="s">
        <v>4078</v>
      </c>
      <c r="E1592" s="210">
        <v>0</v>
      </c>
      <c r="F1592" s="210" t="s">
        <v>4195</v>
      </c>
      <c r="G1592" s="210">
        <v>1</v>
      </c>
      <c r="H1592" s="219">
        <v>50500006</v>
      </c>
      <c r="I1592" s="47" t="s">
        <v>187</v>
      </c>
      <c r="J1592" s="47">
        <v>13</v>
      </c>
      <c r="K1592" s="198">
        <v>2629107</v>
      </c>
      <c r="L1592" s="47">
        <f t="shared" si="132"/>
        <v>21</v>
      </c>
      <c r="M1592" s="47" t="s">
        <v>4179</v>
      </c>
      <c r="N1592" s="219" t="s">
        <v>4180</v>
      </c>
      <c r="O1592" s="141" t="s">
        <v>4168</v>
      </c>
    </row>
    <row r="1593" spans="2:15" x14ac:dyDescent="0.3">
      <c r="B1593" s="129">
        <f t="shared" si="130"/>
        <v>50500007</v>
      </c>
      <c r="C1593" s="210">
        <v>1</v>
      </c>
      <c r="D1593" s="210" t="s">
        <v>4078</v>
      </c>
      <c r="E1593" s="210">
        <v>0</v>
      </c>
      <c r="F1593" s="210" t="s">
        <v>4195</v>
      </c>
      <c r="G1593" s="210">
        <v>1</v>
      </c>
      <c r="H1593" s="219">
        <v>50500007</v>
      </c>
      <c r="I1593" s="47" t="s">
        <v>187</v>
      </c>
      <c r="J1593" s="47">
        <v>13</v>
      </c>
      <c r="K1593" s="198">
        <v>2629108</v>
      </c>
      <c r="L1593" s="47">
        <f t="shared" si="132"/>
        <v>21</v>
      </c>
      <c r="M1593" s="47" t="s">
        <v>4181</v>
      </c>
      <c r="N1593" s="219" t="s">
        <v>4182</v>
      </c>
      <c r="O1593" s="141" t="s">
        <v>4168</v>
      </c>
    </row>
    <row r="1594" spans="2:15" x14ac:dyDescent="0.3">
      <c r="B1594" s="129">
        <f t="shared" si="130"/>
        <v>50500008</v>
      </c>
      <c r="C1594" s="210">
        <v>1</v>
      </c>
      <c r="D1594" s="210" t="s">
        <v>4078</v>
      </c>
      <c r="E1594" s="210">
        <v>0</v>
      </c>
      <c r="F1594" s="210" t="s">
        <v>4195</v>
      </c>
      <c r="G1594" s="210">
        <v>1</v>
      </c>
      <c r="H1594" s="219">
        <v>50500008</v>
      </c>
      <c r="I1594" s="47" t="s">
        <v>187</v>
      </c>
      <c r="J1594" s="47">
        <v>13</v>
      </c>
      <c r="K1594" s="198">
        <v>2629109</v>
      </c>
      <c r="L1594" s="47">
        <f t="shared" si="132"/>
        <v>21</v>
      </c>
      <c r="M1594" s="47" t="s">
        <v>4183</v>
      </c>
      <c r="N1594" s="219" t="s">
        <v>4184</v>
      </c>
      <c r="O1594" s="141" t="s">
        <v>4168</v>
      </c>
    </row>
    <row r="1595" spans="2:15" x14ac:dyDescent="0.3">
      <c r="B1595" s="129">
        <f t="shared" si="130"/>
        <v>50500009</v>
      </c>
      <c r="C1595" s="210">
        <v>1</v>
      </c>
      <c r="D1595" s="210" t="s">
        <v>4078</v>
      </c>
      <c r="E1595" s="210">
        <v>0</v>
      </c>
      <c r="F1595" s="210" t="s">
        <v>4195</v>
      </c>
      <c r="G1595" s="210">
        <v>1</v>
      </c>
      <c r="H1595" s="219">
        <v>50500009</v>
      </c>
      <c r="I1595" s="47" t="s">
        <v>187</v>
      </c>
      <c r="J1595" s="47">
        <v>13</v>
      </c>
      <c r="K1595" s="198">
        <v>2629110</v>
      </c>
      <c r="L1595" s="47">
        <f t="shared" si="132"/>
        <v>21</v>
      </c>
      <c r="M1595" s="47" t="s">
        <v>4185</v>
      </c>
      <c r="N1595" s="219" t="s">
        <v>4186</v>
      </c>
      <c r="O1595" s="141" t="s">
        <v>4168</v>
      </c>
    </row>
    <row r="1596" spans="2:15" x14ac:dyDescent="0.3">
      <c r="B1596" s="129">
        <f t="shared" si="130"/>
        <v>50500010</v>
      </c>
      <c r="C1596" s="210">
        <v>1</v>
      </c>
      <c r="D1596" s="210" t="s">
        <v>4078</v>
      </c>
      <c r="E1596" s="210">
        <v>0</v>
      </c>
      <c r="F1596" s="210" t="s">
        <v>4195</v>
      </c>
      <c r="G1596" s="210">
        <v>1</v>
      </c>
      <c r="H1596" s="219">
        <v>50500010</v>
      </c>
      <c r="I1596" s="47" t="s">
        <v>187</v>
      </c>
      <c r="J1596" s="47">
        <v>13</v>
      </c>
      <c r="K1596" s="198">
        <v>2629111</v>
      </c>
      <c r="L1596" s="47">
        <f t="shared" si="132"/>
        <v>21</v>
      </c>
      <c r="M1596" s="47" t="s">
        <v>4187</v>
      </c>
      <c r="N1596" s="219" t="s">
        <v>4188</v>
      </c>
      <c r="O1596" s="141" t="s">
        <v>4168</v>
      </c>
    </row>
    <row r="1597" spans="2:15" x14ac:dyDescent="0.3">
      <c r="B1597" s="129">
        <f t="shared" si="130"/>
        <v>50500011</v>
      </c>
      <c r="C1597" s="210">
        <v>1</v>
      </c>
      <c r="D1597" s="210" t="s">
        <v>4078</v>
      </c>
      <c r="E1597" s="210">
        <v>0</v>
      </c>
      <c r="F1597" s="210" t="s">
        <v>4195</v>
      </c>
      <c r="G1597" s="210">
        <v>1</v>
      </c>
      <c r="H1597" s="219">
        <v>50500011</v>
      </c>
      <c r="I1597" s="47" t="s">
        <v>187</v>
      </c>
      <c r="J1597" s="47">
        <v>13</v>
      </c>
      <c r="K1597" s="198">
        <v>2629112</v>
      </c>
      <c r="L1597" s="47">
        <f t="shared" si="132"/>
        <v>21</v>
      </c>
      <c r="M1597" s="47" t="s">
        <v>4189</v>
      </c>
      <c r="N1597" s="219" t="s">
        <v>4190</v>
      </c>
      <c r="O1597" s="141" t="s">
        <v>4168</v>
      </c>
    </row>
    <row r="1598" spans="2:15" x14ac:dyDescent="0.3">
      <c r="B1598" s="129">
        <f t="shared" si="130"/>
        <v>50500012</v>
      </c>
      <c r="C1598" s="210">
        <v>1</v>
      </c>
      <c r="D1598" s="210" t="s">
        <v>4078</v>
      </c>
      <c r="E1598" s="210">
        <v>0</v>
      </c>
      <c r="F1598" s="210" t="s">
        <v>4195</v>
      </c>
      <c r="G1598" s="210">
        <v>1</v>
      </c>
      <c r="H1598" s="219">
        <v>50500012</v>
      </c>
      <c r="I1598" s="47" t="s">
        <v>187</v>
      </c>
      <c r="J1598" s="47">
        <v>13</v>
      </c>
      <c r="K1598" s="198">
        <v>2629113</v>
      </c>
      <c r="L1598" s="47">
        <f t="shared" si="132"/>
        <v>21</v>
      </c>
      <c r="M1598" s="47" t="s">
        <v>4191</v>
      </c>
      <c r="N1598" s="219" t="s">
        <v>4192</v>
      </c>
      <c r="O1598" s="141" t="s">
        <v>4168</v>
      </c>
    </row>
    <row r="1599" spans="2:15" x14ac:dyDescent="0.3">
      <c r="B1599" s="129">
        <f t="shared" si="130"/>
        <v>50500013</v>
      </c>
      <c r="C1599" s="210">
        <v>1</v>
      </c>
      <c r="D1599" s="210" t="s">
        <v>4078</v>
      </c>
      <c r="E1599" s="210">
        <v>0</v>
      </c>
      <c r="F1599" s="210" t="s">
        <v>4195</v>
      </c>
      <c r="G1599" s="210">
        <v>1</v>
      </c>
      <c r="H1599" s="219">
        <v>50500013</v>
      </c>
      <c r="I1599" s="47" t="s">
        <v>187</v>
      </c>
      <c r="J1599" s="47">
        <v>13</v>
      </c>
      <c r="K1599" s="198">
        <v>2629114</v>
      </c>
      <c r="L1599" s="47">
        <f t="shared" ref="L1599" si="133">VLOOKUP(I1599,error,2,FALSE)</f>
        <v>21</v>
      </c>
      <c r="M1599" s="47" t="s">
        <v>4193</v>
      </c>
      <c r="N1599" s="219" t="s">
        <v>4194</v>
      </c>
      <c r="O1599" s="141" t="s">
        <v>4168</v>
      </c>
    </row>
  </sheetData>
  <autoFilter ref="A4:P1599" xr:uid="{2AA07E61-8FD7-4A7A-AAE7-30C7CA81D0BF}">
    <sortState xmlns:xlrd2="http://schemas.microsoft.com/office/spreadsheetml/2017/richdata2" ref="A5:P1224">
      <sortCondition ref="H4:H1224"/>
    </sortState>
  </autoFilter>
  <phoneticPr fontId="2" type="noConversion"/>
  <conditionalFormatting sqref="K815:K824">
    <cfRule type="duplicateValues" dxfId="819" priority="1240"/>
  </conditionalFormatting>
  <conditionalFormatting sqref="K910:K911">
    <cfRule type="duplicateValues" dxfId="818" priority="1238"/>
  </conditionalFormatting>
  <conditionalFormatting sqref="K910:K911">
    <cfRule type="duplicateValues" dxfId="817" priority="1237"/>
  </conditionalFormatting>
  <conditionalFormatting sqref="K917:K921">
    <cfRule type="duplicateValues" dxfId="816" priority="1236"/>
  </conditionalFormatting>
  <conditionalFormatting sqref="K917:K921">
    <cfRule type="duplicateValues" dxfId="815" priority="1235"/>
  </conditionalFormatting>
  <conditionalFormatting sqref="H1600:H1048576 H1404:H1406 H1299:H1314 H1223:H1270 H76:H86 H142:H167 H1143:H1168 H1:H39 H313:H323 H177:H191 H606:H627 H266:H308 H198:H228 H550:H575 H577:H603 H60:H73 H924:H987 H1105:H1132 H41:H56 H1316 H448:H479 H629:H811 H510:H542 H1012:H1063 H58 H327:H396 H814:H829 H483:H501 H1408:H1446 H836:H922 H1066:H1096">
    <cfRule type="duplicateValues" dxfId="814" priority="1234"/>
  </conditionalFormatting>
  <conditionalFormatting sqref="H74">
    <cfRule type="duplicateValues" dxfId="813" priority="1229"/>
  </conditionalFormatting>
  <conditionalFormatting sqref="H75">
    <cfRule type="duplicateValues" dxfId="812" priority="1228"/>
  </conditionalFormatting>
  <conditionalFormatting sqref="B448:G448">
    <cfRule type="duplicateValues" dxfId="811" priority="1225"/>
  </conditionalFormatting>
  <conditionalFormatting sqref="H1600:H1048576 H1404:H1406 H1299:H1314 H1223:H1270 H142:H167 H1:H39 H313:H323 H177:H191 H606:H627 H266:H308 H198:H228 H550:H575 H577:H603 H60:H86 H924:H987 H1105:H1168 H41:H56 H1316 H448:H479 H629:H811 H510:H542 H1012:H1063 H58 H327:H396 H814:H829 H483:H501 H1408:H1446 H836:H922 H1066:H1096">
    <cfRule type="duplicateValues" dxfId="810" priority="1224"/>
  </conditionalFormatting>
  <conditionalFormatting sqref="H397:H420">
    <cfRule type="duplicateValues" dxfId="809" priority="1223"/>
  </conditionalFormatting>
  <conditionalFormatting sqref="H397:H420">
    <cfRule type="duplicateValues" dxfId="808" priority="1222"/>
  </conditionalFormatting>
  <conditionalFormatting sqref="H309">
    <cfRule type="duplicateValues" dxfId="807" priority="1219"/>
  </conditionalFormatting>
  <conditionalFormatting sqref="H309">
    <cfRule type="duplicateValues" dxfId="806" priority="1218"/>
  </conditionalFormatting>
  <conditionalFormatting sqref="H310">
    <cfRule type="duplicateValues" dxfId="805" priority="1217"/>
  </conditionalFormatting>
  <conditionalFormatting sqref="H310">
    <cfRule type="duplicateValues" dxfId="804" priority="1216"/>
  </conditionalFormatting>
  <conditionalFormatting sqref="H812">
    <cfRule type="duplicateValues" dxfId="803" priority="1215"/>
  </conditionalFormatting>
  <conditionalFormatting sqref="H812">
    <cfRule type="duplicateValues" dxfId="802" priority="1214"/>
  </conditionalFormatting>
  <conditionalFormatting sqref="H1600:H1048576 H1404:H1406 H1299:H1314 H1223:H1270 H142:H167 H1:H39 H606:H627 H177:H191 H198:H228 H266:H310 H550:H575 H577:H603 H60:H86 H924:H987 H1105:H1168 H41:H56 H1316 H629:H812 H510:H542 H1012:H1063 H58 H313:H323 H448:H479 H327:H420 H814:H829 H483:H501 H1408:H1446 H836:H922 H1066:H1096">
    <cfRule type="duplicateValues" dxfId="801" priority="1211"/>
  </conditionalFormatting>
  <conditionalFormatting sqref="K770">
    <cfRule type="duplicateValues" dxfId="800" priority="1209"/>
  </conditionalFormatting>
  <conditionalFormatting sqref="K770">
    <cfRule type="duplicateValues" dxfId="799" priority="1210"/>
  </conditionalFormatting>
  <conditionalFormatting sqref="K770">
    <cfRule type="duplicateValues" dxfId="798" priority="1208"/>
  </conditionalFormatting>
  <conditionalFormatting sqref="K770">
    <cfRule type="duplicateValues" dxfId="797" priority="1207"/>
  </conditionalFormatting>
  <conditionalFormatting sqref="H604:H605">
    <cfRule type="duplicateValues" dxfId="796" priority="1206"/>
  </conditionalFormatting>
  <conditionalFormatting sqref="H604:H605">
    <cfRule type="duplicateValues" dxfId="795" priority="1205"/>
  </conditionalFormatting>
  <conditionalFormatting sqref="H604:H605">
    <cfRule type="duplicateValues" dxfId="794" priority="1204"/>
  </conditionalFormatting>
  <conditionalFormatting sqref="H1600:H1048576 H1404:H1406 H1299:H1314 H1223:H1270 H142:H167 H1:H39 H177:H191 H198:H228 H266:H310 H550:H575 H577:H627 H60:H86 H924:H987 H1105:H1168 H41:H56 H1316 H629:H812 H510:H542 H1012:H1063 H58 H313:H323 H448:H479 H327:H420 H814:H829 H483:H501 H1408:H1446 H836:H922 H1066:H1096">
    <cfRule type="duplicateValues" dxfId="793" priority="1203"/>
  </conditionalFormatting>
  <conditionalFormatting sqref="K1089 K1091">
    <cfRule type="duplicateValues" dxfId="792" priority="1202"/>
  </conditionalFormatting>
  <conditionalFormatting sqref="K1089 K1091">
    <cfRule type="duplicateValues" dxfId="791" priority="1201"/>
  </conditionalFormatting>
  <conditionalFormatting sqref="H168:H169">
    <cfRule type="duplicateValues" dxfId="790" priority="1192"/>
  </conditionalFormatting>
  <conditionalFormatting sqref="H168:H169">
    <cfRule type="duplicateValues" dxfId="789" priority="1191"/>
  </conditionalFormatting>
  <conditionalFormatting sqref="H168:H169">
    <cfRule type="duplicateValues" dxfId="788" priority="1190"/>
  </conditionalFormatting>
  <conditionalFormatting sqref="H168:H169">
    <cfRule type="duplicateValues" dxfId="787" priority="1189"/>
  </conditionalFormatting>
  <conditionalFormatting sqref="B912:G916">
    <cfRule type="duplicateValues" dxfId="786" priority="1188"/>
  </conditionalFormatting>
  <conditionalFormatting sqref="B912:G916">
    <cfRule type="duplicateValues" dxfId="785" priority="1187"/>
  </conditionalFormatting>
  <conditionalFormatting sqref="B912:G916">
    <cfRule type="duplicateValues" dxfId="784" priority="1186"/>
  </conditionalFormatting>
  <conditionalFormatting sqref="B912:G916">
    <cfRule type="duplicateValues" dxfId="783" priority="1185"/>
  </conditionalFormatting>
  <conditionalFormatting sqref="K912:K916">
    <cfRule type="duplicateValues" dxfId="782" priority="1184"/>
  </conditionalFormatting>
  <conditionalFormatting sqref="K912:K916">
    <cfRule type="duplicateValues" dxfId="781" priority="1183"/>
  </conditionalFormatting>
  <conditionalFormatting sqref="H988:H1011">
    <cfRule type="duplicateValues" dxfId="780" priority="1181"/>
  </conditionalFormatting>
  <conditionalFormatting sqref="H988:H1011">
    <cfRule type="duplicateValues" dxfId="779" priority="1180"/>
  </conditionalFormatting>
  <conditionalFormatting sqref="H988:H1011">
    <cfRule type="duplicateValues" dxfId="778" priority="1179"/>
  </conditionalFormatting>
  <conditionalFormatting sqref="B988:G1011">
    <cfRule type="duplicateValues" dxfId="777" priority="1182"/>
  </conditionalFormatting>
  <conditionalFormatting sqref="H988:H1011">
    <cfRule type="duplicateValues" dxfId="776" priority="1178"/>
  </conditionalFormatting>
  <conditionalFormatting sqref="H1600:H1048576 H1404:H1406 H1299:H1314 H1223:H1270 H198:H228 H177:H191 H1:H39 H266:H310 H550:H575 H577:H627 H60:H89 H142:H169 H1105:H1168 H41:H56 H1316 H629:H812 H510:H542 H924:H1063 H58 H313:H323 H448:H479 H327:H420 H814:H829 H483:H501 H1408:H1446 H836:H922 H93:H98 H1066:H1096">
    <cfRule type="duplicateValues" dxfId="775" priority="1161"/>
  </conditionalFormatting>
  <conditionalFormatting sqref="H1170">
    <cfRule type="duplicateValues" dxfId="774" priority="1160"/>
  </conditionalFormatting>
  <conditionalFormatting sqref="H1170">
    <cfRule type="duplicateValues" dxfId="773" priority="1159"/>
  </conditionalFormatting>
  <conditionalFormatting sqref="H1170">
    <cfRule type="duplicateValues" dxfId="772" priority="1158"/>
  </conditionalFormatting>
  <conditionalFormatting sqref="H1170">
    <cfRule type="duplicateValues" dxfId="771" priority="1157"/>
  </conditionalFormatting>
  <conditionalFormatting sqref="H1169">
    <cfRule type="duplicateValues" dxfId="770" priority="1156"/>
  </conditionalFormatting>
  <conditionalFormatting sqref="H1169">
    <cfRule type="duplicateValues" dxfId="769" priority="1155"/>
  </conditionalFormatting>
  <conditionalFormatting sqref="H1169">
    <cfRule type="duplicateValues" dxfId="768" priority="1154"/>
  </conditionalFormatting>
  <conditionalFormatting sqref="H1169">
    <cfRule type="duplicateValues" dxfId="767" priority="1153"/>
  </conditionalFormatting>
  <conditionalFormatting sqref="H1169">
    <cfRule type="duplicateValues" dxfId="766" priority="1152"/>
  </conditionalFormatting>
  <conditionalFormatting sqref="H1189:H1190 H1171:H1186">
    <cfRule type="duplicateValues" dxfId="765" priority="1151"/>
  </conditionalFormatting>
  <conditionalFormatting sqref="H1189:H1190 H1171:H1186">
    <cfRule type="duplicateValues" dxfId="764" priority="1150"/>
  </conditionalFormatting>
  <conditionalFormatting sqref="H1192:H1204">
    <cfRule type="duplicateValues" dxfId="763" priority="1149"/>
  </conditionalFormatting>
  <conditionalFormatting sqref="H1192:H1204">
    <cfRule type="duplicateValues" dxfId="762" priority="1148"/>
  </conditionalFormatting>
  <conditionalFormatting sqref="H1192:H1204">
    <cfRule type="duplicateValues" dxfId="761" priority="1147"/>
  </conditionalFormatting>
  <conditionalFormatting sqref="H1192:H1204">
    <cfRule type="duplicateValues" dxfId="760" priority="1146"/>
  </conditionalFormatting>
  <conditionalFormatting sqref="H1189:H1190 H1169:H1186 H1192:H1204">
    <cfRule type="duplicateValues" dxfId="759" priority="1145"/>
  </conditionalFormatting>
  <conditionalFormatting sqref="H1600:H1048576 H1404:H1406 H1299:H1314 H1223:H1270 H1189:H1190 H1192:H1204 H198:H228 H177:H191 H1:H39 H266:H310 H550:H575 H577:H627 H60:H89 H142:H169 H1105:H1186 H41:H56 H1316 H629:H812 H510:H542 H924:H1063 H58 H313:H323 H448:H479 H327:H420 H814:H829 H483:H501 H1408:H1446 H836:H922 H93:H98 H1066:H1096">
    <cfRule type="duplicateValues" dxfId="758" priority="1144"/>
  </conditionalFormatting>
  <conditionalFormatting sqref="B958:G987 B1012:G1050">
    <cfRule type="duplicateValues" dxfId="757" priority="1280"/>
  </conditionalFormatting>
  <conditionalFormatting sqref="K1189:K1190 K1192:K1202 K945:K990 K313:K323 K1079:K1091 K814:K826 K177:K191 K93:K98 K448:K479 K1093:K1097 K577:K582 K1299:K1314 K142:K169 K924:K943 K198:K228 K41:K56 K1316 K584:K731 K1404:K1406 K733:K812 K1:K39 K60:K88 K240:K310 K510:K575 K1493:K1498 K327:K398 K1600:K1048576 K1222:K1270 K1507:K1508 K483:K497 K1408:K1446 K836:K922 K1105:K1186 K1012:K1077">
    <cfRule type="cellIs" dxfId="756" priority="1143" operator="equal">
      <formula>""""""</formula>
    </cfRule>
  </conditionalFormatting>
  <conditionalFormatting sqref="K775">
    <cfRule type="cellIs" dxfId="755" priority="1142" operator="equal">
      <formula>""""""</formula>
    </cfRule>
  </conditionalFormatting>
  <conditionalFormatting sqref="K498:K500">
    <cfRule type="cellIs" dxfId="754" priority="1141" operator="equal">
      <formula>""""""</formula>
    </cfRule>
  </conditionalFormatting>
  <conditionalFormatting sqref="H1187">
    <cfRule type="duplicateValues" dxfId="753" priority="1140"/>
  </conditionalFormatting>
  <conditionalFormatting sqref="H1187">
    <cfRule type="duplicateValues" dxfId="752" priority="1139"/>
  </conditionalFormatting>
  <conditionalFormatting sqref="H1187">
    <cfRule type="duplicateValues" dxfId="751" priority="1138"/>
  </conditionalFormatting>
  <conditionalFormatting sqref="H1187">
    <cfRule type="duplicateValues" dxfId="750" priority="1137"/>
  </conditionalFormatting>
  <conditionalFormatting sqref="K1187">
    <cfRule type="cellIs" dxfId="749" priority="1136" operator="equal">
      <formula>""""""</formula>
    </cfRule>
  </conditionalFormatting>
  <conditionalFormatting sqref="H1188">
    <cfRule type="duplicateValues" dxfId="748" priority="1135"/>
  </conditionalFormatting>
  <conditionalFormatting sqref="H1188">
    <cfRule type="duplicateValues" dxfId="747" priority="1134"/>
  </conditionalFormatting>
  <conditionalFormatting sqref="H1188">
    <cfRule type="duplicateValues" dxfId="746" priority="1133"/>
  </conditionalFormatting>
  <conditionalFormatting sqref="H1188">
    <cfRule type="duplicateValues" dxfId="745" priority="1132"/>
  </conditionalFormatting>
  <conditionalFormatting sqref="K1188">
    <cfRule type="cellIs" dxfId="744" priority="1131" operator="equal">
      <formula>""""""</formula>
    </cfRule>
  </conditionalFormatting>
  <conditionalFormatting sqref="H1191">
    <cfRule type="duplicateValues" dxfId="743" priority="1130"/>
  </conditionalFormatting>
  <conditionalFormatting sqref="H1191">
    <cfRule type="duplicateValues" dxfId="742" priority="1129"/>
  </conditionalFormatting>
  <conditionalFormatting sqref="H1191">
    <cfRule type="duplicateValues" dxfId="741" priority="1128"/>
  </conditionalFormatting>
  <conditionalFormatting sqref="H1191">
    <cfRule type="duplicateValues" dxfId="740" priority="1127"/>
  </conditionalFormatting>
  <conditionalFormatting sqref="K1191">
    <cfRule type="cellIs" dxfId="739" priority="1126" operator="equal">
      <formula>""""""</formula>
    </cfRule>
  </conditionalFormatting>
  <conditionalFormatting sqref="K399:K420">
    <cfRule type="cellIs" dxfId="738" priority="1125" operator="equal">
      <formula>""""""</formula>
    </cfRule>
  </conditionalFormatting>
  <conditionalFormatting sqref="H628">
    <cfRule type="duplicateValues" dxfId="737" priority="1124"/>
  </conditionalFormatting>
  <conditionalFormatting sqref="H628">
    <cfRule type="duplicateValues" dxfId="736" priority="1123"/>
  </conditionalFormatting>
  <conditionalFormatting sqref="H628">
    <cfRule type="duplicateValues" dxfId="735" priority="1122"/>
  </conditionalFormatting>
  <conditionalFormatting sqref="H628">
    <cfRule type="duplicateValues" dxfId="734" priority="1121"/>
  </conditionalFormatting>
  <conditionalFormatting sqref="H628">
    <cfRule type="duplicateValues" dxfId="733" priority="1120"/>
  </conditionalFormatting>
  <conditionalFormatting sqref="H628">
    <cfRule type="duplicateValues" dxfId="732" priority="1119"/>
  </conditionalFormatting>
  <conditionalFormatting sqref="K628">
    <cfRule type="cellIs" dxfId="731" priority="1118" operator="equal">
      <formula>""""""</formula>
    </cfRule>
  </conditionalFormatting>
  <conditionalFormatting sqref="K583">
    <cfRule type="cellIs" dxfId="730" priority="1117" operator="equal">
      <formula>""""""</formula>
    </cfRule>
  </conditionalFormatting>
  <conditionalFormatting sqref="K732">
    <cfRule type="cellIs" dxfId="729" priority="1116" operator="equal">
      <formula>""""""</formula>
    </cfRule>
  </conditionalFormatting>
  <conditionalFormatting sqref="K1078">
    <cfRule type="cellIs" dxfId="728" priority="1115" operator="equal">
      <formula>""""""</formula>
    </cfRule>
  </conditionalFormatting>
  <conditionalFormatting sqref="K1205:K1211">
    <cfRule type="cellIs" dxfId="727" priority="1101" operator="equal">
      <formula>""""""</formula>
    </cfRule>
  </conditionalFormatting>
  <conditionalFormatting sqref="K1203:K1204">
    <cfRule type="cellIs" dxfId="726" priority="1094" operator="equal">
      <formula>""""""</formula>
    </cfRule>
  </conditionalFormatting>
  <conditionalFormatting sqref="H1600:H1048576 H1404:H1406 H1299:H1314 H198:H228 H177:H191 H1:H39 H266:H310 H60:H89 H142:H169 H1105:H1211 H41:H56 H1316 H577:H812 H58 H510:H575 H313:H323 H448:H479 H327:H420 H814:H829 H1222:H1270 H483:H501 H1408:H1446 H836:H922 H93:H98 H924:H1096">
    <cfRule type="duplicateValues" dxfId="725" priority="1093"/>
  </conditionalFormatting>
  <conditionalFormatting sqref="H229:H230">
    <cfRule type="duplicateValues" dxfId="724" priority="1090"/>
  </conditionalFormatting>
  <conditionalFormatting sqref="H229:H230">
    <cfRule type="duplicateValues" dxfId="723" priority="1089"/>
  </conditionalFormatting>
  <conditionalFormatting sqref="H229:H230">
    <cfRule type="duplicateValues" dxfId="722" priority="1088"/>
  </conditionalFormatting>
  <conditionalFormatting sqref="H229:H230">
    <cfRule type="duplicateValues" dxfId="721" priority="1087"/>
  </conditionalFormatting>
  <conditionalFormatting sqref="K229:K230">
    <cfRule type="cellIs" dxfId="720" priority="1086" operator="equal">
      <formula>""""""</formula>
    </cfRule>
  </conditionalFormatting>
  <conditionalFormatting sqref="H229:H230">
    <cfRule type="duplicateValues" dxfId="719" priority="1085"/>
  </conditionalFormatting>
  <conditionalFormatting sqref="K1092">
    <cfRule type="duplicateValues" dxfId="718" priority="1084"/>
  </conditionalFormatting>
  <conditionalFormatting sqref="K1092">
    <cfRule type="duplicateValues" dxfId="717" priority="1083"/>
  </conditionalFormatting>
  <conditionalFormatting sqref="K1092">
    <cfRule type="cellIs" dxfId="716" priority="1082" operator="equal">
      <formula>""""""</formula>
    </cfRule>
  </conditionalFormatting>
  <conditionalFormatting sqref="K991:K1011">
    <cfRule type="cellIs" dxfId="715" priority="1081" operator="equal">
      <formula>""""""</formula>
    </cfRule>
  </conditionalFormatting>
  <conditionalFormatting sqref="H813">
    <cfRule type="duplicateValues" dxfId="714" priority="1080"/>
  </conditionalFormatting>
  <conditionalFormatting sqref="H813">
    <cfRule type="duplicateValues" dxfId="713" priority="1079"/>
  </conditionalFormatting>
  <conditionalFormatting sqref="H813">
    <cfRule type="duplicateValues" dxfId="712" priority="1078"/>
  </conditionalFormatting>
  <conditionalFormatting sqref="H813">
    <cfRule type="duplicateValues" dxfId="711" priority="1077"/>
  </conditionalFormatting>
  <conditionalFormatting sqref="H813">
    <cfRule type="duplicateValues" dxfId="710" priority="1076"/>
  </conditionalFormatting>
  <conditionalFormatting sqref="H813">
    <cfRule type="duplicateValues" dxfId="709" priority="1075"/>
  </conditionalFormatting>
  <conditionalFormatting sqref="K813">
    <cfRule type="cellIs" dxfId="708" priority="1074" operator="equal">
      <formula>""""""</formula>
    </cfRule>
  </conditionalFormatting>
  <conditionalFormatting sqref="H813">
    <cfRule type="duplicateValues" dxfId="707" priority="1073"/>
  </conditionalFormatting>
  <conditionalFormatting sqref="K944">
    <cfRule type="cellIs" dxfId="706" priority="1072" operator="equal">
      <formula>""""""</formula>
    </cfRule>
  </conditionalFormatting>
  <conditionalFormatting sqref="H194:H197">
    <cfRule type="duplicateValues" dxfId="705" priority="1071"/>
  </conditionalFormatting>
  <conditionalFormatting sqref="H194:H197">
    <cfRule type="duplicateValues" dxfId="704" priority="1070"/>
  </conditionalFormatting>
  <conditionalFormatting sqref="H194:H197">
    <cfRule type="duplicateValues" dxfId="703" priority="1069"/>
  </conditionalFormatting>
  <conditionalFormatting sqref="H194:H197">
    <cfRule type="duplicateValues" dxfId="702" priority="1068"/>
  </conditionalFormatting>
  <conditionalFormatting sqref="H194:H197">
    <cfRule type="duplicateValues" dxfId="701" priority="1067"/>
  </conditionalFormatting>
  <conditionalFormatting sqref="H194:H197">
    <cfRule type="duplicateValues" dxfId="700" priority="1066"/>
  </conditionalFormatting>
  <conditionalFormatting sqref="K194:K197">
    <cfRule type="cellIs" dxfId="699" priority="1065" operator="equal">
      <formula>""""""</formula>
    </cfRule>
  </conditionalFormatting>
  <conditionalFormatting sqref="H194:H197">
    <cfRule type="duplicateValues" dxfId="698" priority="1064"/>
  </conditionalFormatting>
  <conditionalFormatting sqref="H311:H312">
    <cfRule type="duplicateValues" dxfId="697" priority="1054"/>
  </conditionalFormatting>
  <conditionalFormatting sqref="H311:H312">
    <cfRule type="duplicateValues" dxfId="696" priority="1053"/>
  </conditionalFormatting>
  <conditionalFormatting sqref="H311:H312">
    <cfRule type="duplicateValues" dxfId="695" priority="1052"/>
  </conditionalFormatting>
  <conditionalFormatting sqref="H311:H312">
    <cfRule type="duplicateValues" dxfId="694" priority="1051"/>
  </conditionalFormatting>
  <conditionalFormatting sqref="H311:H312">
    <cfRule type="duplicateValues" dxfId="693" priority="1050"/>
  </conditionalFormatting>
  <conditionalFormatting sqref="H311:H312">
    <cfRule type="duplicateValues" dxfId="692" priority="1049"/>
  </conditionalFormatting>
  <conditionalFormatting sqref="K311:K312">
    <cfRule type="cellIs" dxfId="691" priority="1048" operator="equal">
      <formula>""""""</formula>
    </cfRule>
  </conditionalFormatting>
  <conditionalFormatting sqref="H311:H312">
    <cfRule type="duplicateValues" dxfId="690" priority="1047"/>
  </conditionalFormatting>
  <conditionalFormatting sqref="H1133:H1154">
    <cfRule type="duplicateValues" dxfId="689" priority="1463"/>
  </conditionalFormatting>
  <conditionalFormatting sqref="H1133:H1154">
    <cfRule type="duplicateValues" dxfId="688" priority="1465"/>
  </conditionalFormatting>
  <conditionalFormatting sqref="K827">
    <cfRule type="cellIs" dxfId="687" priority="1040" operator="equal">
      <formula>""""""</formula>
    </cfRule>
  </conditionalFormatting>
  <conditionalFormatting sqref="K828">
    <cfRule type="cellIs" dxfId="686" priority="1032" operator="equal">
      <formula>""""""</formula>
    </cfRule>
  </conditionalFormatting>
  <conditionalFormatting sqref="K829">
    <cfRule type="cellIs" dxfId="685" priority="1024" operator="equal">
      <formula>""""""</formula>
    </cfRule>
  </conditionalFormatting>
  <conditionalFormatting sqref="H1600:H1048576 H1404:H1406 H1299:H1314 H177:H191 H1:H39 H194:H230 H60:H89 H142:H169 H1105:H1211 H41:H56 H1316 H58 H510:H575 H240:H323 H448:H479 H327:H420 H577:H829 H1222:H1270 H483:H501 H1408:H1446 H836:H922 H93:H98 H924:H1096">
    <cfRule type="duplicateValues" dxfId="684" priority="1022"/>
  </conditionalFormatting>
  <conditionalFormatting sqref="H192:H193">
    <cfRule type="duplicateValues" dxfId="683" priority="1021"/>
  </conditionalFormatting>
  <conditionalFormatting sqref="H192:H193">
    <cfRule type="duplicateValues" dxfId="682" priority="1020"/>
  </conditionalFormatting>
  <conditionalFormatting sqref="H192:H193">
    <cfRule type="duplicateValues" dxfId="681" priority="1019"/>
  </conditionalFormatting>
  <conditionalFormatting sqref="H192:H193">
    <cfRule type="duplicateValues" dxfId="680" priority="1018"/>
  </conditionalFormatting>
  <conditionalFormatting sqref="H192:H193">
    <cfRule type="duplicateValues" dxfId="679" priority="1017"/>
  </conditionalFormatting>
  <conditionalFormatting sqref="H192:H193">
    <cfRule type="duplicateValues" dxfId="678" priority="1016"/>
  </conditionalFormatting>
  <conditionalFormatting sqref="K192:K193">
    <cfRule type="cellIs" dxfId="677" priority="1015" operator="equal">
      <formula>""""""</formula>
    </cfRule>
  </conditionalFormatting>
  <conditionalFormatting sqref="H192:H193">
    <cfRule type="duplicateValues" dxfId="676" priority="1014"/>
  </conditionalFormatting>
  <conditionalFormatting sqref="H192:H193">
    <cfRule type="duplicateValues" dxfId="675" priority="1013"/>
  </conditionalFormatting>
  <conditionalFormatting sqref="H170:H172">
    <cfRule type="duplicateValues" dxfId="674" priority="1012"/>
  </conditionalFormatting>
  <conditionalFormatting sqref="H170:H172">
    <cfRule type="duplicateValues" dxfId="673" priority="1011"/>
  </conditionalFormatting>
  <conditionalFormatting sqref="H170:H172">
    <cfRule type="duplicateValues" dxfId="672" priority="1010"/>
  </conditionalFormatting>
  <conditionalFormatting sqref="H170:H172">
    <cfRule type="duplicateValues" dxfId="671" priority="1009"/>
  </conditionalFormatting>
  <conditionalFormatting sqref="H170:H172">
    <cfRule type="duplicateValues" dxfId="670" priority="1008"/>
  </conditionalFormatting>
  <conditionalFormatting sqref="H170:H172">
    <cfRule type="duplicateValues" dxfId="669" priority="1007"/>
  </conditionalFormatting>
  <conditionalFormatting sqref="K170:K172">
    <cfRule type="cellIs" dxfId="668" priority="1006" operator="equal">
      <formula>""""""</formula>
    </cfRule>
  </conditionalFormatting>
  <conditionalFormatting sqref="H170:H172">
    <cfRule type="duplicateValues" dxfId="667" priority="1005"/>
  </conditionalFormatting>
  <conditionalFormatting sqref="H170:H172">
    <cfRule type="duplicateValues" dxfId="666" priority="1004"/>
  </conditionalFormatting>
  <conditionalFormatting sqref="H1271 H1273 H1275 H1277 H1279 H1281">
    <cfRule type="duplicateValues" dxfId="665" priority="1003"/>
  </conditionalFormatting>
  <conditionalFormatting sqref="H1271 H1273 H1275 H1277 H1279 H1281">
    <cfRule type="duplicateValues" dxfId="664" priority="1002"/>
  </conditionalFormatting>
  <conditionalFormatting sqref="H1271">
    <cfRule type="duplicateValues" dxfId="663" priority="1001"/>
  </conditionalFormatting>
  <conditionalFormatting sqref="H1271">
    <cfRule type="duplicateValues" dxfId="662" priority="1000"/>
  </conditionalFormatting>
  <conditionalFormatting sqref="H1271">
    <cfRule type="duplicateValues" dxfId="661" priority="999"/>
  </conditionalFormatting>
  <conditionalFormatting sqref="H1271">
    <cfRule type="duplicateValues" dxfId="660" priority="998"/>
  </conditionalFormatting>
  <conditionalFormatting sqref="K1271 K1273 K1275 K1277 K1279 K1281 K1283 K1285">
    <cfRule type="cellIs" dxfId="659" priority="997" operator="equal">
      <formula>""""""</formula>
    </cfRule>
  </conditionalFormatting>
  <conditionalFormatting sqref="H1271">
    <cfRule type="duplicateValues" dxfId="658" priority="996"/>
  </conditionalFormatting>
  <conditionalFormatting sqref="H1271">
    <cfRule type="duplicateValues" dxfId="657" priority="995"/>
  </conditionalFormatting>
  <conditionalFormatting sqref="B1271:B1285">
    <cfRule type="duplicateValues" dxfId="656" priority="994"/>
  </conditionalFormatting>
  <conditionalFormatting sqref="B1271:B1285">
    <cfRule type="duplicateValues" dxfId="655" priority="993"/>
  </conditionalFormatting>
  <conditionalFormatting sqref="B1271:B1285">
    <cfRule type="duplicateValues" dxfId="654" priority="992"/>
  </conditionalFormatting>
  <conditionalFormatting sqref="B1271:B1285">
    <cfRule type="duplicateValues" dxfId="653" priority="991"/>
  </conditionalFormatting>
  <conditionalFormatting sqref="B1271:B1285">
    <cfRule type="duplicateValues" dxfId="652" priority="990"/>
  </conditionalFormatting>
  <conditionalFormatting sqref="B1271:B1285">
    <cfRule type="duplicateValues" dxfId="651" priority="989"/>
  </conditionalFormatting>
  <conditionalFormatting sqref="B1271:B1285">
    <cfRule type="duplicateValues" dxfId="650" priority="988"/>
  </conditionalFormatting>
  <conditionalFormatting sqref="B1271:B1285">
    <cfRule type="duplicateValues" dxfId="649" priority="987"/>
  </conditionalFormatting>
  <conditionalFormatting sqref="H1272 H1274 H1276 H1278 H1280 H1282:H1285">
    <cfRule type="duplicateValues" dxfId="648" priority="986"/>
  </conditionalFormatting>
  <conditionalFormatting sqref="H1272 H1274 H1276 H1278 H1280 H1282:H1285">
    <cfRule type="duplicateValues" dxfId="647" priority="985"/>
  </conditionalFormatting>
  <conditionalFormatting sqref="H1272">
    <cfRule type="duplicateValues" dxfId="646" priority="984"/>
  </conditionalFormatting>
  <conditionalFormatting sqref="H1272">
    <cfRule type="duplicateValues" dxfId="645" priority="983"/>
  </conditionalFormatting>
  <conditionalFormatting sqref="H1272">
    <cfRule type="duplicateValues" dxfId="644" priority="982"/>
  </conditionalFormatting>
  <conditionalFormatting sqref="H1272">
    <cfRule type="duplicateValues" dxfId="643" priority="981"/>
  </conditionalFormatting>
  <conditionalFormatting sqref="H1272">
    <cfRule type="duplicateValues" dxfId="642" priority="979"/>
  </conditionalFormatting>
  <conditionalFormatting sqref="H1272">
    <cfRule type="duplicateValues" dxfId="641" priority="978"/>
  </conditionalFormatting>
  <conditionalFormatting sqref="K89">
    <cfRule type="cellIs" dxfId="640" priority="969" operator="equal">
      <formula>""""""</formula>
    </cfRule>
  </conditionalFormatting>
  <conditionalFormatting sqref="K1286:K1294">
    <cfRule type="cellIs" dxfId="639" priority="965" operator="equal">
      <formula>""""""</formula>
    </cfRule>
  </conditionalFormatting>
  <conditionalFormatting sqref="H1286:H1294">
    <cfRule type="duplicateValues" dxfId="638" priority="966"/>
  </conditionalFormatting>
  <conditionalFormatting sqref="H1286:H1294">
    <cfRule type="duplicateValues" dxfId="637" priority="967"/>
  </conditionalFormatting>
  <conditionalFormatting sqref="H1286:H1294">
    <cfRule type="duplicateValues" dxfId="636" priority="968"/>
  </conditionalFormatting>
  <conditionalFormatting sqref="B1105:G1117 B1051:G1096">
    <cfRule type="duplicateValues" dxfId="635" priority="1483"/>
  </conditionalFormatting>
  <conditionalFormatting sqref="H576">
    <cfRule type="duplicateValues" dxfId="634" priority="946"/>
  </conditionalFormatting>
  <conditionalFormatting sqref="H576">
    <cfRule type="duplicateValues" dxfId="633" priority="945"/>
  </conditionalFormatting>
  <conditionalFormatting sqref="H576">
    <cfRule type="duplicateValues" dxfId="632" priority="944"/>
  </conditionalFormatting>
  <conditionalFormatting sqref="H576">
    <cfRule type="duplicateValues" dxfId="631" priority="943"/>
  </conditionalFormatting>
  <conditionalFormatting sqref="H576">
    <cfRule type="duplicateValues" dxfId="630" priority="942"/>
  </conditionalFormatting>
  <conditionalFormatting sqref="H576">
    <cfRule type="duplicateValues" dxfId="629" priority="941"/>
  </conditionalFormatting>
  <conditionalFormatting sqref="K576">
    <cfRule type="cellIs" dxfId="628" priority="940" operator="equal">
      <formula>""""""</formula>
    </cfRule>
  </conditionalFormatting>
  <conditionalFormatting sqref="H576">
    <cfRule type="duplicateValues" dxfId="627" priority="939"/>
  </conditionalFormatting>
  <conditionalFormatting sqref="H576">
    <cfRule type="duplicateValues" dxfId="626" priority="938"/>
  </conditionalFormatting>
  <conditionalFormatting sqref="K1298:K1314 K1316">
    <cfRule type="cellIs" dxfId="625" priority="931" operator="equal">
      <formula>""""""</formula>
    </cfRule>
  </conditionalFormatting>
  <conditionalFormatting sqref="B1298:B1314">
    <cfRule type="duplicateValues" dxfId="624" priority="1619"/>
  </conditionalFormatting>
  <conditionalFormatting sqref="B1298:B1314">
    <cfRule type="duplicateValues" dxfId="623" priority="1620"/>
  </conditionalFormatting>
  <conditionalFormatting sqref="H57 H59">
    <cfRule type="duplicateValues" dxfId="622" priority="920"/>
  </conditionalFormatting>
  <conditionalFormatting sqref="H57 H59">
    <cfRule type="duplicateValues" dxfId="621" priority="919"/>
  </conditionalFormatting>
  <conditionalFormatting sqref="H57 H59">
    <cfRule type="duplicateValues" dxfId="620" priority="918"/>
  </conditionalFormatting>
  <conditionalFormatting sqref="H57 H59">
    <cfRule type="duplicateValues" dxfId="619" priority="917"/>
  </conditionalFormatting>
  <conditionalFormatting sqref="H57 H59">
    <cfRule type="duplicateValues" dxfId="618" priority="916"/>
  </conditionalFormatting>
  <conditionalFormatting sqref="H57 H59">
    <cfRule type="duplicateValues" dxfId="617" priority="915"/>
  </conditionalFormatting>
  <conditionalFormatting sqref="K57 K59">
    <cfRule type="cellIs" dxfId="616" priority="914" operator="equal">
      <formula>""""""</formula>
    </cfRule>
  </conditionalFormatting>
  <conditionalFormatting sqref="H57 H59">
    <cfRule type="duplicateValues" dxfId="615" priority="913"/>
  </conditionalFormatting>
  <conditionalFormatting sqref="H57 H59">
    <cfRule type="duplicateValues" dxfId="614" priority="912"/>
  </conditionalFormatting>
  <conditionalFormatting sqref="H105">
    <cfRule type="duplicateValues" dxfId="613" priority="911"/>
  </conditionalFormatting>
  <conditionalFormatting sqref="H105">
    <cfRule type="duplicateValues" dxfId="612" priority="910"/>
  </conditionalFormatting>
  <conditionalFormatting sqref="H105">
    <cfRule type="duplicateValues" dxfId="611" priority="909"/>
  </conditionalFormatting>
  <conditionalFormatting sqref="H105">
    <cfRule type="duplicateValues" dxfId="610" priority="908"/>
  </conditionalFormatting>
  <conditionalFormatting sqref="H105">
    <cfRule type="duplicateValues" dxfId="609" priority="907"/>
  </conditionalFormatting>
  <conditionalFormatting sqref="H105">
    <cfRule type="duplicateValues" dxfId="608" priority="906"/>
  </conditionalFormatting>
  <conditionalFormatting sqref="K105">
    <cfRule type="cellIs" dxfId="607" priority="905" operator="equal">
      <formula>""""""</formula>
    </cfRule>
  </conditionalFormatting>
  <conditionalFormatting sqref="H105">
    <cfRule type="duplicateValues" dxfId="606" priority="904"/>
  </conditionalFormatting>
  <conditionalFormatting sqref="H105">
    <cfRule type="duplicateValues" dxfId="605" priority="903"/>
  </conditionalFormatting>
  <conditionalFormatting sqref="H106">
    <cfRule type="duplicateValues" dxfId="604" priority="902"/>
  </conditionalFormatting>
  <conditionalFormatting sqref="H106">
    <cfRule type="duplicateValues" dxfId="603" priority="901"/>
  </conditionalFormatting>
  <conditionalFormatting sqref="H106">
    <cfRule type="duplicateValues" dxfId="602" priority="900"/>
  </conditionalFormatting>
  <conditionalFormatting sqref="H106">
    <cfRule type="duplicateValues" dxfId="601" priority="899"/>
  </conditionalFormatting>
  <conditionalFormatting sqref="H106">
    <cfRule type="duplicateValues" dxfId="600" priority="898"/>
  </conditionalFormatting>
  <conditionalFormatting sqref="H106">
    <cfRule type="duplicateValues" dxfId="599" priority="897"/>
  </conditionalFormatting>
  <conditionalFormatting sqref="K106">
    <cfRule type="cellIs" dxfId="598" priority="896" operator="equal">
      <formula>""""""</formula>
    </cfRule>
  </conditionalFormatting>
  <conditionalFormatting sqref="H106">
    <cfRule type="duplicateValues" dxfId="597" priority="895"/>
  </conditionalFormatting>
  <conditionalFormatting sqref="H106">
    <cfRule type="duplicateValues" dxfId="596" priority="894"/>
  </conditionalFormatting>
  <conditionalFormatting sqref="H107">
    <cfRule type="duplicateValues" dxfId="595" priority="893"/>
  </conditionalFormatting>
  <conditionalFormatting sqref="H107">
    <cfRule type="duplicateValues" dxfId="594" priority="892"/>
  </conditionalFormatting>
  <conditionalFormatting sqref="H107">
    <cfRule type="duplicateValues" dxfId="593" priority="891"/>
  </conditionalFormatting>
  <conditionalFormatting sqref="H107">
    <cfRule type="duplicateValues" dxfId="592" priority="890"/>
  </conditionalFormatting>
  <conditionalFormatting sqref="H107">
    <cfRule type="duplicateValues" dxfId="591" priority="889"/>
  </conditionalFormatting>
  <conditionalFormatting sqref="H107">
    <cfRule type="duplicateValues" dxfId="590" priority="888"/>
  </conditionalFormatting>
  <conditionalFormatting sqref="K107">
    <cfRule type="cellIs" dxfId="589" priority="887" operator="equal">
      <formula>""""""</formula>
    </cfRule>
  </conditionalFormatting>
  <conditionalFormatting sqref="H107">
    <cfRule type="duplicateValues" dxfId="588" priority="886"/>
  </conditionalFormatting>
  <conditionalFormatting sqref="H107">
    <cfRule type="duplicateValues" dxfId="587" priority="885"/>
  </conditionalFormatting>
  <conditionalFormatting sqref="H108">
    <cfRule type="duplicateValues" dxfId="586" priority="884"/>
  </conditionalFormatting>
  <conditionalFormatting sqref="H108">
    <cfRule type="duplicateValues" dxfId="585" priority="883"/>
  </conditionalFormatting>
  <conditionalFormatting sqref="H108">
    <cfRule type="duplicateValues" dxfId="584" priority="882"/>
  </conditionalFormatting>
  <conditionalFormatting sqref="H108">
    <cfRule type="duplicateValues" dxfId="583" priority="881"/>
  </conditionalFormatting>
  <conditionalFormatting sqref="H108">
    <cfRule type="duplicateValues" dxfId="582" priority="880"/>
  </conditionalFormatting>
  <conditionalFormatting sqref="H108">
    <cfRule type="duplicateValues" dxfId="581" priority="879"/>
  </conditionalFormatting>
  <conditionalFormatting sqref="K108">
    <cfRule type="cellIs" dxfId="580" priority="878" operator="equal">
      <formula>""""""</formula>
    </cfRule>
  </conditionalFormatting>
  <conditionalFormatting sqref="H108">
    <cfRule type="duplicateValues" dxfId="579" priority="877"/>
  </conditionalFormatting>
  <conditionalFormatting sqref="H108">
    <cfRule type="duplicateValues" dxfId="578" priority="876"/>
  </conditionalFormatting>
  <conditionalFormatting sqref="H109">
    <cfRule type="duplicateValues" dxfId="577" priority="875"/>
  </conditionalFormatting>
  <conditionalFormatting sqref="H109">
    <cfRule type="duplicateValues" dxfId="576" priority="874"/>
  </conditionalFormatting>
  <conditionalFormatting sqref="H109">
    <cfRule type="duplicateValues" dxfId="575" priority="873"/>
  </conditionalFormatting>
  <conditionalFormatting sqref="H109">
    <cfRule type="duplicateValues" dxfId="574" priority="872"/>
  </conditionalFormatting>
  <conditionalFormatting sqref="H109">
    <cfRule type="duplicateValues" dxfId="573" priority="871"/>
  </conditionalFormatting>
  <conditionalFormatting sqref="H109">
    <cfRule type="duplicateValues" dxfId="572" priority="870"/>
  </conditionalFormatting>
  <conditionalFormatting sqref="H109">
    <cfRule type="duplicateValues" dxfId="571" priority="868"/>
  </conditionalFormatting>
  <conditionalFormatting sqref="H109">
    <cfRule type="duplicateValues" dxfId="570" priority="867"/>
  </conditionalFormatting>
  <conditionalFormatting sqref="H110">
    <cfRule type="duplicateValues" dxfId="569" priority="866"/>
  </conditionalFormatting>
  <conditionalFormatting sqref="H110">
    <cfRule type="duplicateValues" dxfId="568" priority="865"/>
  </conditionalFormatting>
  <conditionalFormatting sqref="H110">
    <cfRule type="duplicateValues" dxfId="567" priority="864"/>
  </conditionalFormatting>
  <conditionalFormatting sqref="H110">
    <cfRule type="duplicateValues" dxfId="566" priority="863"/>
  </conditionalFormatting>
  <conditionalFormatting sqref="H110">
    <cfRule type="duplicateValues" dxfId="565" priority="862"/>
  </conditionalFormatting>
  <conditionalFormatting sqref="H110">
    <cfRule type="duplicateValues" dxfId="564" priority="861"/>
  </conditionalFormatting>
  <conditionalFormatting sqref="H110">
    <cfRule type="duplicateValues" dxfId="563" priority="859"/>
  </conditionalFormatting>
  <conditionalFormatting sqref="H110">
    <cfRule type="duplicateValues" dxfId="562" priority="858"/>
  </conditionalFormatting>
  <conditionalFormatting sqref="H111">
    <cfRule type="duplicateValues" dxfId="561" priority="857"/>
  </conditionalFormatting>
  <conditionalFormatting sqref="H111">
    <cfRule type="duplicateValues" dxfId="560" priority="856"/>
  </conditionalFormatting>
  <conditionalFormatting sqref="H111">
    <cfRule type="duplicateValues" dxfId="559" priority="855"/>
  </conditionalFormatting>
  <conditionalFormatting sqref="H111">
    <cfRule type="duplicateValues" dxfId="558" priority="854"/>
  </conditionalFormatting>
  <conditionalFormatting sqref="H111">
    <cfRule type="duplicateValues" dxfId="557" priority="853"/>
  </conditionalFormatting>
  <conditionalFormatting sqref="H111">
    <cfRule type="duplicateValues" dxfId="556" priority="852"/>
  </conditionalFormatting>
  <conditionalFormatting sqref="H111">
    <cfRule type="duplicateValues" dxfId="555" priority="850"/>
  </conditionalFormatting>
  <conditionalFormatting sqref="H111">
    <cfRule type="duplicateValues" dxfId="554" priority="849"/>
  </conditionalFormatting>
  <conditionalFormatting sqref="H112">
    <cfRule type="duplicateValues" dxfId="553" priority="848"/>
  </conditionalFormatting>
  <conditionalFormatting sqref="H112">
    <cfRule type="duplicateValues" dxfId="552" priority="847"/>
  </conditionalFormatting>
  <conditionalFormatting sqref="H112">
    <cfRule type="duplicateValues" dxfId="551" priority="846"/>
  </conditionalFormatting>
  <conditionalFormatting sqref="H112">
    <cfRule type="duplicateValues" dxfId="550" priority="845"/>
  </conditionalFormatting>
  <conditionalFormatting sqref="H112">
    <cfRule type="duplicateValues" dxfId="549" priority="844"/>
  </conditionalFormatting>
  <conditionalFormatting sqref="H112">
    <cfRule type="duplicateValues" dxfId="548" priority="843"/>
  </conditionalFormatting>
  <conditionalFormatting sqref="H112">
    <cfRule type="duplicateValues" dxfId="547" priority="841"/>
  </conditionalFormatting>
  <conditionalFormatting sqref="H112">
    <cfRule type="duplicateValues" dxfId="546" priority="840"/>
  </conditionalFormatting>
  <conditionalFormatting sqref="H113">
    <cfRule type="duplicateValues" dxfId="545" priority="839"/>
  </conditionalFormatting>
  <conditionalFormatting sqref="H113">
    <cfRule type="duplicateValues" dxfId="544" priority="838"/>
  </conditionalFormatting>
  <conditionalFormatting sqref="H113">
    <cfRule type="duplicateValues" dxfId="543" priority="837"/>
  </conditionalFormatting>
  <conditionalFormatting sqref="H113">
    <cfRule type="duplicateValues" dxfId="542" priority="836"/>
  </conditionalFormatting>
  <conditionalFormatting sqref="H113">
    <cfRule type="duplicateValues" dxfId="541" priority="835"/>
  </conditionalFormatting>
  <conditionalFormatting sqref="H113">
    <cfRule type="duplicateValues" dxfId="540" priority="834"/>
  </conditionalFormatting>
  <conditionalFormatting sqref="H113">
    <cfRule type="duplicateValues" dxfId="539" priority="832"/>
  </conditionalFormatting>
  <conditionalFormatting sqref="H113">
    <cfRule type="duplicateValues" dxfId="538" priority="831"/>
  </conditionalFormatting>
  <conditionalFormatting sqref="H87:H89 H93:H98">
    <cfRule type="duplicateValues" dxfId="537" priority="1686"/>
  </conditionalFormatting>
  <conditionalFormatting sqref="H87:H89 H93:H98">
    <cfRule type="duplicateValues" dxfId="536" priority="1687"/>
  </conditionalFormatting>
  <conditionalFormatting sqref="K109">
    <cfRule type="duplicateValues" dxfId="535" priority="821"/>
  </conditionalFormatting>
  <conditionalFormatting sqref="K110">
    <cfRule type="duplicateValues" dxfId="534" priority="820"/>
  </conditionalFormatting>
  <conditionalFormatting sqref="K111">
    <cfRule type="duplicateValues" dxfId="533" priority="819"/>
  </conditionalFormatting>
  <conditionalFormatting sqref="K112">
    <cfRule type="duplicateValues" dxfId="532" priority="818"/>
  </conditionalFormatting>
  <conditionalFormatting sqref="K113">
    <cfRule type="duplicateValues" dxfId="531" priority="817"/>
  </conditionalFormatting>
  <conditionalFormatting sqref="H923">
    <cfRule type="duplicateValues" dxfId="530" priority="815"/>
  </conditionalFormatting>
  <conditionalFormatting sqref="H923">
    <cfRule type="duplicateValues" dxfId="529" priority="814"/>
  </conditionalFormatting>
  <conditionalFormatting sqref="H923">
    <cfRule type="duplicateValues" dxfId="528" priority="813"/>
  </conditionalFormatting>
  <conditionalFormatting sqref="H923">
    <cfRule type="duplicateValues" dxfId="527" priority="812"/>
  </conditionalFormatting>
  <conditionalFormatting sqref="H923">
    <cfRule type="duplicateValues" dxfId="526" priority="811"/>
  </conditionalFormatting>
  <conditionalFormatting sqref="H923">
    <cfRule type="duplicateValues" dxfId="525" priority="810"/>
  </conditionalFormatting>
  <conditionalFormatting sqref="K923">
    <cfRule type="cellIs" dxfId="524" priority="809" operator="equal">
      <formula>""""""</formula>
    </cfRule>
  </conditionalFormatting>
  <conditionalFormatting sqref="H923">
    <cfRule type="duplicateValues" dxfId="523" priority="808"/>
  </conditionalFormatting>
  <conditionalFormatting sqref="H923">
    <cfRule type="duplicateValues" dxfId="522" priority="807"/>
  </conditionalFormatting>
  <conditionalFormatting sqref="H1321">
    <cfRule type="duplicateValues" dxfId="521" priority="802"/>
  </conditionalFormatting>
  <conditionalFormatting sqref="H1321">
    <cfRule type="duplicateValues" dxfId="520" priority="801"/>
  </conditionalFormatting>
  <conditionalFormatting sqref="H1321">
    <cfRule type="duplicateValues" dxfId="519" priority="800"/>
  </conditionalFormatting>
  <conditionalFormatting sqref="H1321">
    <cfRule type="duplicateValues" dxfId="518" priority="799"/>
  </conditionalFormatting>
  <conditionalFormatting sqref="H1321">
    <cfRule type="duplicateValues" dxfId="517" priority="798"/>
  </conditionalFormatting>
  <conditionalFormatting sqref="H1321">
    <cfRule type="duplicateValues" dxfId="516" priority="797"/>
  </conditionalFormatting>
  <conditionalFormatting sqref="K1321">
    <cfRule type="cellIs" dxfId="515" priority="796" operator="equal">
      <formula>""""""</formula>
    </cfRule>
  </conditionalFormatting>
  <conditionalFormatting sqref="H1321">
    <cfRule type="duplicateValues" dxfId="514" priority="795"/>
  </conditionalFormatting>
  <conditionalFormatting sqref="H1321">
    <cfRule type="duplicateValues" dxfId="513" priority="794"/>
  </conditionalFormatting>
  <conditionalFormatting sqref="K1321">
    <cfRule type="cellIs" dxfId="512" priority="793" operator="equal">
      <formula>""""""</formula>
    </cfRule>
  </conditionalFormatting>
  <conditionalFormatting sqref="H1321">
    <cfRule type="duplicateValues" dxfId="511" priority="803"/>
  </conditionalFormatting>
  <conditionalFormatting sqref="H1321">
    <cfRule type="duplicateValues" dxfId="510" priority="804"/>
  </conditionalFormatting>
  <conditionalFormatting sqref="B1321">
    <cfRule type="duplicateValues" dxfId="509" priority="805"/>
  </conditionalFormatting>
  <conditionalFormatting sqref="B1321">
    <cfRule type="duplicateValues" dxfId="508" priority="806"/>
  </conditionalFormatting>
  <conditionalFormatting sqref="B1322:B1332">
    <cfRule type="duplicateValues" dxfId="507" priority="773"/>
  </conditionalFormatting>
  <conditionalFormatting sqref="B1322:B1332">
    <cfRule type="duplicateValues" dxfId="506" priority="772"/>
  </conditionalFormatting>
  <conditionalFormatting sqref="B1322:B1332">
    <cfRule type="duplicateValues" dxfId="505" priority="771"/>
  </conditionalFormatting>
  <conditionalFormatting sqref="B1322:B1332">
    <cfRule type="duplicateValues" dxfId="504" priority="770"/>
  </conditionalFormatting>
  <conditionalFormatting sqref="B1322:B1332">
    <cfRule type="duplicateValues" dxfId="503" priority="769"/>
  </conditionalFormatting>
  <conditionalFormatting sqref="B1322:B1332">
    <cfRule type="duplicateValues" dxfId="502" priority="768"/>
  </conditionalFormatting>
  <conditionalFormatting sqref="B1322:B1332">
    <cfRule type="duplicateValues" dxfId="501" priority="767"/>
  </conditionalFormatting>
  <conditionalFormatting sqref="B1322:B1332">
    <cfRule type="duplicateValues" dxfId="500" priority="766"/>
  </conditionalFormatting>
  <conditionalFormatting sqref="H1322:H1332">
    <cfRule type="duplicateValues" dxfId="499" priority="765"/>
  </conditionalFormatting>
  <conditionalFormatting sqref="H1322:H1332">
    <cfRule type="duplicateValues" dxfId="498" priority="764"/>
  </conditionalFormatting>
  <conditionalFormatting sqref="H1322:H1332">
    <cfRule type="duplicateValues" dxfId="497" priority="763"/>
  </conditionalFormatting>
  <conditionalFormatting sqref="H1322:H1332">
    <cfRule type="duplicateValues" dxfId="496" priority="762"/>
  </conditionalFormatting>
  <conditionalFormatting sqref="H1322:H1332">
    <cfRule type="duplicateValues" dxfId="495" priority="761"/>
  </conditionalFormatting>
  <conditionalFormatting sqref="H1322:H1332">
    <cfRule type="duplicateValues" dxfId="494" priority="760"/>
  </conditionalFormatting>
  <conditionalFormatting sqref="H1322:H1332">
    <cfRule type="duplicateValues" dxfId="493" priority="759"/>
  </conditionalFormatting>
  <conditionalFormatting sqref="H1322:H1332">
    <cfRule type="duplicateValues" dxfId="492" priority="758"/>
  </conditionalFormatting>
  <conditionalFormatting sqref="K1322">
    <cfRule type="duplicateValues" dxfId="491" priority="757"/>
  </conditionalFormatting>
  <conditionalFormatting sqref="K1322">
    <cfRule type="duplicateValues" dxfId="490" priority="756"/>
  </conditionalFormatting>
  <conditionalFormatting sqref="K1323:K1332">
    <cfRule type="duplicateValues" dxfId="489" priority="755"/>
  </conditionalFormatting>
  <conditionalFormatting sqref="H1315">
    <cfRule type="duplicateValues" dxfId="488" priority="741"/>
  </conditionalFormatting>
  <conditionalFormatting sqref="H1315">
    <cfRule type="duplicateValues" dxfId="487" priority="740"/>
  </conditionalFormatting>
  <conditionalFormatting sqref="H1315">
    <cfRule type="duplicateValues" dxfId="486" priority="739"/>
  </conditionalFormatting>
  <conditionalFormatting sqref="H1315">
    <cfRule type="duplicateValues" dxfId="485" priority="738"/>
  </conditionalFormatting>
  <conditionalFormatting sqref="H1315">
    <cfRule type="duplicateValues" dxfId="484" priority="737"/>
  </conditionalFormatting>
  <conditionalFormatting sqref="H1315">
    <cfRule type="duplicateValues" dxfId="483" priority="736"/>
  </conditionalFormatting>
  <conditionalFormatting sqref="K1315">
    <cfRule type="cellIs" dxfId="482" priority="735" operator="equal">
      <formula>""""""</formula>
    </cfRule>
  </conditionalFormatting>
  <conditionalFormatting sqref="H1315">
    <cfRule type="duplicateValues" dxfId="481" priority="734"/>
  </conditionalFormatting>
  <conditionalFormatting sqref="H1315">
    <cfRule type="duplicateValues" dxfId="480" priority="733"/>
  </conditionalFormatting>
  <conditionalFormatting sqref="K1315">
    <cfRule type="cellIs" dxfId="479" priority="732" operator="equal">
      <formula>""""""</formula>
    </cfRule>
  </conditionalFormatting>
  <conditionalFormatting sqref="H1315">
    <cfRule type="duplicateValues" dxfId="478" priority="742"/>
  </conditionalFormatting>
  <conditionalFormatting sqref="H1315">
    <cfRule type="duplicateValues" dxfId="477" priority="743"/>
  </conditionalFormatting>
  <conditionalFormatting sqref="B1315">
    <cfRule type="duplicateValues" dxfId="476" priority="744"/>
  </conditionalFormatting>
  <conditionalFormatting sqref="B1315">
    <cfRule type="duplicateValues" dxfId="475" priority="745"/>
  </conditionalFormatting>
  <conditionalFormatting sqref="H231:H232 H235:H239">
    <cfRule type="duplicateValues" dxfId="474" priority="731"/>
  </conditionalFormatting>
  <conditionalFormatting sqref="H231:H232 H235:H239">
    <cfRule type="duplicateValues" dxfId="473" priority="730"/>
  </conditionalFormatting>
  <conditionalFormatting sqref="H231:H232">
    <cfRule type="duplicateValues" dxfId="472" priority="729"/>
  </conditionalFormatting>
  <conditionalFormatting sqref="H231:H232">
    <cfRule type="duplicateValues" dxfId="471" priority="728"/>
  </conditionalFormatting>
  <conditionalFormatting sqref="H231:H232">
    <cfRule type="duplicateValues" dxfId="470" priority="727"/>
  </conditionalFormatting>
  <conditionalFormatting sqref="H231:H232">
    <cfRule type="duplicateValues" dxfId="469" priority="726"/>
  </conditionalFormatting>
  <conditionalFormatting sqref="K231:K232 K235:K239">
    <cfRule type="cellIs" dxfId="468" priority="725" operator="equal">
      <formula>""""""</formula>
    </cfRule>
  </conditionalFormatting>
  <conditionalFormatting sqref="H231:H232">
    <cfRule type="duplicateValues" dxfId="467" priority="724"/>
  </conditionalFormatting>
  <conditionalFormatting sqref="H231:H232">
    <cfRule type="duplicateValues" dxfId="466" priority="723"/>
  </conditionalFormatting>
  <conditionalFormatting sqref="B1333">
    <cfRule type="duplicateValues" dxfId="465" priority="722"/>
  </conditionalFormatting>
  <conditionalFormatting sqref="B1333">
    <cfRule type="duplicateValues" dxfId="464" priority="721"/>
  </conditionalFormatting>
  <conditionalFormatting sqref="B1333">
    <cfRule type="duplicateValues" dxfId="463" priority="720"/>
  </conditionalFormatting>
  <conditionalFormatting sqref="B1333">
    <cfRule type="duplicateValues" dxfId="462" priority="719"/>
  </conditionalFormatting>
  <conditionalFormatting sqref="B1333">
    <cfRule type="duplicateValues" dxfId="461" priority="718"/>
  </conditionalFormatting>
  <conditionalFormatting sqref="B1333">
    <cfRule type="duplicateValues" dxfId="460" priority="717"/>
  </conditionalFormatting>
  <conditionalFormatting sqref="B1333">
    <cfRule type="duplicateValues" dxfId="459" priority="716"/>
  </conditionalFormatting>
  <conditionalFormatting sqref="B1333">
    <cfRule type="duplicateValues" dxfId="458" priority="715"/>
  </conditionalFormatting>
  <conditionalFormatting sqref="K1333 K1335 K1337 K1339 K1341:K1342 K1344 K1346">
    <cfRule type="duplicateValues" dxfId="457" priority="706"/>
  </conditionalFormatting>
  <conditionalFormatting sqref="K1342">
    <cfRule type="duplicateValues" dxfId="456" priority="705"/>
  </conditionalFormatting>
  <conditionalFormatting sqref="B1334">
    <cfRule type="duplicateValues" dxfId="455" priority="704"/>
  </conditionalFormatting>
  <conditionalFormatting sqref="B1334">
    <cfRule type="duplicateValues" dxfId="454" priority="703"/>
  </conditionalFormatting>
  <conditionalFormatting sqref="B1334">
    <cfRule type="duplicateValues" dxfId="453" priority="702"/>
  </conditionalFormatting>
  <conditionalFormatting sqref="B1334">
    <cfRule type="duplicateValues" dxfId="452" priority="701"/>
  </conditionalFormatting>
  <conditionalFormatting sqref="B1334">
    <cfRule type="duplicateValues" dxfId="451" priority="700"/>
  </conditionalFormatting>
  <conditionalFormatting sqref="B1334">
    <cfRule type="duplicateValues" dxfId="450" priority="699"/>
  </conditionalFormatting>
  <conditionalFormatting sqref="B1334">
    <cfRule type="duplicateValues" dxfId="449" priority="698"/>
  </conditionalFormatting>
  <conditionalFormatting sqref="B1334">
    <cfRule type="duplicateValues" dxfId="448" priority="697"/>
  </conditionalFormatting>
  <conditionalFormatting sqref="H1343">
    <cfRule type="duplicateValues" dxfId="447" priority="694"/>
  </conditionalFormatting>
  <conditionalFormatting sqref="H1343">
    <cfRule type="duplicateValues" dxfId="446" priority="693"/>
  </conditionalFormatting>
  <conditionalFormatting sqref="H1343">
    <cfRule type="duplicateValues" dxfId="445" priority="692"/>
  </conditionalFormatting>
  <conditionalFormatting sqref="H1343">
    <cfRule type="duplicateValues" dxfId="444" priority="691"/>
  </conditionalFormatting>
  <conditionalFormatting sqref="H1343">
    <cfRule type="duplicateValues" dxfId="443" priority="690"/>
  </conditionalFormatting>
  <conditionalFormatting sqref="H1343">
    <cfRule type="duplicateValues" dxfId="442" priority="689"/>
  </conditionalFormatting>
  <conditionalFormatting sqref="K1343">
    <cfRule type="duplicateValues" dxfId="441" priority="687"/>
  </conditionalFormatting>
  <conditionalFormatting sqref="B1335">
    <cfRule type="duplicateValues" dxfId="440" priority="686"/>
  </conditionalFormatting>
  <conditionalFormatting sqref="B1335">
    <cfRule type="duplicateValues" dxfId="439" priority="685"/>
  </conditionalFormatting>
  <conditionalFormatting sqref="B1335">
    <cfRule type="duplicateValues" dxfId="438" priority="684"/>
  </conditionalFormatting>
  <conditionalFormatting sqref="B1335">
    <cfRule type="duplicateValues" dxfId="437" priority="683"/>
  </conditionalFormatting>
  <conditionalFormatting sqref="B1335">
    <cfRule type="duplicateValues" dxfId="436" priority="682"/>
  </conditionalFormatting>
  <conditionalFormatting sqref="B1335">
    <cfRule type="duplicateValues" dxfId="435" priority="681"/>
  </conditionalFormatting>
  <conditionalFormatting sqref="B1335">
    <cfRule type="duplicateValues" dxfId="434" priority="680"/>
  </conditionalFormatting>
  <conditionalFormatting sqref="B1335">
    <cfRule type="duplicateValues" dxfId="433" priority="679"/>
  </conditionalFormatting>
  <conditionalFormatting sqref="B1336">
    <cfRule type="duplicateValues" dxfId="432" priority="668"/>
  </conditionalFormatting>
  <conditionalFormatting sqref="B1336">
    <cfRule type="duplicateValues" dxfId="431" priority="667"/>
  </conditionalFormatting>
  <conditionalFormatting sqref="B1336">
    <cfRule type="duplicateValues" dxfId="430" priority="666"/>
  </conditionalFormatting>
  <conditionalFormatting sqref="B1336">
    <cfRule type="duplicateValues" dxfId="429" priority="665"/>
  </conditionalFormatting>
  <conditionalFormatting sqref="B1336">
    <cfRule type="duplicateValues" dxfId="428" priority="664"/>
  </conditionalFormatting>
  <conditionalFormatting sqref="B1336">
    <cfRule type="duplicateValues" dxfId="427" priority="663"/>
  </conditionalFormatting>
  <conditionalFormatting sqref="B1336">
    <cfRule type="duplicateValues" dxfId="426" priority="662"/>
  </conditionalFormatting>
  <conditionalFormatting sqref="B1336">
    <cfRule type="duplicateValues" dxfId="425" priority="661"/>
  </conditionalFormatting>
  <conditionalFormatting sqref="B1337">
    <cfRule type="duplicateValues" dxfId="424" priority="650"/>
  </conditionalFormatting>
  <conditionalFormatting sqref="B1337">
    <cfRule type="duplicateValues" dxfId="423" priority="649"/>
  </conditionalFormatting>
  <conditionalFormatting sqref="B1337">
    <cfRule type="duplicateValues" dxfId="422" priority="648"/>
  </conditionalFormatting>
  <conditionalFormatting sqref="B1337">
    <cfRule type="duplicateValues" dxfId="421" priority="647"/>
  </conditionalFormatting>
  <conditionalFormatting sqref="B1337">
    <cfRule type="duplicateValues" dxfId="420" priority="646"/>
  </conditionalFormatting>
  <conditionalFormatting sqref="B1337">
    <cfRule type="duplicateValues" dxfId="419" priority="645"/>
  </conditionalFormatting>
  <conditionalFormatting sqref="B1337">
    <cfRule type="duplicateValues" dxfId="418" priority="644"/>
  </conditionalFormatting>
  <conditionalFormatting sqref="B1337">
    <cfRule type="duplicateValues" dxfId="417" priority="643"/>
  </conditionalFormatting>
  <conditionalFormatting sqref="B1338">
    <cfRule type="duplicateValues" dxfId="416" priority="632"/>
  </conditionalFormatting>
  <conditionalFormatting sqref="B1338">
    <cfRule type="duplicateValues" dxfId="415" priority="631"/>
  </conditionalFormatting>
  <conditionalFormatting sqref="B1338">
    <cfRule type="duplicateValues" dxfId="414" priority="630"/>
  </conditionalFormatting>
  <conditionalFormatting sqref="B1338">
    <cfRule type="duplicateValues" dxfId="413" priority="629"/>
  </conditionalFormatting>
  <conditionalFormatting sqref="B1338">
    <cfRule type="duplicateValues" dxfId="412" priority="628"/>
  </conditionalFormatting>
  <conditionalFormatting sqref="B1338">
    <cfRule type="duplicateValues" dxfId="411" priority="627"/>
  </conditionalFormatting>
  <conditionalFormatting sqref="B1338">
    <cfRule type="duplicateValues" dxfId="410" priority="626"/>
  </conditionalFormatting>
  <conditionalFormatting sqref="B1338">
    <cfRule type="duplicateValues" dxfId="409" priority="625"/>
  </conditionalFormatting>
  <conditionalFormatting sqref="B1339">
    <cfRule type="duplicateValues" dxfId="408" priority="614"/>
  </conditionalFormatting>
  <conditionalFormatting sqref="B1339">
    <cfRule type="duplicateValues" dxfId="407" priority="613"/>
  </conditionalFormatting>
  <conditionalFormatting sqref="B1339">
    <cfRule type="duplicateValues" dxfId="406" priority="612"/>
  </conditionalFormatting>
  <conditionalFormatting sqref="B1339">
    <cfRule type="duplicateValues" dxfId="405" priority="611"/>
  </conditionalFormatting>
  <conditionalFormatting sqref="B1339">
    <cfRule type="duplicateValues" dxfId="404" priority="610"/>
  </conditionalFormatting>
  <conditionalFormatting sqref="B1339">
    <cfRule type="duplicateValues" dxfId="403" priority="609"/>
  </conditionalFormatting>
  <conditionalFormatting sqref="B1339">
    <cfRule type="duplicateValues" dxfId="402" priority="608"/>
  </conditionalFormatting>
  <conditionalFormatting sqref="B1339">
    <cfRule type="duplicateValues" dxfId="401" priority="607"/>
  </conditionalFormatting>
  <conditionalFormatting sqref="B1340">
    <cfRule type="duplicateValues" dxfId="400" priority="596"/>
  </conditionalFormatting>
  <conditionalFormatting sqref="B1340">
    <cfRule type="duplicateValues" dxfId="399" priority="595"/>
  </conditionalFormatting>
  <conditionalFormatting sqref="B1340">
    <cfRule type="duplicateValues" dxfId="398" priority="594"/>
  </conditionalFormatting>
  <conditionalFormatting sqref="B1340">
    <cfRule type="duplicateValues" dxfId="397" priority="593"/>
  </conditionalFormatting>
  <conditionalFormatting sqref="B1340">
    <cfRule type="duplicateValues" dxfId="396" priority="592"/>
  </conditionalFormatting>
  <conditionalFormatting sqref="B1340">
    <cfRule type="duplicateValues" dxfId="395" priority="591"/>
  </conditionalFormatting>
  <conditionalFormatting sqref="B1340">
    <cfRule type="duplicateValues" dxfId="394" priority="590"/>
  </conditionalFormatting>
  <conditionalFormatting sqref="B1340">
    <cfRule type="duplicateValues" dxfId="393" priority="589"/>
  </conditionalFormatting>
  <conditionalFormatting sqref="B1341">
    <cfRule type="duplicateValues" dxfId="392" priority="578"/>
  </conditionalFormatting>
  <conditionalFormatting sqref="B1341">
    <cfRule type="duplicateValues" dxfId="391" priority="577"/>
  </conditionalFormatting>
  <conditionalFormatting sqref="B1341">
    <cfRule type="duplicateValues" dxfId="390" priority="576"/>
  </conditionalFormatting>
  <conditionalFormatting sqref="B1341">
    <cfRule type="duplicateValues" dxfId="389" priority="575"/>
  </conditionalFormatting>
  <conditionalFormatting sqref="B1341">
    <cfRule type="duplicateValues" dxfId="388" priority="574"/>
  </conditionalFormatting>
  <conditionalFormatting sqref="B1341">
    <cfRule type="duplicateValues" dxfId="387" priority="573"/>
  </conditionalFormatting>
  <conditionalFormatting sqref="B1341">
    <cfRule type="duplicateValues" dxfId="386" priority="572"/>
  </conditionalFormatting>
  <conditionalFormatting sqref="B1341">
    <cfRule type="duplicateValues" dxfId="385" priority="571"/>
  </conditionalFormatting>
  <conditionalFormatting sqref="B1342">
    <cfRule type="duplicateValues" dxfId="384" priority="542"/>
  </conditionalFormatting>
  <conditionalFormatting sqref="B1342">
    <cfRule type="duplicateValues" dxfId="383" priority="541"/>
  </conditionalFormatting>
  <conditionalFormatting sqref="B1342">
    <cfRule type="duplicateValues" dxfId="382" priority="540"/>
  </conditionalFormatting>
  <conditionalFormatting sqref="B1342">
    <cfRule type="duplicateValues" dxfId="381" priority="539"/>
  </conditionalFormatting>
  <conditionalFormatting sqref="B1342">
    <cfRule type="duplicateValues" dxfId="380" priority="538"/>
  </conditionalFormatting>
  <conditionalFormatting sqref="B1342">
    <cfRule type="duplicateValues" dxfId="379" priority="537"/>
  </conditionalFormatting>
  <conditionalFormatting sqref="B1342">
    <cfRule type="duplicateValues" dxfId="378" priority="536"/>
  </conditionalFormatting>
  <conditionalFormatting sqref="B1342">
    <cfRule type="duplicateValues" dxfId="377" priority="535"/>
  </conditionalFormatting>
  <conditionalFormatting sqref="B1343">
    <cfRule type="duplicateValues" dxfId="376" priority="524"/>
  </conditionalFormatting>
  <conditionalFormatting sqref="B1343">
    <cfRule type="duplicateValues" dxfId="375" priority="523"/>
  </conditionalFormatting>
  <conditionalFormatting sqref="B1343">
    <cfRule type="duplicateValues" dxfId="374" priority="522"/>
  </conditionalFormatting>
  <conditionalFormatting sqref="B1343">
    <cfRule type="duplicateValues" dxfId="373" priority="521"/>
  </conditionalFormatting>
  <conditionalFormatting sqref="B1343">
    <cfRule type="duplicateValues" dxfId="372" priority="520"/>
  </conditionalFormatting>
  <conditionalFormatting sqref="B1343">
    <cfRule type="duplicateValues" dxfId="371" priority="519"/>
  </conditionalFormatting>
  <conditionalFormatting sqref="B1343">
    <cfRule type="duplicateValues" dxfId="370" priority="518"/>
  </conditionalFormatting>
  <conditionalFormatting sqref="B1343">
    <cfRule type="duplicateValues" dxfId="369" priority="517"/>
  </conditionalFormatting>
  <conditionalFormatting sqref="B1344">
    <cfRule type="duplicateValues" dxfId="368" priority="506"/>
  </conditionalFormatting>
  <conditionalFormatting sqref="B1344">
    <cfRule type="duplicateValues" dxfId="367" priority="505"/>
  </conditionalFormatting>
  <conditionalFormatting sqref="B1344">
    <cfRule type="duplicateValues" dxfId="366" priority="504"/>
  </conditionalFormatting>
  <conditionalFormatting sqref="B1344">
    <cfRule type="duplicateValues" dxfId="365" priority="503"/>
  </conditionalFormatting>
  <conditionalFormatting sqref="B1344">
    <cfRule type="duplicateValues" dxfId="364" priority="502"/>
  </conditionalFormatting>
  <conditionalFormatting sqref="B1344">
    <cfRule type="duplicateValues" dxfId="363" priority="501"/>
  </conditionalFormatting>
  <conditionalFormatting sqref="B1344">
    <cfRule type="duplicateValues" dxfId="362" priority="500"/>
  </conditionalFormatting>
  <conditionalFormatting sqref="B1344">
    <cfRule type="duplicateValues" dxfId="361" priority="499"/>
  </conditionalFormatting>
  <conditionalFormatting sqref="B1345">
    <cfRule type="duplicateValues" dxfId="360" priority="488"/>
  </conditionalFormatting>
  <conditionalFormatting sqref="B1345">
    <cfRule type="duplicateValues" dxfId="359" priority="487"/>
  </conditionalFormatting>
  <conditionalFormatting sqref="B1345">
    <cfRule type="duplicateValues" dxfId="358" priority="486"/>
  </conditionalFormatting>
  <conditionalFormatting sqref="B1345">
    <cfRule type="duplicateValues" dxfId="357" priority="485"/>
  </conditionalFormatting>
  <conditionalFormatting sqref="B1345">
    <cfRule type="duplicateValues" dxfId="356" priority="484"/>
  </conditionalFormatting>
  <conditionalFormatting sqref="B1345">
    <cfRule type="duplicateValues" dxfId="355" priority="483"/>
  </conditionalFormatting>
  <conditionalFormatting sqref="B1345">
    <cfRule type="duplicateValues" dxfId="354" priority="482"/>
  </conditionalFormatting>
  <conditionalFormatting sqref="B1345">
    <cfRule type="duplicateValues" dxfId="353" priority="481"/>
  </conditionalFormatting>
  <conditionalFormatting sqref="B1346">
    <cfRule type="duplicateValues" dxfId="352" priority="470"/>
  </conditionalFormatting>
  <conditionalFormatting sqref="B1346">
    <cfRule type="duplicateValues" dxfId="351" priority="469"/>
  </conditionalFormatting>
  <conditionalFormatting sqref="B1346">
    <cfRule type="duplicateValues" dxfId="350" priority="468"/>
  </conditionalFormatting>
  <conditionalFormatting sqref="B1346">
    <cfRule type="duplicateValues" dxfId="349" priority="467"/>
  </conditionalFormatting>
  <conditionalFormatting sqref="B1346">
    <cfRule type="duplicateValues" dxfId="348" priority="466"/>
  </conditionalFormatting>
  <conditionalFormatting sqref="B1346">
    <cfRule type="duplicateValues" dxfId="347" priority="465"/>
  </conditionalFormatting>
  <conditionalFormatting sqref="B1346">
    <cfRule type="duplicateValues" dxfId="346" priority="464"/>
  </conditionalFormatting>
  <conditionalFormatting sqref="B1346">
    <cfRule type="duplicateValues" dxfId="345" priority="463"/>
  </conditionalFormatting>
  <conditionalFormatting sqref="B1347">
    <cfRule type="duplicateValues" dxfId="344" priority="452"/>
  </conditionalFormatting>
  <conditionalFormatting sqref="B1347">
    <cfRule type="duplicateValues" dxfId="343" priority="451"/>
  </conditionalFormatting>
  <conditionalFormatting sqref="B1347">
    <cfRule type="duplicateValues" dxfId="342" priority="450"/>
  </conditionalFormatting>
  <conditionalFormatting sqref="B1347">
    <cfRule type="duplicateValues" dxfId="341" priority="449"/>
  </conditionalFormatting>
  <conditionalFormatting sqref="B1347">
    <cfRule type="duplicateValues" dxfId="340" priority="448"/>
  </conditionalFormatting>
  <conditionalFormatting sqref="B1347">
    <cfRule type="duplicateValues" dxfId="339" priority="447"/>
  </conditionalFormatting>
  <conditionalFormatting sqref="B1347">
    <cfRule type="duplicateValues" dxfId="338" priority="446"/>
  </conditionalFormatting>
  <conditionalFormatting sqref="B1347">
    <cfRule type="duplicateValues" dxfId="337" priority="445"/>
  </conditionalFormatting>
  <conditionalFormatting sqref="H1333 H1335 H1337 H1339 H1341:H1342 H1344 H1346">
    <cfRule type="duplicateValues" dxfId="336" priority="1819"/>
  </conditionalFormatting>
  <conditionalFormatting sqref="H1333 H1335 H1337 H1339 H1341:H1342 H1344 H1346">
    <cfRule type="duplicateValues" dxfId="335" priority="1827"/>
  </conditionalFormatting>
  <conditionalFormatting sqref="H1348 H1350 H1352">
    <cfRule type="duplicateValues" dxfId="334" priority="416"/>
  </conditionalFormatting>
  <conditionalFormatting sqref="H1348 H1350 H1352">
    <cfRule type="duplicateValues" dxfId="333" priority="415"/>
  </conditionalFormatting>
  <conditionalFormatting sqref="K1348 K1350 K1352 K1354 K1356">
    <cfRule type="duplicateValues" dxfId="332" priority="414"/>
  </conditionalFormatting>
  <conditionalFormatting sqref="H40">
    <cfRule type="duplicateValues" dxfId="331" priority="405"/>
  </conditionalFormatting>
  <conditionalFormatting sqref="H40">
    <cfRule type="duplicateValues" dxfId="330" priority="404"/>
  </conditionalFormatting>
  <conditionalFormatting sqref="H40">
    <cfRule type="duplicateValues" dxfId="329" priority="403"/>
  </conditionalFormatting>
  <conditionalFormatting sqref="H40">
    <cfRule type="duplicateValues" dxfId="328" priority="402"/>
  </conditionalFormatting>
  <conditionalFormatting sqref="H40">
    <cfRule type="duplicateValues" dxfId="327" priority="401"/>
  </conditionalFormatting>
  <conditionalFormatting sqref="H40">
    <cfRule type="duplicateValues" dxfId="326" priority="400"/>
  </conditionalFormatting>
  <conditionalFormatting sqref="K40">
    <cfRule type="cellIs" dxfId="325" priority="399" operator="equal">
      <formula>""""""</formula>
    </cfRule>
  </conditionalFormatting>
  <conditionalFormatting sqref="H40">
    <cfRule type="duplicateValues" dxfId="324" priority="398"/>
  </conditionalFormatting>
  <conditionalFormatting sqref="H40">
    <cfRule type="duplicateValues" dxfId="323" priority="397"/>
  </conditionalFormatting>
  <conditionalFormatting sqref="K1359:K1366 K1368:K1384">
    <cfRule type="cellIs" dxfId="322" priority="380" operator="equal">
      <formula>""""""</formula>
    </cfRule>
  </conditionalFormatting>
  <conditionalFormatting sqref="K1402:K1403">
    <cfRule type="cellIs" dxfId="321" priority="374" operator="equal">
      <formula>""""""</formula>
    </cfRule>
  </conditionalFormatting>
  <conditionalFormatting sqref="H1402:H1403">
    <cfRule type="duplicateValues" dxfId="320" priority="375"/>
  </conditionalFormatting>
  <conditionalFormatting sqref="H1402:H1403">
    <cfRule type="duplicateValues" dxfId="319" priority="376"/>
  </conditionalFormatting>
  <conditionalFormatting sqref="H1343 H1334 H1336 H1338 H1340 H1345 H1347 H1349 H1351 H1353:H1357">
    <cfRule type="duplicateValues" dxfId="318" priority="1967"/>
  </conditionalFormatting>
  <conditionalFormatting sqref="H1343 H1334 H1336 H1338 H1340 H1345 H1347 H1349 H1351 H1353:H1357">
    <cfRule type="duplicateValues" dxfId="317" priority="1977"/>
  </conditionalFormatting>
  <conditionalFormatting sqref="K1343 K1334 K1336 K1338 K1340 K1345 K1347 K1349 K1351 K1353 K1355 K1357">
    <cfRule type="duplicateValues" dxfId="316" priority="1987"/>
  </conditionalFormatting>
  <conditionalFormatting sqref="B1348:B1355">
    <cfRule type="duplicateValues" dxfId="315" priority="1998"/>
  </conditionalFormatting>
  <conditionalFormatting sqref="B1348:B1355">
    <cfRule type="duplicateValues" dxfId="314" priority="1999"/>
  </conditionalFormatting>
  <conditionalFormatting sqref="B1356">
    <cfRule type="duplicateValues" dxfId="313" priority="372"/>
  </conditionalFormatting>
  <conditionalFormatting sqref="B1356">
    <cfRule type="duplicateValues" dxfId="312" priority="373"/>
  </conditionalFormatting>
  <conditionalFormatting sqref="B1357">
    <cfRule type="duplicateValues" dxfId="311" priority="364"/>
  </conditionalFormatting>
  <conditionalFormatting sqref="B1357">
    <cfRule type="duplicateValues" dxfId="310" priority="365"/>
  </conditionalFormatting>
  <conditionalFormatting sqref="K501">
    <cfRule type="cellIs" dxfId="309" priority="343" operator="equal">
      <formula>""""""</formula>
    </cfRule>
  </conditionalFormatting>
  <conditionalFormatting sqref="K1272 K1274 K1276 K1278 K1280 K1282 K1284">
    <cfRule type="cellIs" dxfId="308" priority="340" operator="equal">
      <formula>""""""</formula>
    </cfRule>
  </conditionalFormatting>
  <conditionalFormatting sqref="H1358">
    <cfRule type="duplicateValues" dxfId="307" priority="337"/>
  </conditionalFormatting>
  <conditionalFormatting sqref="H1358">
    <cfRule type="duplicateValues" dxfId="306" priority="338"/>
  </conditionalFormatting>
  <conditionalFormatting sqref="K1358">
    <cfRule type="duplicateValues" dxfId="305" priority="339"/>
  </conditionalFormatting>
  <conditionalFormatting sqref="B1358">
    <cfRule type="duplicateValues" dxfId="304" priority="335"/>
  </conditionalFormatting>
  <conditionalFormatting sqref="B1358">
    <cfRule type="duplicateValues" dxfId="303" priority="336"/>
  </conditionalFormatting>
  <conditionalFormatting sqref="B1407">
    <cfRule type="duplicateValues" dxfId="302" priority="325"/>
  </conditionalFormatting>
  <conditionalFormatting sqref="B1407">
    <cfRule type="duplicateValues" dxfId="301" priority="324"/>
  </conditionalFormatting>
  <conditionalFormatting sqref="B1407">
    <cfRule type="duplicateValues" dxfId="300" priority="323"/>
  </conditionalFormatting>
  <conditionalFormatting sqref="B1407">
    <cfRule type="duplicateValues" dxfId="299" priority="322"/>
  </conditionalFormatting>
  <conditionalFormatting sqref="B1407">
    <cfRule type="duplicateValues" dxfId="298" priority="321"/>
  </conditionalFormatting>
  <conditionalFormatting sqref="B1407">
    <cfRule type="duplicateValues" dxfId="297" priority="320"/>
  </conditionalFormatting>
  <conditionalFormatting sqref="B1407">
    <cfRule type="duplicateValues" dxfId="296" priority="319"/>
  </conditionalFormatting>
  <conditionalFormatting sqref="B1407">
    <cfRule type="duplicateValues" dxfId="295" priority="318"/>
  </conditionalFormatting>
  <conditionalFormatting sqref="H99">
    <cfRule type="duplicateValues" dxfId="294" priority="315"/>
  </conditionalFormatting>
  <conditionalFormatting sqref="H99">
    <cfRule type="duplicateValues" dxfId="293" priority="314"/>
  </conditionalFormatting>
  <conditionalFormatting sqref="K99">
    <cfRule type="cellIs" dxfId="292" priority="313" operator="equal">
      <formula>""""""</formula>
    </cfRule>
  </conditionalFormatting>
  <conditionalFormatting sqref="H99">
    <cfRule type="duplicateValues" dxfId="291" priority="312"/>
  </conditionalFormatting>
  <conditionalFormatting sqref="H99">
    <cfRule type="duplicateValues" dxfId="290" priority="311"/>
  </conditionalFormatting>
  <conditionalFormatting sqref="H99">
    <cfRule type="duplicateValues" dxfId="289" priority="316"/>
  </conditionalFormatting>
  <conditionalFormatting sqref="H99">
    <cfRule type="duplicateValues" dxfId="288" priority="317"/>
  </conditionalFormatting>
  <conditionalFormatting sqref="K1297">
    <cfRule type="cellIs" dxfId="287" priority="307" operator="equal">
      <formula>""""""</formula>
    </cfRule>
  </conditionalFormatting>
  <conditionalFormatting sqref="H1297">
    <cfRule type="duplicateValues" dxfId="286" priority="308"/>
  </conditionalFormatting>
  <conditionalFormatting sqref="H1297">
    <cfRule type="duplicateValues" dxfId="285" priority="309"/>
  </conditionalFormatting>
  <conditionalFormatting sqref="H1297">
    <cfRule type="duplicateValues" dxfId="284" priority="310"/>
  </conditionalFormatting>
  <conditionalFormatting sqref="H115">
    <cfRule type="duplicateValues" dxfId="283" priority="304"/>
  </conditionalFormatting>
  <conditionalFormatting sqref="H115">
    <cfRule type="duplicateValues" dxfId="282" priority="305"/>
  </conditionalFormatting>
  <conditionalFormatting sqref="K115">
    <cfRule type="duplicateValues" dxfId="281" priority="306"/>
  </conditionalFormatting>
  <conditionalFormatting sqref="H502:H509">
    <cfRule type="duplicateValues" dxfId="280" priority="303"/>
  </conditionalFormatting>
  <conditionalFormatting sqref="H502:H509">
    <cfRule type="duplicateValues" dxfId="279" priority="302"/>
  </conditionalFormatting>
  <conditionalFormatting sqref="H502:H509">
    <cfRule type="duplicateValues" dxfId="278" priority="301"/>
  </conditionalFormatting>
  <conditionalFormatting sqref="H502:H509">
    <cfRule type="duplicateValues" dxfId="277" priority="300"/>
  </conditionalFormatting>
  <conditionalFormatting sqref="H502:H509">
    <cfRule type="duplicateValues" dxfId="276" priority="299"/>
  </conditionalFormatting>
  <conditionalFormatting sqref="H502:H509">
    <cfRule type="duplicateValues" dxfId="275" priority="298"/>
  </conditionalFormatting>
  <conditionalFormatting sqref="H502:H509">
    <cfRule type="duplicateValues" dxfId="274" priority="297"/>
  </conditionalFormatting>
  <conditionalFormatting sqref="H502:H509">
    <cfRule type="duplicateValues" dxfId="273" priority="296"/>
  </conditionalFormatting>
  <conditionalFormatting sqref="K502:K509">
    <cfRule type="cellIs" dxfId="272" priority="295" operator="equal">
      <formula>""""""</formula>
    </cfRule>
  </conditionalFormatting>
  <conditionalFormatting sqref="K1400:K1401">
    <cfRule type="cellIs" dxfId="271" priority="285" operator="equal">
      <formula>""""""</formula>
    </cfRule>
  </conditionalFormatting>
  <conditionalFormatting sqref="K1400:K1401">
    <cfRule type="cellIs" dxfId="270" priority="284" operator="equal">
      <formula>""""""</formula>
    </cfRule>
  </conditionalFormatting>
  <conditionalFormatting sqref="H1400:H1401">
    <cfRule type="duplicateValues" dxfId="269" priority="286"/>
  </conditionalFormatting>
  <conditionalFormatting sqref="H1400:H1401">
    <cfRule type="duplicateValues" dxfId="268" priority="287"/>
  </conditionalFormatting>
  <conditionalFormatting sqref="H1400:H1401">
    <cfRule type="duplicateValues" dxfId="267" priority="288"/>
  </conditionalFormatting>
  <conditionalFormatting sqref="H1400:H1401">
    <cfRule type="duplicateValues" dxfId="266" priority="289"/>
  </conditionalFormatting>
  <conditionalFormatting sqref="H1400:H1401">
    <cfRule type="duplicateValues" dxfId="265" priority="290"/>
  </conditionalFormatting>
  <conditionalFormatting sqref="H1400:H1401">
    <cfRule type="duplicateValues" dxfId="264" priority="291"/>
  </conditionalFormatting>
  <conditionalFormatting sqref="H1400:H1401">
    <cfRule type="duplicateValues" dxfId="263" priority="292"/>
  </conditionalFormatting>
  <conditionalFormatting sqref="H1400:H1401">
    <cfRule type="duplicateValues" dxfId="262" priority="293"/>
  </conditionalFormatting>
  <conditionalFormatting sqref="H1400:H1401">
    <cfRule type="duplicateValues" dxfId="261" priority="294"/>
  </conditionalFormatting>
  <conditionalFormatting sqref="H100">
    <cfRule type="duplicateValues" dxfId="260" priority="281"/>
  </conditionalFormatting>
  <conditionalFormatting sqref="H100">
    <cfRule type="duplicateValues" dxfId="259" priority="280"/>
  </conditionalFormatting>
  <conditionalFormatting sqref="K100">
    <cfRule type="cellIs" dxfId="258" priority="279" operator="equal">
      <formula>""""""</formula>
    </cfRule>
  </conditionalFormatting>
  <conditionalFormatting sqref="H100">
    <cfRule type="duplicateValues" dxfId="257" priority="278"/>
  </conditionalFormatting>
  <conditionalFormatting sqref="H100">
    <cfRule type="duplicateValues" dxfId="256" priority="277"/>
  </conditionalFormatting>
  <conditionalFormatting sqref="H100">
    <cfRule type="duplicateValues" dxfId="255" priority="282"/>
  </conditionalFormatting>
  <conditionalFormatting sqref="H100">
    <cfRule type="duplicateValues" dxfId="254" priority="283"/>
  </conditionalFormatting>
  <conditionalFormatting sqref="K58">
    <cfRule type="cellIs" dxfId="253" priority="270" operator="equal">
      <formula>""""""</formula>
    </cfRule>
  </conditionalFormatting>
  <conditionalFormatting sqref="H229:H230 H240:H265">
    <cfRule type="duplicateValues" dxfId="252" priority="2362"/>
  </conditionalFormatting>
  <conditionalFormatting sqref="H229:H230 H240:H265">
    <cfRule type="duplicateValues" dxfId="251" priority="2365"/>
  </conditionalFormatting>
  <conditionalFormatting sqref="K421:K442">
    <cfRule type="cellIs" dxfId="250" priority="260" operator="equal">
      <formula>""""""</formula>
    </cfRule>
  </conditionalFormatting>
  <conditionalFormatting sqref="H114 H116:H141">
    <cfRule type="duplicateValues" dxfId="249" priority="2921"/>
  </conditionalFormatting>
  <conditionalFormatting sqref="H114 H116:H141">
    <cfRule type="duplicateValues" dxfId="248" priority="2923"/>
  </conditionalFormatting>
  <conditionalFormatting sqref="K114 K116:K141">
    <cfRule type="duplicateValues" dxfId="247" priority="2925"/>
  </conditionalFormatting>
  <conditionalFormatting sqref="K1457:K1470 K1477">
    <cfRule type="cellIs" dxfId="246" priority="255" operator="equal">
      <formula>""""""</formula>
    </cfRule>
  </conditionalFormatting>
  <conditionalFormatting sqref="H1457:H1470 H1477">
    <cfRule type="duplicateValues" dxfId="245" priority="254"/>
  </conditionalFormatting>
  <conditionalFormatting sqref="K324:K326">
    <cfRule type="cellIs" dxfId="244" priority="253" operator="equal">
      <formula>""""""</formula>
    </cfRule>
  </conditionalFormatting>
  <conditionalFormatting sqref="H324:H326">
    <cfRule type="duplicateValues" dxfId="243" priority="252"/>
  </conditionalFormatting>
  <conditionalFormatting sqref="H830:H834">
    <cfRule type="duplicateValues" dxfId="242" priority="249"/>
  </conditionalFormatting>
  <conditionalFormatting sqref="H830:H834">
    <cfRule type="duplicateValues" dxfId="241" priority="248"/>
  </conditionalFormatting>
  <conditionalFormatting sqref="H830:H834">
    <cfRule type="duplicateValues" dxfId="240" priority="247"/>
  </conditionalFormatting>
  <conditionalFormatting sqref="H830:H834">
    <cfRule type="duplicateValues" dxfId="239" priority="246"/>
  </conditionalFormatting>
  <conditionalFormatting sqref="H830:H834">
    <cfRule type="duplicateValues" dxfId="238" priority="245"/>
  </conditionalFormatting>
  <conditionalFormatting sqref="H830:H834">
    <cfRule type="duplicateValues" dxfId="237" priority="244"/>
  </conditionalFormatting>
  <conditionalFormatting sqref="H830:H834">
    <cfRule type="duplicateValues" dxfId="236" priority="243"/>
  </conditionalFormatting>
  <conditionalFormatting sqref="H830:H834">
    <cfRule type="duplicateValues" dxfId="235" priority="242"/>
  </conditionalFormatting>
  <conditionalFormatting sqref="H835">
    <cfRule type="duplicateValues" dxfId="234" priority="241"/>
  </conditionalFormatting>
  <conditionalFormatting sqref="H835">
    <cfRule type="duplicateValues" dxfId="233" priority="240"/>
  </conditionalFormatting>
  <conditionalFormatting sqref="H835">
    <cfRule type="duplicateValues" dxfId="232" priority="239"/>
  </conditionalFormatting>
  <conditionalFormatting sqref="H835">
    <cfRule type="duplicateValues" dxfId="231" priority="238"/>
  </conditionalFormatting>
  <conditionalFormatting sqref="H835">
    <cfRule type="duplicateValues" dxfId="230" priority="237"/>
  </conditionalFormatting>
  <conditionalFormatting sqref="H835">
    <cfRule type="duplicateValues" dxfId="229" priority="236"/>
  </conditionalFormatting>
  <conditionalFormatting sqref="H835">
    <cfRule type="duplicateValues" dxfId="228" priority="235"/>
  </conditionalFormatting>
  <conditionalFormatting sqref="H835">
    <cfRule type="duplicateValues" dxfId="227" priority="234"/>
  </conditionalFormatting>
  <conditionalFormatting sqref="K830:K834">
    <cfRule type="cellIs" dxfId="226" priority="233" operator="equal">
      <formula>""""""</formula>
    </cfRule>
  </conditionalFormatting>
  <conditionalFormatting sqref="K830:K834">
    <cfRule type="cellIs" dxfId="225" priority="232" operator="equal">
      <formula>""""""</formula>
    </cfRule>
  </conditionalFormatting>
  <conditionalFormatting sqref="K835">
    <cfRule type="cellIs" dxfId="224" priority="231" operator="equal">
      <formula>""""""</formula>
    </cfRule>
  </conditionalFormatting>
  <conditionalFormatting sqref="K835">
    <cfRule type="cellIs" dxfId="223" priority="230" operator="equal">
      <formula>""""""</formula>
    </cfRule>
  </conditionalFormatting>
  <conditionalFormatting sqref="K1471:K1476">
    <cfRule type="cellIs" dxfId="222" priority="229" operator="equal">
      <formula>""""""</formula>
    </cfRule>
  </conditionalFormatting>
  <conditionalFormatting sqref="H1471:H1476">
    <cfRule type="duplicateValues" dxfId="221" priority="228"/>
  </conditionalFormatting>
  <conditionalFormatting sqref="H1478:H1488">
    <cfRule type="duplicateValues" dxfId="220" priority="227"/>
  </conditionalFormatting>
  <conditionalFormatting sqref="K1478 K1481 K1484 K1487">
    <cfRule type="cellIs" dxfId="219" priority="226" operator="equal">
      <formula>""""""</formula>
    </cfRule>
  </conditionalFormatting>
  <conditionalFormatting sqref="K1479 K1482 K1485 K1488">
    <cfRule type="cellIs" dxfId="218" priority="225" operator="equal">
      <formula>""""""</formula>
    </cfRule>
  </conditionalFormatting>
  <conditionalFormatting sqref="K1480 K1483 K1486">
    <cfRule type="cellIs" dxfId="217" priority="224" operator="equal">
      <formula>""""""</formula>
    </cfRule>
  </conditionalFormatting>
  <conditionalFormatting sqref="H1489:H1498">
    <cfRule type="duplicateValues" dxfId="216" priority="223"/>
  </conditionalFormatting>
  <conditionalFormatting sqref="K1489">
    <cfRule type="cellIs" dxfId="215" priority="222" operator="equal">
      <formula>""""""</formula>
    </cfRule>
  </conditionalFormatting>
  <conditionalFormatting sqref="K1490:K1491">
    <cfRule type="cellIs" dxfId="214" priority="221" operator="equal">
      <formula>""""""</formula>
    </cfRule>
  </conditionalFormatting>
  <conditionalFormatting sqref="K1499:K1500">
    <cfRule type="cellIs" dxfId="213" priority="220" operator="equal">
      <formula>""""""</formula>
    </cfRule>
  </conditionalFormatting>
  <conditionalFormatting sqref="H1499:H1500">
    <cfRule type="duplicateValues" dxfId="212" priority="219"/>
  </conditionalFormatting>
  <conditionalFormatting sqref="K1214:K1220">
    <cfRule type="cellIs" dxfId="211" priority="214" operator="equal">
      <formula>""""""</formula>
    </cfRule>
  </conditionalFormatting>
  <conditionalFormatting sqref="H1214:H1220">
    <cfRule type="duplicateValues" dxfId="210" priority="213"/>
  </conditionalFormatting>
  <conditionalFormatting sqref="H1214:H1220">
    <cfRule type="duplicateValues" dxfId="209" priority="212"/>
  </conditionalFormatting>
  <conditionalFormatting sqref="K1214:K1220">
    <cfRule type="cellIs" dxfId="208" priority="211" operator="equal">
      <formula>""""""</formula>
    </cfRule>
  </conditionalFormatting>
  <conditionalFormatting sqref="H1214:H1220">
    <cfRule type="duplicateValues" dxfId="207" priority="215"/>
  </conditionalFormatting>
  <conditionalFormatting sqref="H1214:H1220">
    <cfRule type="duplicateValues" dxfId="206" priority="216"/>
  </conditionalFormatting>
  <conditionalFormatting sqref="H1214:H1220">
    <cfRule type="duplicateValues" dxfId="205" priority="217"/>
  </conditionalFormatting>
  <conditionalFormatting sqref="H1214:H1220">
    <cfRule type="duplicateValues" dxfId="204" priority="218"/>
  </conditionalFormatting>
  <conditionalFormatting sqref="H1205:H1211 H1222">
    <cfRule type="duplicateValues" dxfId="203" priority="3087"/>
  </conditionalFormatting>
  <conditionalFormatting sqref="H1205:H1211 H1222">
    <cfRule type="duplicateValues" dxfId="202" priority="3089"/>
  </conditionalFormatting>
  <conditionalFormatting sqref="H1501:H1506">
    <cfRule type="duplicateValues" dxfId="201" priority="210"/>
  </conditionalFormatting>
  <conditionalFormatting sqref="K1501:K1506">
    <cfRule type="cellIs" dxfId="200" priority="209" operator="equal">
      <formula>""""""</formula>
    </cfRule>
  </conditionalFormatting>
  <conditionalFormatting sqref="H1507:H1508">
    <cfRule type="duplicateValues" dxfId="199" priority="208"/>
  </conditionalFormatting>
  <conditionalFormatting sqref="K1509">
    <cfRule type="cellIs" dxfId="198" priority="207" operator="equal">
      <formula>""""""</formula>
    </cfRule>
  </conditionalFormatting>
  <conditionalFormatting sqref="H1509">
    <cfRule type="duplicateValues" dxfId="197" priority="206"/>
  </conditionalFormatting>
  <conditionalFormatting sqref="H1510:H1519">
    <cfRule type="duplicateValues" dxfId="196" priority="205"/>
  </conditionalFormatting>
  <conditionalFormatting sqref="K1510:K1519">
    <cfRule type="cellIs" dxfId="195" priority="204" operator="equal">
      <formula>""""""</formula>
    </cfRule>
  </conditionalFormatting>
  <conditionalFormatting sqref="B101:B104">
    <cfRule type="duplicateValues" dxfId="194" priority="203"/>
  </conditionalFormatting>
  <conditionalFormatting sqref="B101:B104">
    <cfRule type="duplicateValues" dxfId="193" priority="202"/>
  </conditionalFormatting>
  <conditionalFormatting sqref="B101:B104">
    <cfRule type="duplicateValues" dxfId="192" priority="201"/>
  </conditionalFormatting>
  <conditionalFormatting sqref="B101:B104">
    <cfRule type="duplicateValues" dxfId="191" priority="200"/>
  </conditionalFormatting>
  <conditionalFormatting sqref="B101:B104">
    <cfRule type="duplicateValues" dxfId="190" priority="199"/>
  </conditionalFormatting>
  <conditionalFormatting sqref="B101:B104">
    <cfRule type="duplicateValues" dxfId="189" priority="198"/>
  </conditionalFormatting>
  <conditionalFormatting sqref="B101:B104">
    <cfRule type="duplicateValues" dxfId="188" priority="197"/>
  </conditionalFormatting>
  <conditionalFormatting sqref="B101:B104">
    <cfRule type="duplicateValues" dxfId="187" priority="196"/>
  </conditionalFormatting>
  <conditionalFormatting sqref="H101:H104">
    <cfRule type="duplicateValues" dxfId="186" priority="195"/>
  </conditionalFormatting>
  <conditionalFormatting sqref="H101:H104">
    <cfRule type="duplicateValues" dxfId="185" priority="194"/>
  </conditionalFormatting>
  <conditionalFormatting sqref="K101:K104">
    <cfRule type="cellIs" dxfId="184" priority="193" operator="equal">
      <formula>""""""</formula>
    </cfRule>
  </conditionalFormatting>
  <conditionalFormatting sqref="K1520:K1550">
    <cfRule type="cellIs" dxfId="183" priority="186" operator="equal">
      <formula>""""""</formula>
    </cfRule>
  </conditionalFormatting>
  <conditionalFormatting sqref="H1385:H1395">
    <cfRule type="duplicateValues" dxfId="182" priority="183"/>
  </conditionalFormatting>
  <conditionalFormatting sqref="H1396:H1398">
    <cfRule type="duplicateValues" dxfId="181" priority="182"/>
  </conditionalFormatting>
  <conditionalFormatting sqref="K1385:K1395">
    <cfRule type="cellIs" dxfId="180" priority="181" operator="equal">
      <formula>""""""</formula>
    </cfRule>
  </conditionalFormatting>
  <conditionalFormatting sqref="K1385:K1395">
    <cfRule type="cellIs" dxfId="179" priority="180" operator="equal">
      <formula>""""""</formula>
    </cfRule>
  </conditionalFormatting>
  <conditionalFormatting sqref="K1396:K1398">
    <cfRule type="cellIs" dxfId="178" priority="179" operator="equal">
      <formula>""""""</formula>
    </cfRule>
  </conditionalFormatting>
  <conditionalFormatting sqref="K1396:K1398">
    <cfRule type="cellIs" dxfId="177" priority="178" operator="equal">
      <formula>""""""</formula>
    </cfRule>
  </conditionalFormatting>
  <conditionalFormatting sqref="H1359:H1384">
    <cfRule type="duplicateValues" dxfId="176" priority="3293"/>
  </conditionalFormatting>
  <conditionalFormatting sqref="H1359:H1384">
    <cfRule type="duplicateValues" dxfId="175" priority="3294"/>
  </conditionalFormatting>
  <conditionalFormatting sqref="H1552:H1570">
    <cfRule type="duplicateValues" dxfId="174" priority="175"/>
  </conditionalFormatting>
  <conditionalFormatting sqref="H1551:H1570">
    <cfRule type="duplicateValues" dxfId="173" priority="174"/>
  </conditionalFormatting>
  <conditionalFormatting sqref="H1551:H1570">
    <cfRule type="duplicateValues" dxfId="172" priority="173"/>
  </conditionalFormatting>
  <conditionalFormatting sqref="H1551:H1570">
    <cfRule type="duplicateValues" dxfId="171" priority="172"/>
  </conditionalFormatting>
  <conditionalFormatting sqref="H1551:H1570">
    <cfRule type="duplicateValues" dxfId="170" priority="171"/>
  </conditionalFormatting>
  <conditionalFormatting sqref="H1551:H1570">
    <cfRule type="duplicateValues" dxfId="169" priority="170"/>
  </conditionalFormatting>
  <conditionalFormatting sqref="K1551:K1570">
    <cfRule type="cellIs" dxfId="168" priority="169" operator="equal">
      <formula>""""""</formula>
    </cfRule>
  </conditionalFormatting>
  <conditionalFormatting sqref="H1551:H1570">
    <cfRule type="duplicateValues" dxfId="167" priority="168"/>
  </conditionalFormatting>
  <conditionalFormatting sqref="H1551:H1570">
    <cfRule type="duplicateValues" dxfId="166" priority="167"/>
  </conditionalFormatting>
  <conditionalFormatting sqref="H1551:H1570">
    <cfRule type="duplicateValues" dxfId="165" priority="176"/>
  </conditionalFormatting>
  <conditionalFormatting sqref="H1551:H1570">
    <cfRule type="duplicateValues" dxfId="164" priority="177"/>
  </conditionalFormatting>
  <conditionalFormatting sqref="H233">
    <cfRule type="duplicateValues" dxfId="163" priority="166"/>
  </conditionalFormatting>
  <conditionalFormatting sqref="H233">
    <cfRule type="duplicateValues" dxfId="162" priority="165"/>
  </conditionalFormatting>
  <conditionalFormatting sqref="H233">
    <cfRule type="duplicateValues" dxfId="161" priority="164"/>
  </conditionalFormatting>
  <conditionalFormatting sqref="H233">
    <cfRule type="duplicateValues" dxfId="160" priority="163"/>
  </conditionalFormatting>
  <conditionalFormatting sqref="H233">
    <cfRule type="duplicateValues" dxfId="159" priority="162"/>
  </conditionalFormatting>
  <conditionalFormatting sqref="H233">
    <cfRule type="duplicateValues" dxfId="158" priority="161"/>
  </conditionalFormatting>
  <conditionalFormatting sqref="K233">
    <cfRule type="cellIs" dxfId="157" priority="160" operator="equal">
      <formula>""""""</formula>
    </cfRule>
  </conditionalFormatting>
  <conditionalFormatting sqref="H233">
    <cfRule type="duplicateValues" dxfId="156" priority="159"/>
  </conditionalFormatting>
  <conditionalFormatting sqref="H233">
    <cfRule type="duplicateValues" dxfId="155" priority="158"/>
  </conditionalFormatting>
  <conditionalFormatting sqref="H1520:H1550">
    <cfRule type="duplicateValues" dxfId="154" priority="3498"/>
  </conditionalFormatting>
  <conditionalFormatting sqref="H1520:H1550">
    <cfRule type="duplicateValues" dxfId="153" priority="3499"/>
  </conditionalFormatting>
  <conditionalFormatting sqref="H480:H481">
    <cfRule type="duplicateValues" dxfId="152" priority="139"/>
  </conditionalFormatting>
  <conditionalFormatting sqref="H480:H481">
    <cfRule type="duplicateValues" dxfId="151" priority="138"/>
  </conditionalFormatting>
  <conditionalFormatting sqref="H480:H481">
    <cfRule type="duplicateValues" dxfId="150" priority="137"/>
  </conditionalFormatting>
  <conditionalFormatting sqref="H480:H481">
    <cfRule type="duplicateValues" dxfId="149" priority="136"/>
  </conditionalFormatting>
  <conditionalFormatting sqref="H480:H481">
    <cfRule type="duplicateValues" dxfId="148" priority="135"/>
  </conditionalFormatting>
  <conditionalFormatting sqref="H480:H481">
    <cfRule type="duplicateValues" dxfId="147" priority="134"/>
  </conditionalFormatting>
  <conditionalFormatting sqref="K480:K481">
    <cfRule type="cellIs" dxfId="146" priority="133" operator="equal">
      <formula>""""""</formula>
    </cfRule>
  </conditionalFormatting>
  <conditionalFormatting sqref="H480:H481">
    <cfRule type="duplicateValues" dxfId="145" priority="140"/>
  </conditionalFormatting>
  <conditionalFormatting sqref="H480:H481">
    <cfRule type="duplicateValues" dxfId="144" priority="141"/>
  </conditionalFormatting>
  <conditionalFormatting sqref="K1212:K1213">
    <cfRule type="cellIs" dxfId="143" priority="130" operator="equal">
      <formula>""""""</formula>
    </cfRule>
  </conditionalFormatting>
  <conditionalFormatting sqref="H1212:H1213">
    <cfRule type="duplicateValues" dxfId="142" priority="129"/>
  </conditionalFormatting>
  <conditionalFormatting sqref="H1212:H1213">
    <cfRule type="duplicateValues" dxfId="141" priority="128"/>
  </conditionalFormatting>
  <conditionalFormatting sqref="H1212:H1213">
    <cfRule type="duplicateValues" dxfId="140" priority="131"/>
  </conditionalFormatting>
  <conditionalFormatting sqref="H1212:H1213">
    <cfRule type="duplicateValues" dxfId="139" priority="132"/>
  </conditionalFormatting>
  <conditionalFormatting sqref="H1572:H1582">
    <cfRule type="duplicateValues" dxfId="138" priority="125"/>
  </conditionalFormatting>
  <conditionalFormatting sqref="H1572:H1582">
    <cfRule type="duplicateValues" dxfId="137" priority="124"/>
  </conditionalFormatting>
  <conditionalFormatting sqref="H1572:H1582">
    <cfRule type="duplicateValues" dxfId="136" priority="123"/>
  </conditionalFormatting>
  <conditionalFormatting sqref="H1572:H1582">
    <cfRule type="duplicateValues" dxfId="135" priority="122"/>
  </conditionalFormatting>
  <conditionalFormatting sqref="H1572:H1582">
    <cfRule type="duplicateValues" dxfId="134" priority="121"/>
  </conditionalFormatting>
  <conditionalFormatting sqref="H1572:H1582">
    <cfRule type="duplicateValues" dxfId="133" priority="120"/>
  </conditionalFormatting>
  <conditionalFormatting sqref="K1571:K1582">
    <cfRule type="cellIs" dxfId="132" priority="119" operator="equal">
      <formula>""""""</formula>
    </cfRule>
  </conditionalFormatting>
  <conditionalFormatting sqref="H1572:H1582">
    <cfRule type="duplicateValues" dxfId="131" priority="118"/>
  </conditionalFormatting>
  <conditionalFormatting sqref="H1572:H1582">
    <cfRule type="duplicateValues" dxfId="130" priority="117"/>
  </conditionalFormatting>
  <conditionalFormatting sqref="H1571:H1582">
    <cfRule type="duplicateValues" dxfId="129" priority="126"/>
  </conditionalFormatting>
  <conditionalFormatting sqref="H1571:H1582">
    <cfRule type="duplicateValues" dxfId="128" priority="127"/>
  </conditionalFormatting>
  <conditionalFormatting sqref="H1583:H1585">
    <cfRule type="duplicateValues" dxfId="127" priority="114"/>
  </conditionalFormatting>
  <conditionalFormatting sqref="H1583:H1585">
    <cfRule type="duplicateValues" dxfId="126" priority="113"/>
  </conditionalFormatting>
  <conditionalFormatting sqref="H1583:H1585">
    <cfRule type="duplicateValues" dxfId="125" priority="112"/>
  </conditionalFormatting>
  <conditionalFormatting sqref="H1583:H1585">
    <cfRule type="duplicateValues" dxfId="124" priority="111"/>
  </conditionalFormatting>
  <conditionalFormatting sqref="H1583:H1585">
    <cfRule type="duplicateValues" dxfId="123" priority="110"/>
  </conditionalFormatting>
  <conditionalFormatting sqref="H1583:H1585">
    <cfRule type="duplicateValues" dxfId="122" priority="109"/>
  </conditionalFormatting>
  <conditionalFormatting sqref="K1583:K1585">
    <cfRule type="cellIs" dxfId="121" priority="108" operator="equal">
      <formula>""""""</formula>
    </cfRule>
  </conditionalFormatting>
  <conditionalFormatting sqref="H1583:H1585">
    <cfRule type="duplicateValues" dxfId="120" priority="107"/>
  </conditionalFormatting>
  <conditionalFormatting sqref="H1583:H1585">
    <cfRule type="duplicateValues" dxfId="119" priority="106"/>
  </conditionalFormatting>
  <conditionalFormatting sqref="H1583:H1585">
    <cfRule type="duplicateValues" dxfId="118" priority="115"/>
  </conditionalFormatting>
  <conditionalFormatting sqref="H1583:H1585">
    <cfRule type="duplicateValues" dxfId="117" priority="116"/>
  </conditionalFormatting>
  <conditionalFormatting sqref="H234">
    <cfRule type="duplicateValues" dxfId="116" priority="105"/>
  </conditionalFormatting>
  <conditionalFormatting sqref="H234">
    <cfRule type="duplicateValues" dxfId="115" priority="104"/>
  </conditionalFormatting>
  <conditionalFormatting sqref="H234">
    <cfRule type="duplicateValues" dxfId="114" priority="103"/>
  </conditionalFormatting>
  <conditionalFormatting sqref="H234">
    <cfRule type="duplicateValues" dxfId="113" priority="102"/>
  </conditionalFormatting>
  <conditionalFormatting sqref="H234">
    <cfRule type="duplicateValues" dxfId="112" priority="101"/>
  </conditionalFormatting>
  <conditionalFormatting sqref="H234">
    <cfRule type="duplicateValues" dxfId="111" priority="100"/>
  </conditionalFormatting>
  <conditionalFormatting sqref="H234">
    <cfRule type="duplicateValues" dxfId="110" priority="99"/>
  </conditionalFormatting>
  <conditionalFormatting sqref="H234">
    <cfRule type="duplicateValues" dxfId="109" priority="98"/>
  </conditionalFormatting>
  <conditionalFormatting sqref="K234">
    <cfRule type="cellIs" dxfId="108" priority="97" operator="equal">
      <formula>""""""</formula>
    </cfRule>
  </conditionalFormatting>
  <conditionalFormatting sqref="K1586:K1599">
    <cfRule type="cellIs" dxfId="107" priority="96" operator="equal">
      <formula>""""""</formula>
    </cfRule>
  </conditionalFormatting>
  <conditionalFormatting sqref="H1586:H1599">
    <cfRule type="duplicateValues" dxfId="106" priority="95"/>
  </conditionalFormatting>
  <conditionalFormatting sqref="H1586:H1599">
    <cfRule type="duplicateValues" dxfId="105" priority="94"/>
  </conditionalFormatting>
  <conditionalFormatting sqref="H1098 H1100 H1102">
    <cfRule type="duplicateValues" dxfId="104" priority="89"/>
  </conditionalFormatting>
  <conditionalFormatting sqref="H1098 H1100 H1102">
    <cfRule type="duplicateValues" dxfId="103" priority="88"/>
  </conditionalFormatting>
  <conditionalFormatting sqref="H1098">
    <cfRule type="duplicateValues" dxfId="102" priority="87"/>
  </conditionalFormatting>
  <conditionalFormatting sqref="H1098">
    <cfRule type="duplicateValues" dxfId="101" priority="86"/>
  </conditionalFormatting>
  <conditionalFormatting sqref="H1098">
    <cfRule type="duplicateValues" dxfId="100" priority="85"/>
  </conditionalFormatting>
  <conditionalFormatting sqref="H1098">
    <cfRule type="duplicateValues" dxfId="99" priority="84"/>
  </conditionalFormatting>
  <conditionalFormatting sqref="K1098:K1104">
    <cfRule type="cellIs" dxfId="98" priority="83" operator="equal">
      <formula>""""""</formula>
    </cfRule>
  </conditionalFormatting>
  <conditionalFormatting sqref="H1099 H1101 H1103:H1104">
    <cfRule type="duplicateValues" dxfId="97" priority="81"/>
  </conditionalFormatting>
  <conditionalFormatting sqref="H1099 H1101 H1103:H1104">
    <cfRule type="duplicateValues" dxfId="96" priority="80"/>
  </conditionalFormatting>
  <conditionalFormatting sqref="H1099">
    <cfRule type="duplicateValues" dxfId="95" priority="79"/>
  </conditionalFormatting>
  <conditionalFormatting sqref="H1099">
    <cfRule type="duplicateValues" dxfId="94" priority="78"/>
  </conditionalFormatting>
  <conditionalFormatting sqref="H1099">
    <cfRule type="duplicateValues" dxfId="93" priority="77"/>
  </conditionalFormatting>
  <conditionalFormatting sqref="H1099">
    <cfRule type="duplicateValues" dxfId="92" priority="76"/>
  </conditionalFormatting>
  <conditionalFormatting sqref="H1099">
    <cfRule type="duplicateValues" dxfId="91" priority="75"/>
  </conditionalFormatting>
  <conditionalFormatting sqref="H1099">
    <cfRule type="duplicateValues" dxfId="90" priority="74"/>
  </conditionalFormatting>
  <conditionalFormatting sqref="B1098:B1104">
    <cfRule type="duplicateValues" dxfId="89" priority="82"/>
  </conditionalFormatting>
  <conditionalFormatting sqref="K1098:K1104">
    <cfRule type="duplicateValues" dxfId="88" priority="90"/>
  </conditionalFormatting>
  <conditionalFormatting sqref="K1098:K1104">
    <cfRule type="duplicateValues" dxfId="87" priority="91"/>
  </conditionalFormatting>
  <conditionalFormatting sqref="H1098">
    <cfRule type="duplicateValues" dxfId="86" priority="92"/>
  </conditionalFormatting>
  <conditionalFormatting sqref="H1098">
    <cfRule type="duplicateValues" dxfId="85" priority="93"/>
  </conditionalFormatting>
  <conditionalFormatting sqref="K1081:K1088 K1090:K1091 K1093:K1097 K1105:K1117">
    <cfRule type="duplicateValues" dxfId="84" priority="4346"/>
  </conditionalFormatting>
  <conditionalFormatting sqref="K1081:K1088 K1090:K1091 K1093:K1097 K1105:K1117">
    <cfRule type="duplicateValues" dxfId="83" priority="4350"/>
  </conditionalFormatting>
  <conditionalFormatting sqref="H1097">
    <cfRule type="duplicateValues" dxfId="82" priority="4356"/>
  </conditionalFormatting>
  <conditionalFormatting sqref="H1097">
    <cfRule type="duplicateValues" dxfId="81" priority="4357"/>
  </conditionalFormatting>
  <conditionalFormatting sqref="B1097:G1097">
    <cfRule type="duplicateValues" dxfId="80" priority="4364"/>
  </conditionalFormatting>
  <conditionalFormatting sqref="K1295">
    <cfRule type="cellIs" dxfId="79" priority="70" operator="equal">
      <formula>""""""</formula>
    </cfRule>
  </conditionalFormatting>
  <conditionalFormatting sqref="H1295">
    <cfRule type="duplicateValues" dxfId="78" priority="71"/>
  </conditionalFormatting>
  <conditionalFormatting sqref="H1295">
    <cfRule type="duplicateValues" dxfId="77" priority="72"/>
  </conditionalFormatting>
  <conditionalFormatting sqref="H1295">
    <cfRule type="duplicateValues" dxfId="76" priority="73"/>
  </conditionalFormatting>
  <conditionalFormatting sqref="H90:H91">
    <cfRule type="duplicateValues" dxfId="75" priority="67"/>
  </conditionalFormatting>
  <conditionalFormatting sqref="H90:H91">
    <cfRule type="duplicateValues" dxfId="74" priority="66"/>
  </conditionalFormatting>
  <conditionalFormatting sqref="H90:H91">
    <cfRule type="duplicateValues" dxfId="73" priority="65"/>
  </conditionalFormatting>
  <conditionalFormatting sqref="H90:H91">
    <cfRule type="duplicateValues" dxfId="72" priority="64"/>
  </conditionalFormatting>
  <conditionalFormatting sqref="K90:K91">
    <cfRule type="cellIs" dxfId="71" priority="63" operator="equal">
      <formula>""""""</formula>
    </cfRule>
  </conditionalFormatting>
  <conditionalFormatting sqref="H90:H91">
    <cfRule type="duplicateValues" dxfId="70" priority="68"/>
  </conditionalFormatting>
  <conditionalFormatting sqref="H90:H91">
    <cfRule type="duplicateValues" dxfId="69" priority="69"/>
  </conditionalFormatting>
  <conditionalFormatting sqref="H92">
    <cfRule type="duplicateValues" dxfId="68" priority="60"/>
  </conditionalFormatting>
  <conditionalFormatting sqref="H92">
    <cfRule type="duplicateValues" dxfId="67" priority="59"/>
  </conditionalFormatting>
  <conditionalFormatting sqref="H92">
    <cfRule type="duplicateValues" dxfId="66" priority="58"/>
  </conditionalFormatting>
  <conditionalFormatting sqref="H92">
    <cfRule type="duplicateValues" dxfId="65" priority="57"/>
  </conditionalFormatting>
  <conditionalFormatting sqref="K92">
    <cfRule type="cellIs" dxfId="64" priority="56" operator="equal">
      <formula>""""""</formula>
    </cfRule>
  </conditionalFormatting>
  <conditionalFormatting sqref="H92">
    <cfRule type="duplicateValues" dxfId="63" priority="61"/>
  </conditionalFormatting>
  <conditionalFormatting sqref="H92">
    <cfRule type="duplicateValues" dxfId="62" priority="62"/>
  </conditionalFormatting>
  <conditionalFormatting sqref="K1296">
    <cfRule type="cellIs" dxfId="61" priority="52" operator="equal">
      <formula>""""""</formula>
    </cfRule>
  </conditionalFormatting>
  <conditionalFormatting sqref="H1296">
    <cfRule type="duplicateValues" dxfId="60" priority="53"/>
  </conditionalFormatting>
  <conditionalFormatting sqref="H1296">
    <cfRule type="duplicateValues" dxfId="59" priority="54"/>
  </conditionalFormatting>
  <conditionalFormatting sqref="H1296">
    <cfRule type="duplicateValues" dxfId="58" priority="55"/>
  </conditionalFormatting>
  <conditionalFormatting sqref="K1399">
    <cfRule type="cellIs" dxfId="57" priority="51" operator="equal">
      <formula>""""""</formula>
    </cfRule>
  </conditionalFormatting>
  <conditionalFormatting sqref="K1399">
    <cfRule type="cellIs" dxfId="56" priority="50" operator="equal">
      <formula>""""""</formula>
    </cfRule>
  </conditionalFormatting>
  <conditionalFormatting sqref="H1399">
    <cfRule type="duplicateValues" dxfId="55" priority="49"/>
  </conditionalFormatting>
  <conditionalFormatting sqref="H443:H447">
    <cfRule type="duplicateValues" dxfId="54" priority="46"/>
  </conditionalFormatting>
  <conditionalFormatting sqref="H443:H447">
    <cfRule type="duplicateValues" dxfId="53" priority="45"/>
  </conditionalFormatting>
  <conditionalFormatting sqref="H443:H447">
    <cfRule type="duplicateValues" dxfId="52" priority="44"/>
  </conditionalFormatting>
  <conditionalFormatting sqref="H443:H447">
    <cfRule type="duplicateValues" dxfId="51" priority="43"/>
  </conditionalFormatting>
  <conditionalFormatting sqref="H443:H447">
    <cfRule type="duplicateValues" dxfId="50" priority="42"/>
  </conditionalFormatting>
  <conditionalFormatting sqref="H443:H447">
    <cfRule type="duplicateValues" dxfId="49" priority="41"/>
  </conditionalFormatting>
  <conditionalFormatting sqref="K443:K447">
    <cfRule type="cellIs" dxfId="48" priority="40" operator="equal">
      <formula>""""""</formula>
    </cfRule>
  </conditionalFormatting>
  <conditionalFormatting sqref="H443:H447">
    <cfRule type="duplicateValues" dxfId="47" priority="47"/>
  </conditionalFormatting>
  <conditionalFormatting sqref="H443:H447">
    <cfRule type="duplicateValues" dxfId="46" priority="48"/>
  </conditionalFormatting>
  <conditionalFormatting sqref="B421:B442">
    <cfRule type="duplicateValues" dxfId="45" priority="4988"/>
  </conditionalFormatting>
  <conditionalFormatting sqref="H421:H442">
    <cfRule type="duplicateValues" dxfId="44" priority="4989"/>
  </conditionalFormatting>
  <conditionalFormatting sqref="H421:H442">
    <cfRule type="duplicateValues" dxfId="43" priority="4990"/>
  </conditionalFormatting>
  <conditionalFormatting sqref="H482">
    <cfRule type="duplicateValues" dxfId="42" priority="37"/>
  </conditionalFormatting>
  <conditionalFormatting sqref="H482">
    <cfRule type="duplicateValues" dxfId="41" priority="36"/>
  </conditionalFormatting>
  <conditionalFormatting sqref="H482">
    <cfRule type="duplicateValues" dxfId="40" priority="35"/>
  </conditionalFormatting>
  <conditionalFormatting sqref="H482">
    <cfRule type="duplicateValues" dxfId="39" priority="34"/>
  </conditionalFormatting>
  <conditionalFormatting sqref="H482">
    <cfRule type="duplicateValues" dxfId="38" priority="33"/>
  </conditionalFormatting>
  <conditionalFormatting sqref="H482">
    <cfRule type="duplicateValues" dxfId="37" priority="32"/>
  </conditionalFormatting>
  <conditionalFormatting sqref="K482">
    <cfRule type="cellIs" dxfId="36" priority="31" operator="equal">
      <formula>""""""</formula>
    </cfRule>
  </conditionalFormatting>
  <conditionalFormatting sqref="H482">
    <cfRule type="duplicateValues" dxfId="35" priority="38"/>
  </conditionalFormatting>
  <conditionalFormatting sqref="H482">
    <cfRule type="duplicateValues" dxfId="34" priority="39"/>
  </conditionalFormatting>
  <conditionalFormatting sqref="K1221">
    <cfRule type="cellIs" dxfId="33" priority="24" operator="equal">
      <formula>""""""</formula>
    </cfRule>
  </conditionalFormatting>
  <conditionalFormatting sqref="H1221">
    <cfRule type="duplicateValues" dxfId="32" priority="23"/>
  </conditionalFormatting>
  <conditionalFormatting sqref="H1221">
    <cfRule type="duplicateValues" dxfId="31" priority="22"/>
  </conditionalFormatting>
  <conditionalFormatting sqref="H1221">
    <cfRule type="duplicateValues" dxfId="30" priority="21"/>
  </conditionalFormatting>
  <conditionalFormatting sqref="H1221">
    <cfRule type="duplicateValues" dxfId="29" priority="20"/>
  </conditionalFormatting>
  <conditionalFormatting sqref="H1221">
    <cfRule type="duplicateValues" dxfId="28" priority="19"/>
  </conditionalFormatting>
  <conditionalFormatting sqref="H1221">
    <cfRule type="duplicateValues" dxfId="27" priority="18"/>
  </conditionalFormatting>
  <conditionalFormatting sqref="K1221">
    <cfRule type="cellIs" dxfId="26" priority="17" operator="equal">
      <formula>""""""</formula>
    </cfRule>
  </conditionalFormatting>
  <conditionalFormatting sqref="H1221">
    <cfRule type="duplicateValues" dxfId="25" priority="16"/>
  </conditionalFormatting>
  <conditionalFormatting sqref="H1221">
    <cfRule type="duplicateValues" dxfId="24" priority="15"/>
  </conditionalFormatting>
  <conditionalFormatting sqref="H1221">
    <cfRule type="duplicateValues" dxfId="23" priority="14"/>
  </conditionalFormatting>
  <conditionalFormatting sqref="H1221">
    <cfRule type="duplicateValues" dxfId="22" priority="25"/>
  </conditionalFormatting>
  <conditionalFormatting sqref="H1221">
    <cfRule type="duplicateValues" dxfId="21" priority="26"/>
  </conditionalFormatting>
  <conditionalFormatting sqref="H1221">
    <cfRule type="duplicateValues" dxfId="20" priority="27"/>
  </conditionalFormatting>
  <conditionalFormatting sqref="H1221">
    <cfRule type="duplicateValues" dxfId="19" priority="28"/>
  </conditionalFormatting>
  <conditionalFormatting sqref="H1221">
    <cfRule type="duplicateValues" dxfId="18" priority="29"/>
  </conditionalFormatting>
  <conditionalFormatting sqref="H1221">
    <cfRule type="duplicateValues" dxfId="17" priority="30"/>
  </conditionalFormatting>
  <conditionalFormatting sqref="H1317:H1320">
    <cfRule type="duplicateValues" dxfId="16" priority="9"/>
  </conditionalFormatting>
  <conditionalFormatting sqref="H1317:H1320">
    <cfRule type="duplicateValues" dxfId="15" priority="8"/>
  </conditionalFormatting>
  <conditionalFormatting sqref="H1317:H1320">
    <cfRule type="duplicateValues" dxfId="14" priority="7"/>
  </conditionalFormatting>
  <conditionalFormatting sqref="H1317:H1320">
    <cfRule type="duplicateValues" dxfId="13" priority="6"/>
  </conditionalFormatting>
  <conditionalFormatting sqref="H1317:H1320">
    <cfRule type="duplicateValues" dxfId="12" priority="5"/>
  </conditionalFormatting>
  <conditionalFormatting sqref="H1317:H1320">
    <cfRule type="duplicateValues" dxfId="11" priority="4"/>
  </conditionalFormatting>
  <conditionalFormatting sqref="K1317:K1320">
    <cfRule type="cellIs" dxfId="10" priority="3" operator="equal">
      <formula>""""""</formula>
    </cfRule>
  </conditionalFormatting>
  <conditionalFormatting sqref="H1317:H1320">
    <cfRule type="duplicateValues" dxfId="9" priority="2"/>
  </conditionalFormatting>
  <conditionalFormatting sqref="H1317:H1320">
    <cfRule type="duplicateValues" dxfId="8" priority="1"/>
  </conditionalFormatting>
  <conditionalFormatting sqref="H1317:H1320">
    <cfRule type="duplicateValues" dxfId="7" priority="10"/>
  </conditionalFormatting>
  <conditionalFormatting sqref="H1317:H1320">
    <cfRule type="duplicateValues" dxfId="6" priority="11"/>
  </conditionalFormatting>
  <conditionalFormatting sqref="B1317:B1320">
    <cfRule type="duplicateValues" dxfId="5" priority="12"/>
  </conditionalFormatting>
  <conditionalFormatting sqref="B1317:B1320">
    <cfRule type="duplicateValues" dxfId="4" priority="13"/>
  </conditionalFormatting>
  <conditionalFormatting sqref="H1298:H1314 H1316">
    <cfRule type="duplicateValues" dxfId="3" priority="5206"/>
  </conditionalFormatting>
  <conditionalFormatting sqref="H1298:H1314 H1316">
    <cfRule type="duplicateValues" dxfId="2" priority="5208"/>
  </conditionalFormatting>
  <conditionalFormatting sqref="B1316">
    <cfRule type="duplicateValues" dxfId="1" priority="5265"/>
  </conditionalFormatting>
  <conditionalFormatting sqref="B1316">
    <cfRule type="duplicateValues" dxfId="0" priority="5266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JsonFileCreate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590550</xdr:colOff>
                <xdr:row>1</xdr:row>
                <xdr:rowOff>19050</xdr:rowOff>
              </to>
            </anchor>
          </controlPr>
        </control>
      </mc:Choice>
      <mc:Fallback>
        <control shapeId="3073" r:id="rId4" name="JsonFile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B0838-948C-46D1-BAA5-94D785B4ECD8}">
  <sheetPr codeName="Sheet4">
    <tabColor rgb="FFFF3300"/>
  </sheetPr>
  <dimension ref="A2:H321"/>
  <sheetViews>
    <sheetView workbookViewId="0">
      <pane xSplit="1" topLeftCell="B1" activePane="topRight" state="frozen"/>
      <selection pane="topRight" activeCell="C35" sqref="C35"/>
    </sheetView>
  </sheetViews>
  <sheetFormatPr defaultRowHeight="16.5" x14ac:dyDescent="0.3"/>
  <cols>
    <col min="1" max="1" width="12.5" customWidth="1"/>
    <col min="2" max="2" width="12.125" style="13" bestFit="1" customWidth="1"/>
    <col min="3" max="3" width="8.5" style="13" bestFit="1" customWidth="1"/>
    <col min="4" max="4" width="22.5" style="13" bestFit="1" customWidth="1"/>
    <col min="5" max="5" width="8.75" style="13" bestFit="1" customWidth="1"/>
    <col min="6" max="6" width="17.5" style="13" customWidth="1"/>
    <col min="7" max="7" width="54.375" style="13" bestFit="1" customWidth="1"/>
    <col min="8" max="8" width="39.375" customWidth="1"/>
    <col min="9" max="9" width="9.625" customWidth="1"/>
  </cols>
  <sheetData>
    <row r="2" spans="1:8" ht="16.5" customHeight="1" x14ac:dyDescent="0.3">
      <c r="A2" s="10" t="s">
        <v>14</v>
      </c>
      <c r="B2" s="6" t="str">
        <f>'!명세서'!F6</f>
        <v>언리얼 필수값</v>
      </c>
      <c r="C2" s="6" t="str">
        <f>'!명세서'!F12</f>
        <v>에러ID</v>
      </c>
      <c r="D2" s="6" t="str">
        <f>'!명세서'!F13</f>
        <v>기획 참고용</v>
      </c>
      <c r="E2" s="6" t="str">
        <f>'!명세서'!F14</f>
        <v>에러TYPE</v>
      </c>
      <c r="F2" s="6" t="str">
        <f>'!명세서'!F15</f>
        <v>연결 스트링메시지ID</v>
      </c>
      <c r="G2" s="6" t="str">
        <f>'!명세서'!F18</f>
        <v>기획참조</v>
      </c>
      <c r="H2" s="8" t="str">
        <f>'!명세서'!F19</f>
        <v>기획참조</v>
      </c>
    </row>
    <row r="3" spans="1:8" x14ac:dyDescent="0.3">
      <c r="A3" s="11" t="s">
        <v>1</v>
      </c>
      <c r="B3" s="7" t="str">
        <f>'!명세서'!C6</f>
        <v>int</v>
      </c>
      <c r="C3" s="7" t="str">
        <f>'!명세서'!C12</f>
        <v>int</v>
      </c>
      <c r="D3" s="7" t="str">
        <f>'!명세서'!C13</f>
        <v>string</v>
      </c>
      <c r="E3" s="7" t="str">
        <f>'!명세서'!C14</f>
        <v>int</v>
      </c>
      <c r="F3" s="7" t="str">
        <f>'!명세서'!C15</f>
        <v>int</v>
      </c>
      <c r="G3" s="7" t="str">
        <f>'!명세서'!C18</f>
        <v>text</v>
      </c>
      <c r="H3" s="9" t="str">
        <f>'!명세서'!C19</f>
        <v>text</v>
      </c>
    </row>
    <row r="4" spans="1:8" x14ac:dyDescent="0.3">
      <c r="A4" s="12" t="s">
        <v>6</v>
      </c>
      <c r="B4" s="17" t="str">
        <f>'!명세서'!B6</f>
        <v>Name</v>
      </c>
      <c r="C4" s="17" t="str">
        <f>'!명세서'!B12</f>
        <v>ErrorId</v>
      </c>
      <c r="D4" s="17" t="str">
        <f>'!명세서'!B13</f>
        <v>!ErrorType</v>
      </c>
      <c r="E4" s="17" t="str">
        <f>'!명세서'!B14</f>
        <v>ErrorType</v>
      </c>
      <c r="F4" s="17" t="str">
        <f>'!명세서'!B15</f>
        <v>LinkStringId</v>
      </c>
      <c r="G4" s="17" t="str">
        <f>'!명세서'!B18</f>
        <v>!에러코더</v>
      </c>
      <c r="H4" s="18" t="str">
        <f>'!명세서'!B19</f>
        <v>!에러설명</v>
      </c>
    </row>
    <row r="5" spans="1:8" x14ac:dyDescent="0.25">
      <c r="B5" s="19">
        <f>'!STRING_ERROR(20181214)'!$C5</f>
        <v>1</v>
      </c>
      <c r="C5" s="20">
        <v>1</v>
      </c>
      <c r="D5" s="20" t="s">
        <v>190</v>
      </c>
      <c r="E5" s="19">
        <v>99</v>
      </c>
      <c r="F5" s="19">
        <v>1400001</v>
      </c>
      <c r="G5" s="20" t="s">
        <v>325</v>
      </c>
      <c r="H5" s="21" t="s">
        <v>391</v>
      </c>
    </row>
    <row r="6" spans="1:8" x14ac:dyDescent="0.25">
      <c r="B6" s="19">
        <f>'!STRING_ERROR(20181214)'!$C6</f>
        <v>2</v>
      </c>
      <c r="C6" s="20">
        <v>2</v>
      </c>
      <c r="D6" s="20" t="s">
        <v>190</v>
      </c>
      <c r="E6" s="19">
        <v>99</v>
      </c>
      <c r="F6" s="19">
        <f>F5+1</f>
        <v>1400002</v>
      </c>
      <c r="G6" s="20" t="s">
        <v>326</v>
      </c>
      <c r="H6" s="21" t="s">
        <v>392</v>
      </c>
    </row>
    <row r="7" spans="1:8" x14ac:dyDescent="0.25">
      <c r="B7" s="19">
        <f>'!STRING_ERROR(20181214)'!$C7</f>
        <v>3</v>
      </c>
      <c r="C7" s="20">
        <v>3</v>
      </c>
      <c r="D7" s="20" t="s">
        <v>190</v>
      </c>
      <c r="E7" s="19">
        <v>99</v>
      </c>
      <c r="F7" s="19">
        <f t="shared" ref="F7:F70" si="0">F6+1</f>
        <v>1400003</v>
      </c>
      <c r="G7" s="20" t="s">
        <v>327</v>
      </c>
      <c r="H7" s="21" t="s">
        <v>393</v>
      </c>
    </row>
    <row r="8" spans="1:8" x14ac:dyDescent="0.25">
      <c r="B8" s="19">
        <f>'!STRING_ERROR(20181214)'!$C8</f>
        <v>4</v>
      </c>
      <c r="C8" s="20">
        <v>4</v>
      </c>
      <c r="D8" s="20" t="s">
        <v>190</v>
      </c>
      <c r="E8" s="19">
        <v>99</v>
      </c>
      <c r="F8" s="19">
        <f t="shared" si="0"/>
        <v>1400004</v>
      </c>
      <c r="G8" s="20" t="s">
        <v>328</v>
      </c>
      <c r="H8" s="21" t="s">
        <v>394</v>
      </c>
    </row>
    <row r="9" spans="1:8" x14ac:dyDescent="0.25">
      <c r="B9" s="19">
        <f>'!STRING_ERROR(20181214)'!$C9</f>
        <v>5</v>
      </c>
      <c r="C9" s="20">
        <v>5</v>
      </c>
      <c r="D9" s="20" t="s">
        <v>190</v>
      </c>
      <c r="E9" s="19">
        <v>99</v>
      </c>
      <c r="F9" s="19">
        <f t="shared" si="0"/>
        <v>1400005</v>
      </c>
      <c r="G9" s="20" t="s">
        <v>329</v>
      </c>
      <c r="H9" s="21" t="s">
        <v>395</v>
      </c>
    </row>
    <row r="10" spans="1:8" x14ac:dyDescent="0.25">
      <c r="B10" s="19">
        <f>'!STRING_ERROR(20181214)'!$C10</f>
        <v>6</v>
      </c>
      <c r="C10" s="20">
        <v>6</v>
      </c>
      <c r="D10" s="20" t="s">
        <v>190</v>
      </c>
      <c r="E10" s="19">
        <v>99</v>
      </c>
      <c r="F10" s="19">
        <f t="shared" si="0"/>
        <v>1400006</v>
      </c>
      <c r="G10" s="20" t="s">
        <v>330</v>
      </c>
      <c r="H10" s="21" t="s">
        <v>396</v>
      </c>
    </row>
    <row r="11" spans="1:8" x14ac:dyDescent="0.25">
      <c r="B11" s="19">
        <f>'!STRING_ERROR(20181214)'!$C11</f>
        <v>7</v>
      </c>
      <c r="C11" s="20">
        <v>7</v>
      </c>
      <c r="D11" s="20" t="s">
        <v>190</v>
      </c>
      <c r="E11" s="19">
        <v>99</v>
      </c>
      <c r="F11" s="19">
        <f t="shared" si="0"/>
        <v>1400007</v>
      </c>
      <c r="G11" s="20" t="s">
        <v>331</v>
      </c>
      <c r="H11" s="21" t="s">
        <v>397</v>
      </c>
    </row>
    <row r="12" spans="1:8" x14ac:dyDescent="0.25">
      <c r="B12" s="19">
        <f>'!STRING_ERROR(20181214)'!$C12</f>
        <v>8</v>
      </c>
      <c r="C12" s="20">
        <v>8</v>
      </c>
      <c r="D12" s="20" t="s">
        <v>190</v>
      </c>
      <c r="E12" s="19">
        <v>99</v>
      </c>
      <c r="F12" s="19">
        <f t="shared" si="0"/>
        <v>1400008</v>
      </c>
      <c r="G12" s="20" t="s">
        <v>332</v>
      </c>
      <c r="H12" s="21" t="s">
        <v>398</v>
      </c>
    </row>
    <row r="13" spans="1:8" x14ac:dyDescent="0.25">
      <c r="B13" s="19">
        <f>'!STRING_ERROR(20181214)'!$C13</f>
        <v>101</v>
      </c>
      <c r="C13" s="20">
        <v>101</v>
      </c>
      <c r="D13" s="20" t="s">
        <v>190</v>
      </c>
      <c r="E13" s="19">
        <v>99</v>
      </c>
      <c r="F13" s="19">
        <f t="shared" si="0"/>
        <v>1400009</v>
      </c>
      <c r="G13" s="20" t="s">
        <v>333</v>
      </c>
      <c r="H13" s="21" t="s">
        <v>399</v>
      </c>
    </row>
    <row r="14" spans="1:8" x14ac:dyDescent="0.25">
      <c r="B14" s="19">
        <f>'!STRING_ERROR(20181214)'!$C14</f>
        <v>201</v>
      </c>
      <c r="C14" s="20">
        <v>201</v>
      </c>
      <c r="D14" s="20" t="s">
        <v>190</v>
      </c>
      <c r="E14" s="19">
        <v>99</v>
      </c>
      <c r="F14" s="19">
        <f t="shared" si="0"/>
        <v>1400010</v>
      </c>
      <c r="G14" s="20" t="s">
        <v>334</v>
      </c>
      <c r="H14" s="21" t="s">
        <v>400</v>
      </c>
    </row>
    <row r="15" spans="1:8" x14ac:dyDescent="0.25">
      <c r="B15" s="19">
        <f>'!STRING_ERROR(20181214)'!$C15</f>
        <v>203</v>
      </c>
      <c r="C15" s="20">
        <v>203</v>
      </c>
      <c r="D15" s="20" t="s">
        <v>190</v>
      </c>
      <c r="E15" s="19">
        <v>99</v>
      </c>
      <c r="F15" s="19">
        <f t="shared" si="0"/>
        <v>1400011</v>
      </c>
      <c r="G15" s="20" t="s">
        <v>335</v>
      </c>
      <c r="H15" s="21" t="s">
        <v>401</v>
      </c>
    </row>
    <row r="16" spans="1:8" x14ac:dyDescent="0.25">
      <c r="B16" s="19">
        <f>'!STRING_ERROR(20181214)'!$C16</f>
        <v>204</v>
      </c>
      <c r="C16" s="20">
        <v>204</v>
      </c>
      <c r="D16" s="20" t="s">
        <v>190</v>
      </c>
      <c r="E16" s="19">
        <v>99</v>
      </c>
      <c r="F16" s="19">
        <f t="shared" si="0"/>
        <v>1400012</v>
      </c>
      <c r="G16" s="20" t="s">
        <v>336</v>
      </c>
      <c r="H16" s="21" t="s">
        <v>402</v>
      </c>
    </row>
    <row r="17" spans="2:8" x14ac:dyDescent="0.25">
      <c r="B17" s="19">
        <f>'!STRING_ERROR(20181214)'!$C17</f>
        <v>301</v>
      </c>
      <c r="C17" s="20">
        <v>301</v>
      </c>
      <c r="D17" s="20" t="s">
        <v>190</v>
      </c>
      <c r="E17" s="19">
        <v>99</v>
      </c>
      <c r="F17" s="19">
        <f t="shared" si="0"/>
        <v>1400013</v>
      </c>
      <c r="G17" s="20" t="s">
        <v>337</v>
      </c>
      <c r="H17" s="21" t="s">
        <v>403</v>
      </c>
    </row>
    <row r="18" spans="2:8" x14ac:dyDescent="0.25">
      <c r="B18" s="19">
        <f>'!STRING_ERROR(20181214)'!$C18</f>
        <v>302</v>
      </c>
      <c r="C18" s="20">
        <v>302</v>
      </c>
      <c r="D18" s="20" t="s">
        <v>190</v>
      </c>
      <c r="E18" s="19">
        <v>99</v>
      </c>
      <c r="F18" s="19">
        <f t="shared" si="0"/>
        <v>1400014</v>
      </c>
      <c r="G18" s="20" t="s">
        <v>338</v>
      </c>
      <c r="H18" s="21" t="s">
        <v>404</v>
      </c>
    </row>
    <row r="19" spans="2:8" x14ac:dyDescent="0.25">
      <c r="B19" s="19">
        <f>'!STRING_ERROR(20181214)'!$C19</f>
        <v>401</v>
      </c>
      <c r="C19" s="20">
        <v>401</v>
      </c>
      <c r="D19" s="20" t="s">
        <v>190</v>
      </c>
      <c r="E19" s="19">
        <v>99</v>
      </c>
      <c r="F19" s="19">
        <f t="shared" si="0"/>
        <v>1400015</v>
      </c>
      <c r="G19" s="20" t="s">
        <v>339</v>
      </c>
      <c r="H19" s="21" t="s">
        <v>399</v>
      </c>
    </row>
    <row r="20" spans="2:8" x14ac:dyDescent="0.25">
      <c r="B20" s="19">
        <f>'!STRING_ERROR(20181214)'!$C20</f>
        <v>402</v>
      </c>
      <c r="C20" s="20">
        <v>402</v>
      </c>
      <c r="D20" s="20" t="s">
        <v>190</v>
      </c>
      <c r="E20" s="19">
        <v>99</v>
      </c>
      <c r="F20" s="19">
        <f t="shared" si="0"/>
        <v>1400016</v>
      </c>
      <c r="G20" s="20" t="s">
        <v>340</v>
      </c>
      <c r="H20" s="21" t="s">
        <v>401</v>
      </c>
    </row>
    <row r="21" spans="2:8" x14ac:dyDescent="0.25">
      <c r="B21" s="19">
        <f>'!STRING_ERROR(20181214)'!$C21</f>
        <v>403</v>
      </c>
      <c r="C21" s="20">
        <v>403</v>
      </c>
      <c r="D21" s="20" t="s">
        <v>190</v>
      </c>
      <c r="E21" s="19">
        <v>99</v>
      </c>
      <c r="F21" s="19">
        <f t="shared" si="0"/>
        <v>1400017</v>
      </c>
      <c r="G21" s="20" t="s">
        <v>341</v>
      </c>
      <c r="H21" s="21" t="s">
        <v>405</v>
      </c>
    </row>
    <row r="22" spans="2:8" x14ac:dyDescent="0.25">
      <c r="B22" s="19">
        <f>'!STRING_ERROR(20181214)'!$C22</f>
        <v>404</v>
      </c>
      <c r="C22" s="20">
        <v>404</v>
      </c>
      <c r="D22" s="20" t="s">
        <v>190</v>
      </c>
      <c r="E22" s="19">
        <v>99</v>
      </c>
      <c r="F22" s="19">
        <f t="shared" si="0"/>
        <v>1400018</v>
      </c>
      <c r="G22" s="20" t="s">
        <v>342</v>
      </c>
      <c r="H22" s="21" t="s">
        <v>406</v>
      </c>
    </row>
    <row r="23" spans="2:8" x14ac:dyDescent="0.25">
      <c r="B23" s="19">
        <f>'!STRING_ERROR(20181214)'!$C23</f>
        <v>405</v>
      </c>
      <c r="C23" s="20">
        <v>405</v>
      </c>
      <c r="D23" s="20" t="s">
        <v>190</v>
      </c>
      <c r="E23" s="19">
        <v>99</v>
      </c>
      <c r="F23" s="19">
        <f t="shared" si="0"/>
        <v>1400019</v>
      </c>
      <c r="G23" s="20" t="s">
        <v>343</v>
      </c>
      <c r="H23" s="21" t="s">
        <v>407</v>
      </c>
    </row>
    <row r="24" spans="2:8" x14ac:dyDescent="0.25">
      <c r="B24" s="19">
        <f>'!STRING_ERROR(20181214)'!$C24</f>
        <v>406</v>
      </c>
      <c r="C24" s="20">
        <v>406</v>
      </c>
      <c r="D24" s="20" t="s">
        <v>190</v>
      </c>
      <c r="E24" s="19">
        <v>99</v>
      </c>
      <c r="F24" s="19">
        <f t="shared" si="0"/>
        <v>1400020</v>
      </c>
      <c r="G24" s="20" t="s">
        <v>344</v>
      </c>
      <c r="H24" s="21" t="s">
        <v>408</v>
      </c>
    </row>
    <row r="25" spans="2:8" x14ac:dyDescent="0.25">
      <c r="B25" s="19">
        <f>'!STRING_ERROR(20181214)'!$C25</f>
        <v>501</v>
      </c>
      <c r="C25" s="20">
        <v>501</v>
      </c>
      <c r="D25" s="20" t="s">
        <v>190</v>
      </c>
      <c r="E25" s="19">
        <v>99</v>
      </c>
      <c r="F25" s="19">
        <f t="shared" si="0"/>
        <v>1400021</v>
      </c>
      <c r="G25" s="20" t="s">
        <v>345</v>
      </c>
      <c r="H25" s="21" t="s">
        <v>409</v>
      </c>
    </row>
    <row r="26" spans="2:8" x14ac:dyDescent="0.25">
      <c r="B26" s="19">
        <f>'!STRING_ERROR(20181214)'!$C26</f>
        <v>502</v>
      </c>
      <c r="C26" s="20">
        <v>502</v>
      </c>
      <c r="D26" s="20" t="s">
        <v>190</v>
      </c>
      <c r="E26" s="19">
        <v>99</v>
      </c>
      <c r="F26" s="19">
        <f t="shared" si="0"/>
        <v>1400022</v>
      </c>
      <c r="G26" s="20" t="s">
        <v>346</v>
      </c>
      <c r="H26" s="21" t="s">
        <v>410</v>
      </c>
    </row>
    <row r="27" spans="2:8" x14ac:dyDescent="0.25">
      <c r="B27" s="19">
        <f>'!STRING_ERROR(20181214)'!$C27</f>
        <v>601</v>
      </c>
      <c r="C27" s="20">
        <v>601</v>
      </c>
      <c r="D27" s="20" t="s">
        <v>190</v>
      </c>
      <c r="E27" s="19">
        <v>99</v>
      </c>
      <c r="F27" s="19">
        <f t="shared" si="0"/>
        <v>1400023</v>
      </c>
      <c r="G27" s="20" t="s">
        <v>347</v>
      </c>
      <c r="H27" s="21" t="s">
        <v>411</v>
      </c>
    </row>
    <row r="28" spans="2:8" x14ac:dyDescent="0.25">
      <c r="B28" s="19">
        <f>'!STRING_ERROR(20181214)'!$C28</f>
        <v>602</v>
      </c>
      <c r="C28" s="20">
        <v>602</v>
      </c>
      <c r="D28" s="20" t="s">
        <v>190</v>
      </c>
      <c r="E28" s="19">
        <v>99</v>
      </c>
      <c r="F28" s="19">
        <f t="shared" si="0"/>
        <v>1400024</v>
      </c>
      <c r="G28" s="20" t="s">
        <v>348</v>
      </c>
      <c r="H28" s="21" t="s">
        <v>401</v>
      </c>
    </row>
    <row r="29" spans="2:8" x14ac:dyDescent="0.25">
      <c r="B29" s="19">
        <f>'!STRING_ERROR(20181214)'!$C29</f>
        <v>603</v>
      </c>
      <c r="C29" s="20">
        <v>603</v>
      </c>
      <c r="D29" s="20" t="s">
        <v>190</v>
      </c>
      <c r="E29" s="19">
        <v>99</v>
      </c>
      <c r="F29" s="19">
        <f t="shared" si="0"/>
        <v>1400025</v>
      </c>
      <c r="G29" s="20" t="s">
        <v>349</v>
      </c>
      <c r="H29" s="21" t="s">
        <v>412</v>
      </c>
    </row>
    <row r="30" spans="2:8" x14ac:dyDescent="0.25">
      <c r="B30" s="19">
        <f>'!STRING_ERROR(20181214)'!$C30</f>
        <v>604</v>
      </c>
      <c r="C30" s="20">
        <v>604</v>
      </c>
      <c r="D30" s="20" t="s">
        <v>190</v>
      </c>
      <c r="E30" s="19">
        <v>99</v>
      </c>
      <c r="F30" s="19">
        <f t="shared" si="0"/>
        <v>1400026</v>
      </c>
      <c r="G30" s="20" t="s">
        <v>350</v>
      </c>
      <c r="H30" s="21" t="s">
        <v>413</v>
      </c>
    </row>
    <row r="31" spans="2:8" x14ac:dyDescent="0.25">
      <c r="B31" s="19">
        <f>'!STRING_ERROR(20181214)'!$C31</f>
        <v>701</v>
      </c>
      <c r="C31" s="20">
        <v>701</v>
      </c>
      <c r="D31" s="20" t="s">
        <v>190</v>
      </c>
      <c r="E31" s="19">
        <v>99</v>
      </c>
      <c r="F31" s="19">
        <f t="shared" si="0"/>
        <v>1400027</v>
      </c>
      <c r="G31" s="20" t="s">
        <v>351</v>
      </c>
      <c r="H31" s="21" t="s">
        <v>414</v>
      </c>
    </row>
    <row r="32" spans="2:8" x14ac:dyDescent="0.25">
      <c r="B32" s="19">
        <f>'!STRING_ERROR(20181214)'!$C32</f>
        <v>702</v>
      </c>
      <c r="C32" s="20">
        <v>702</v>
      </c>
      <c r="D32" s="20" t="s">
        <v>190</v>
      </c>
      <c r="E32" s="19">
        <v>99</v>
      </c>
      <c r="F32" s="19">
        <f t="shared" si="0"/>
        <v>1400028</v>
      </c>
      <c r="G32" s="20" t="s">
        <v>352</v>
      </c>
      <c r="H32" s="21" t="s">
        <v>415</v>
      </c>
    </row>
    <row r="33" spans="2:8" x14ac:dyDescent="0.25">
      <c r="B33" s="19">
        <f>'!STRING_ERROR(20181214)'!$C33</f>
        <v>703</v>
      </c>
      <c r="C33" s="20">
        <v>703</v>
      </c>
      <c r="D33" s="20" t="s">
        <v>190</v>
      </c>
      <c r="E33" s="19">
        <v>99</v>
      </c>
      <c r="F33" s="19">
        <f t="shared" si="0"/>
        <v>1400029</v>
      </c>
      <c r="G33" s="20" t="s">
        <v>353</v>
      </c>
      <c r="H33" s="21" t="s">
        <v>416</v>
      </c>
    </row>
    <row r="34" spans="2:8" x14ac:dyDescent="0.25">
      <c r="B34" s="19">
        <f>'!STRING_ERROR(20181214)'!$C34</f>
        <v>802</v>
      </c>
      <c r="C34" s="20">
        <v>802</v>
      </c>
      <c r="D34" s="20" t="s">
        <v>190</v>
      </c>
      <c r="E34" s="19">
        <v>99</v>
      </c>
      <c r="F34" s="19">
        <f t="shared" si="0"/>
        <v>1400030</v>
      </c>
      <c r="G34" s="20" t="s">
        <v>354</v>
      </c>
      <c r="H34" s="21" t="s">
        <v>401</v>
      </c>
    </row>
    <row r="35" spans="2:8" x14ac:dyDescent="0.25">
      <c r="B35" s="19">
        <f>'!STRING_ERROR(20181214)'!$C35</f>
        <v>903</v>
      </c>
      <c r="C35" s="20">
        <v>903</v>
      </c>
      <c r="D35" s="20" t="s">
        <v>190</v>
      </c>
      <c r="E35" s="19">
        <v>99</v>
      </c>
      <c r="F35" s="19">
        <f t="shared" si="0"/>
        <v>1400031</v>
      </c>
      <c r="G35" s="20" t="s">
        <v>355</v>
      </c>
      <c r="H35" s="21" t="s">
        <v>417</v>
      </c>
    </row>
    <row r="36" spans="2:8" x14ac:dyDescent="0.25">
      <c r="B36" s="19">
        <f>'!STRING_ERROR(20181214)'!$C36</f>
        <v>9000</v>
      </c>
      <c r="C36" s="20">
        <v>9000</v>
      </c>
      <c r="D36" s="20" t="s">
        <v>190</v>
      </c>
      <c r="E36" s="19">
        <v>99</v>
      </c>
      <c r="F36" s="19">
        <f t="shared" si="0"/>
        <v>1400032</v>
      </c>
      <c r="G36" s="20" t="s">
        <v>32</v>
      </c>
      <c r="H36" s="21" t="s">
        <v>200</v>
      </c>
    </row>
    <row r="37" spans="2:8" x14ac:dyDescent="0.25">
      <c r="B37" s="19">
        <f>'!STRING_ERROR(20181214)'!$C37</f>
        <v>9001</v>
      </c>
      <c r="C37" s="20">
        <v>9001</v>
      </c>
      <c r="D37" s="20" t="s">
        <v>190</v>
      </c>
      <c r="E37" s="19">
        <v>99</v>
      </c>
      <c r="F37" s="19">
        <f t="shared" si="0"/>
        <v>1400033</v>
      </c>
      <c r="G37" s="20" t="s">
        <v>33</v>
      </c>
      <c r="H37" s="21" t="s">
        <v>375</v>
      </c>
    </row>
    <row r="38" spans="2:8" x14ac:dyDescent="0.25">
      <c r="B38" s="19">
        <f>'!STRING_ERROR(20181214)'!$C38</f>
        <v>9002</v>
      </c>
      <c r="C38" s="20">
        <v>9002</v>
      </c>
      <c r="D38" s="20" t="s">
        <v>190</v>
      </c>
      <c r="E38" s="19">
        <v>99</v>
      </c>
      <c r="F38" s="19">
        <f t="shared" si="0"/>
        <v>1400034</v>
      </c>
      <c r="G38" s="20" t="s">
        <v>34</v>
      </c>
      <c r="H38" s="21" t="s">
        <v>376</v>
      </c>
    </row>
    <row r="39" spans="2:8" x14ac:dyDescent="0.25">
      <c r="B39" s="19">
        <f>'!STRING_ERROR(20181214)'!$C39</f>
        <v>9003</v>
      </c>
      <c r="C39" s="20">
        <v>9003</v>
      </c>
      <c r="D39" s="20" t="s">
        <v>190</v>
      </c>
      <c r="E39" s="19">
        <v>99</v>
      </c>
      <c r="F39" s="19">
        <f t="shared" si="0"/>
        <v>1400035</v>
      </c>
      <c r="G39" s="20" t="s">
        <v>356</v>
      </c>
      <c r="H39" s="21" t="s">
        <v>418</v>
      </c>
    </row>
    <row r="40" spans="2:8" x14ac:dyDescent="0.25">
      <c r="B40" s="19">
        <f>'!STRING_ERROR(20181214)'!$C40</f>
        <v>9004</v>
      </c>
      <c r="C40" s="20">
        <v>9004</v>
      </c>
      <c r="D40" s="20" t="s">
        <v>190</v>
      </c>
      <c r="E40" s="19">
        <v>99</v>
      </c>
      <c r="F40" s="19">
        <f t="shared" si="0"/>
        <v>1400036</v>
      </c>
      <c r="G40" s="20" t="s">
        <v>35</v>
      </c>
      <c r="H40" s="21" t="s">
        <v>201</v>
      </c>
    </row>
    <row r="41" spans="2:8" x14ac:dyDescent="0.25">
      <c r="B41" s="19">
        <f>'!STRING_ERROR(20181214)'!$C41</f>
        <v>9005</v>
      </c>
      <c r="C41" s="20">
        <v>9005</v>
      </c>
      <c r="D41" s="20" t="s">
        <v>190</v>
      </c>
      <c r="E41" s="19">
        <v>99</v>
      </c>
      <c r="F41" s="19">
        <f t="shared" si="0"/>
        <v>1400037</v>
      </c>
      <c r="G41" s="20" t="s">
        <v>36</v>
      </c>
      <c r="H41" s="21" t="s">
        <v>377</v>
      </c>
    </row>
    <row r="42" spans="2:8" x14ac:dyDescent="0.25">
      <c r="B42" s="19">
        <f>'!STRING_ERROR(20181214)'!$C42</f>
        <v>9006</v>
      </c>
      <c r="C42" s="20">
        <v>9006</v>
      </c>
      <c r="D42" s="20" t="s">
        <v>184</v>
      </c>
      <c r="E42" s="19">
        <v>5</v>
      </c>
      <c r="F42" s="19">
        <f t="shared" si="0"/>
        <v>1400038</v>
      </c>
      <c r="G42" s="20" t="s">
        <v>37</v>
      </c>
      <c r="H42" s="21" t="s">
        <v>202</v>
      </c>
    </row>
    <row r="43" spans="2:8" x14ac:dyDescent="0.25">
      <c r="B43" s="19">
        <f>'!STRING_ERROR(20181214)'!$C43</f>
        <v>9007</v>
      </c>
      <c r="C43" s="20">
        <v>9007</v>
      </c>
      <c r="D43" s="20" t="s">
        <v>190</v>
      </c>
      <c r="E43" s="19">
        <v>99</v>
      </c>
      <c r="F43" s="19">
        <f t="shared" si="0"/>
        <v>1400039</v>
      </c>
      <c r="G43" s="20" t="s">
        <v>38</v>
      </c>
      <c r="H43" s="21" t="s">
        <v>378</v>
      </c>
    </row>
    <row r="44" spans="2:8" x14ac:dyDescent="0.25">
      <c r="B44" s="19">
        <f>'!STRING_ERROR(20181214)'!$C44</f>
        <v>9008</v>
      </c>
      <c r="C44" s="20">
        <v>9008</v>
      </c>
      <c r="D44" s="20" t="s">
        <v>190</v>
      </c>
      <c r="E44" s="19">
        <v>99</v>
      </c>
      <c r="F44" s="19">
        <f t="shared" si="0"/>
        <v>1400040</v>
      </c>
      <c r="G44" s="20" t="s">
        <v>357</v>
      </c>
      <c r="H44" s="21" t="s">
        <v>419</v>
      </c>
    </row>
    <row r="45" spans="2:8" x14ac:dyDescent="0.25">
      <c r="B45" s="19">
        <f>'!STRING_ERROR(20181214)'!$C45</f>
        <v>9009</v>
      </c>
      <c r="C45" s="20">
        <v>9009</v>
      </c>
      <c r="D45" s="20" t="s">
        <v>190</v>
      </c>
      <c r="E45" s="19">
        <v>99</v>
      </c>
      <c r="F45" s="19">
        <f t="shared" si="0"/>
        <v>1400041</v>
      </c>
      <c r="G45" s="20" t="s">
        <v>358</v>
      </c>
      <c r="H45" s="21" t="s">
        <v>420</v>
      </c>
    </row>
    <row r="46" spans="2:8" x14ac:dyDescent="0.25">
      <c r="B46" s="19">
        <f>'!STRING_ERROR(20181214)'!$C46</f>
        <v>1000000</v>
      </c>
      <c r="C46" s="20">
        <v>1000000</v>
      </c>
      <c r="D46" s="20" t="s">
        <v>186</v>
      </c>
      <c r="E46" s="19">
        <v>21</v>
      </c>
      <c r="F46" s="19">
        <f t="shared" si="0"/>
        <v>1400042</v>
      </c>
      <c r="G46" s="20" t="s">
        <v>39</v>
      </c>
      <c r="H46" s="21" t="s">
        <v>379</v>
      </c>
    </row>
    <row r="47" spans="2:8" x14ac:dyDescent="0.25">
      <c r="B47" s="19">
        <f>'!STRING_ERROR(20181214)'!$C47</f>
        <v>1000001</v>
      </c>
      <c r="C47" s="20">
        <v>1000001</v>
      </c>
      <c r="D47" s="20" t="s">
        <v>186</v>
      </c>
      <c r="E47" s="19">
        <v>21</v>
      </c>
      <c r="F47" s="19">
        <f t="shared" si="0"/>
        <v>1400043</v>
      </c>
      <c r="G47" s="20" t="s">
        <v>41</v>
      </c>
      <c r="H47" s="21" t="s">
        <v>204</v>
      </c>
    </row>
    <row r="48" spans="2:8" x14ac:dyDescent="0.25">
      <c r="B48" s="19">
        <f>'!STRING_ERROR(20181214)'!$C48</f>
        <v>1000002</v>
      </c>
      <c r="C48" s="20">
        <v>1000002</v>
      </c>
      <c r="D48" s="20" t="s">
        <v>184</v>
      </c>
      <c r="E48" s="19">
        <v>5</v>
      </c>
      <c r="F48" s="19">
        <f t="shared" si="0"/>
        <v>1400044</v>
      </c>
      <c r="G48" s="20" t="s">
        <v>489</v>
      </c>
      <c r="H48" s="21" t="s">
        <v>205</v>
      </c>
    </row>
    <row r="49" spans="2:8" x14ac:dyDescent="0.25">
      <c r="B49" s="19">
        <f>'!STRING_ERROR(20181214)'!$C49</f>
        <v>1000003</v>
      </c>
      <c r="C49" s="20">
        <v>1000003</v>
      </c>
      <c r="D49" s="20" t="s">
        <v>184</v>
      </c>
      <c r="E49" s="19">
        <v>5</v>
      </c>
      <c r="F49" s="19">
        <f t="shared" si="0"/>
        <v>1400045</v>
      </c>
      <c r="G49" s="20" t="s">
        <v>490</v>
      </c>
      <c r="H49" s="21" t="s">
        <v>206</v>
      </c>
    </row>
    <row r="50" spans="2:8" x14ac:dyDescent="0.25">
      <c r="B50" s="19">
        <f>'!STRING_ERROR(20181214)'!$C50</f>
        <v>2000000</v>
      </c>
      <c r="C50" s="20">
        <v>2000000</v>
      </c>
      <c r="D50" s="20" t="s">
        <v>186</v>
      </c>
      <c r="E50" s="19">
        <v>21</v>
      </c>
      <c r="F50" s="19">
        <f t="shared" si="0"/>
        <v>1400046</v>
      </c>
      <c r="G50" s="20" t="s">
        <v>43</v>
      </c>
      <c r="H50" s="21" t="s">
        <v>207</v>
      </c>
    </row>
    <row r="51" spans="2:8" x14ac:dyDescent="0.25">
      <c r="B51" s="19">
        <f>'!STRING_ERROR(20181214)'!$C51</f>
        <v>2000001</v>
      </c>
      <c r="C51" s="20">
        <v>2000001</v>
      </c>
      <c r="D51" s="20" t="s">
        <v>186</v>
      </c>
      <c r="E51" s="19">
        <v>21</v>
      </c>
      <c r="F51" s="19">
        <f t="shared" si="0"/>
        <v>1400047</v>
      </c>
      <c r="G51" s="20" t="s">
        <v>44</v>
      </c>
      <c r="H51" s="21" t="s">
        <v>208</v>
      </c>
    </row>
    <row r="52" spans="2:8" x14ac:dyDescent="0.25">
      <c r="B52" s="19">
        <f>'!STRING_ERROR(20181214)'!$C52</f>
        <v>3800001</v>
      </c>
      <c r="C52" s="20">
        <v>3800001</v>
      </c>
      <c r="D52" s="20" t="s">
        <v>184</v>
      </c>
      <c r="E52" s="19">
        <v>5</v>
      </c>
      <c r="F52" s="19">
        <f t="shared" si="0"/>
        <v>1400048</v>
      </c>
      <c r="G52" s="20" t="s">
        <v>491</v>
      </c>
      <c r="H52" s="21"/>
    </row>
    <row r="53" spans="2:8" x14ac:dyDescent="0.25">
      <c r="B53" s="19">
        <f>'!STRING_ERROR(20181214)'!$C53</f>
        <v>3801001</v>
      </c>
      <c r="C53" s="20">
        <v>3801001</v>
      </c>
      <c r="D53" s="20" t="s">
        <v>184</v>
      </c>
      <c r="E53" s="19">
        <v>5</v>
      </c>
      <c r="F53" s="19">
        <f t="shared" si="0"/>
        <v>1400049</v>
      </c>
      <c r="G53" s="20" t="s">
        <v>492</v>
      </c>
      <c r="H53" s="21" t="s">
        <v>596</v>
      </c>
    </row>
    <row r="54" spans="2:8" x14ac:dyDescent="0.25">
      <c r="B54" s="19">
        <f>'!STRING_ERROR(20181214)'!$C54</f>
        <v>3801002</v>
      </c>
      <c r="C54" s="20">
        <v>3801002</v>
      </c>
      <c r="D54" s="20" t="s">
        <v>184</v>
      </c>
      <c r="E54" s="19">
        <v>5</v>
      </c>
      <c r="F54" s="19">
        <f t="shared" si="0"/>
        <v>1400050</v>
      </c>
      <c r="G54" s="20" t="s">
        <v>493</v>
      </c>
      <c r="H54" s="21" t="s">
        <v>597</v>
      </c>
    </row>
    <row r="55" spans="2:8" x14ac:dyDescent="0.25">
      <c r="B55" s="19">
        <f>'!STRING_ERROR(20181214)'!$C55</f>
        <v>4000000</v>
      </c>
      <c r="C55" s="20">
        <v>4000000</v>
      </c>
      <c r="D55" s="20" t="s">
        <v>186</v>
      </c>
      <c r="E55" s="19">
        <v>21</v>
      </c>
      <c r="F55" s="19">
        <f t="shared" si="0"/>
        <v>1400051</v>
      </c>
      <c r="G55" s="20" t="s">
        <v>45</v>
      </c>
      <c r="H55" s="21" t="s">
        <v>209</v>
      </c>
    </row>
    <row r="56" spans="2:8" x14ac:dyDescent="0.25">
      <c r="B56" s="19">
        <f>'!STRING_ERROR(20181214)'!$C56</f>
        <v>4000001</v>
      </c>
      <c r="C56" s="20">
        <v>4000001</v>
      </c>
      <c r="D56" s="20" t="s">
        <v>184</v>
      </c>
      <c r="E56" s="19">
        <v>5</v>
      </c>
      <c r="F56" s="19">
        <f t="shared" si="0"/>
        <v>1400052</v>
      </c>
      <c r="G56" s="20" t="s">
        <v>46</v>
      </c>
      <c r="H56" s="21" t="s">
        <v>210</v>
      </c>
    </row>
    <row r="57" spans="2:8" x14ac:dyDescent="0.25">
      <c r="B57" s="19">
        <f>'!STRING_ERROR(20181214)'!$C57</f>
        <v>4000002</v>
      </c>
      <c r="C57" s="20">
        <v>4000002</v>
      </c>
      <c r="D57" s="20" t="s">
        <v>184</v>
      </c>
      <c r="E57" s="19">
        <v>5</v>
      </c>
      <c r="F57" s="19">
        <f t="shared" si="0"/>
        <v>1400053</v>
      </c>
      <c r="G57" s="20" t="s">
        <v>47</v>
      </c>
      <c r="H57" s="21" t="s">
        <v>211</v>
      </c>
    </row>
    <row r="58" spans="2:8" x14ac:dyDescent="0.25">
      <c r="B58" s="19">
        <f>'!STRING_ERROR(20181214)'!$C58</f>
        <v>4000003</v>
      </c>
      <c r="C58" s="20">
        <v>4000003</v>
      </c>
      <c r="D58" s="20" t="s">
        <v>184</v>
      </c>
      <c r="E58" s="19">
        <v>5</v>
      </c>
      <c r="F58" s="19">
        <f t="shared" si="0"/>
        <v>1400054</v>
      </c>
      <c r="G58" s="20" t="s">
        <v>48</v>
      </c>
      <c r="H58" s="21" t="s">
        <v>212</v>
      </c>
    </row>
    <row r="59" spans="2:8" x14ac:dyDescent="0.25">
      <c r="B59" s="19">
        <f>'!STRING_ERROR(20181214)'!$C59</f>
        <v>4000004</v>
      </c>
      <c r="C59" s="20">
        <v>4000004</v>
      </c>
      <c r="D59" s="20" t="s">
        <v>184</v>
      </c>
      <c r="E59" s="19">
        <v>5</v>
      </c>
      <c r="F59" s="19">
        <f t="shared" si="0"/>
        <v>1400055</v>
      </c>
      <c r="G59" s="20" t="s">
        <v>49</v>
      </c>
      <c r="H59" s="21" t="s">
        <v>213</v>
      </c>
    </row>
    <row r="60" spans="2:8" x14ac:dyDescent="0.25">
      <c r="B60" s="19">
        <f>'!STRING_ERROR(20181214)'!$C60</f>
        <v>4000005</v>
      </c>
      <c r="C60" s="20">
        <v>4000005</v>
      </c>
      <c r="D60" s="20" t="s">
        <v>184</v>
      </c>
      <c r="E60" s="19">
        <v>5</v>
      </c>
      <c r="F60" s="19">
        <f t="shared" si="0"/>
        <v>1400056</v>
      </c>
      <c r="G60" s="20" t="s">
        <v>50</v>
      </c>
      <c r="H60" s="21" t="s">
        <v>214</v>
      </c>
    </row>
    <row r="61" spans="2:8" x14ac:dyDescent="0.25">
      <c r="B61" s="19">
        <f>'!STRING_ERROR(20181214)'!$C61</f>
        <v>4000006</v>
      </c>
      <c r="C61" s="20">
        <v>4000006</v>
      </c>
      <c r="D61" s="20" t="s">
        <v>184</v>
      </c>
      <c r="E61" s="19">
        <v>5</v>
      </c>
      <c r="F61" s="19">
        <f t="shared" si="0"/>
        <v>1400057</v>
      </c>
      <c r="G61" s="20" t="s">
        <v>51</v>
      </c>
      <c r="H61" s="21" t="s">
        <v>215</v>
      </c>
    </row>
    <row r="62" spans="2:8" x14ac:dyDescent="0.25">
      <c r="B62" s="19">
        <f>'!STRING_ERROR(20181214)'!$C62</f>
        <v>4000007</v>
      </c>
      <c r="C62" s="20">
        <v>4000007</v>
      </c>
      <c r="D62" s="20" t="s">
        <v>188</v>
      </c>
      <c r="E62" s="19">
        <v>31</v>
      </c>
      <c r="F62" s="19">
        <f t="shared" si="0"/>
        <v>1400058</v>
      </c>
      <c r="G62" s="20" t="s">
        <v>52</v>
      </c>
      <c r="H62" s="21" t="s">
        <v>200</v>
      </c>
    </row>
    <row r="63" spans="2:8" x14ac:dyDescent="0.25">
      <c r="B63" s="19">
        <f>'!STRING_ERROR(20181214)'!$C63</f>
        <v>4000008</v>
      </c>
      <c r="C63" s="20">
        <v>4000008</v>
      </c>
      <c r="D63" s="20" t="s">
        <v>184</v>
      </c>
      <c r="E63" s="19">
        <v>5</v>
      </c>
      <c r="F63" s="19">
        <f t="shared" si="0"/>
        <v>1400059</v>
      </c>
      <c r="G63" s="20" t="s">
        <v>53</v>
      </c>
      <c r="H63" s="21" t="s">
        <v>216</v>
      </c>
    </row>
    <row r="64" spans="2:8" x14ac:dyDescent="0.25">
      <c r="B64" s="19">
        <f>'!STRING_ERROR(20181214)'!$C64</f>
        <v>4000009</v>
      </c>
      <c r="C64" s="20">
        <v>4000009</v>
      </c>
      <c r="D64" s="20" t="s">
        <v>186</v>
      </c>
      <c r="E64" s="19">
        <v>21</v>
      </c>
      <c r="F64" s="19">
        <f t="shared" si="0"/>
        <v>1400060</v>
      </c>
      <c r="G64" s="20" t="s">
        <v>359</v>
      </c>
      <c r="H64" s="21" t="s">
        <v>421</v>
      </c>
    </row>
    <row r="65" spans="2:8" x14ac:dyDescent="0.25">
      <c r="B65" s="19">
        <f>'!STRING_ERROR(20181214)'!$C65</f>
        <v>4000010</v>
      </c>
      <c r="C65" s="20">
        <v>4000010</v>
      </c>
      <c r="D65" s="20" t="s">
        <v>186</v>
      </c>
      <c r="E65" s="19">
        <v>21</v>
      </c>
      <c r="F65" s="19">
        <f t="shared" si="0"/>
        <v>1400061</v>
      </c>
      <c r="G65" s="20" t="s">
        <v>360</v>
      </c>
      <c r="H65" s="21" t="s">
        <v>422</v>
      </c>
    </row>
    <row r="66" spans="2:8" x14ac:dyDescent="0.25">
      <c r="B66" s="19">
        <f>'!STRING_ERROR(20181214)'!$C66</f>
        <v>4000011</v>
      </c>
      <c r="C66" s="20">
        <v>4000011</v>
      </c>
      <c r="D66" s="20" t="s">
        <v>184</v>
      </c>
      <c r="E66" s="19">
        <v>5</v>
      </c>
      <c r="F66" s="19">
        <f t="shared" si="0"/>
        <v>1400062</v>
      </c>
      <c r="G66" s="20" t="s">
        <v>361</v>
      </c>
      <c r="H66" s="21" t="s">
        <v>423</v>
      </c>
    </row>
    <row r="67" spans="2:8" x14ac:dyDescent="0.25">
      <c r="B67" s="19">
        <f>'!STRING_ERROR(20181214)'!$C67</f>
        <v>4000012</v>
      </c>
      <c r="C67" s="20">
        <v>4000012</v>
      </c>
      <c r="D67" s="20" t="s">
        <v>184</v>
      </c>
      <c r="E67" s="19">
        <v>5</v>
      </c>
      <c r="F67" s="19">
        <f t="shared" si="0"/>
        <v>1400063</v>
      </c>
      <c r="G67" s="20" t="s">
        <v>439</v>
      </c>
      <c r="H67" s="21" t="s">
        <v>653</v>
      </c>
    </row>
    <row r="68" spans="2:8" x14ac:dyDescent="0.25">
      <c r="B68" s="19">
        <f>'!STRING_ERROR(20181214)'!$C68</f>
        <v>4000013</v>
      </c>
      <c r="C68" s="20">
        <v>4000013</v>
      </c>
      <c r="D68" s="20" t="s">
        <v>184</v>
      </c>
      <c r="E68" s="19">
        <v>5</v>
      </c>
      <c r="F68" s="19">
        <f t="shared" si="0"/>
        <v>1400064</v>
      </c>
      <c r="G68" s="20" t="s">
        <v>440</v>
      </c>
      <c r="H68" s="21" t="s">
        <v>654</v>
      </c>
    </row>
    <row r="69" spans="2:8" x14ac:dyDescent="0.25">
      <c r="B69" s="19">
        <f>'!STRING_ERROR(20181214)'!$C69</f>
        <v>4000014</v>
      </c>
      <c r="C69" s="20">
        <v>4000014</v>
      </c>
      <c r="D69" s="20" t="s">
        <v>184</v>
      </c>
      <c r="E69" s="19">
        <v>5</v>
      </c>
      <c r="F69" s="19">
        <f t="shared" si="0"/>
        <v>1400065</v>
      </c>
      <c r="G69" s="20" t="s">
        <v>441</v>
      </c>
      <c r="H69" s="21" t="s">
        <v>655</v>
      </c>
    </row>
    <row r="70" spans="2:8" x14ac:dyDescent="0.25">
      <c r="B70" s="19">
        <f>'!STRING_ERROR(20181214)'!$C70</f>
        <v>4000015</v>
      </c>
      <c r="C70" s="20">
        <v>4000015</v>
      </c>
      <c r="D70" s="20" t="s">
        <v>184</v>
      </c>
      <c r="E70" s="19">
        <v>5</v>
      </c>
      <c r="F70" s="19">
        <f t="shared" si="0"/>
        <v>1400066</v>
      </c>
      <c r="G70" s="20" t="s">
        <v>442</v>
      </c>
      <c r="H70" s="21" t="s">
        <v>656</v>
      </c>
    </row>
    <row r="71" spans="2:8" x14ac:dyDescent="0.25">
      <c r="B71" s="19">
        <f>'!STRING_ERROR(20181214)'!$C71</f>
        <v>4000016</v>
      </c>
      <c r="C71" s="20">
        <v>4000016</v>
      </c>
      <c r="D71" s="20" t="s">
        <v>184</v>
      </c>
      <c r="E71" s="19">
        <v>5</v>
      </c>
      <c r="F71" s="19">
        <f t="shared" ref="F71:F134" si="1">F70+1</f>
        <v>1400067</v>
      </c>
      <c r="G71" s="20" t="s">
        <v>443</v>
      </c>
      <c r="H71" s="21" t="s">
        <v>657</v>
      </c>
    </row>
    <row r="72" spans="2:8" x14ac:dyDescent="0.25">
      <c r="B72" s="19">
        <f>'!STRING_ERROR(20181214)'!$C72</f>
        <v>4000017</v>
      </c>
      <c r="C72" s="20">
        <v>4000017</v>
      </c>
      <c r="D72" s="20" t="s">
        <v>184</v>
      </c>
      <c r="E72" s="19">
        <v>5</v>
      </c>
      <c r="F72" s="19">
        <f t="shared" si="1"/>
        <v>1400068</v>
      </c>
      <c r="G72" s="20" t="s">
        <v>444</v>
      </c>
      <c r="H72" s="21" t="s">
        <v>658</v>
      </c>
    </row>
    <row r="73" spans="2:8" x14ac:dyDescent="0.25">
      <c r="B73" s="19">
        <f>'!STRING_ERROR(20181214)'!$C73</f>
        <v>4000018</v>
      </c>
      <c r="C73" s="20">
        <v>4000018</v>
      </c>
      <c r="D73" s="20" t="s">
        <v>184</v>
      </c>
      <c r="E73" s="19">
        <v>5</v>
      </c>
      <c r="F73" s="19">
        <f t="shared" si="1"/>
        <v>1400069</v>
      </c>
      <c r="G73" s="20" t="s">
        <v>494</v>
      </c>
      <c r="H73" s="21"/>
    </row>
    <row r="74" spans="2:8" x14ac:dyDescent="0.25">
      <c r="B74" s="19">
        <f>'!STRING_ERROR(20181214)'!$C74</f>
        <v>4000019</v>
      </c>
      <c r="C74" s="20">
        <v>4000019</v>
      </c>
      <c r="D74" s="20" t="s">
        <v>184</v>
      </c>
      <c r="E74" s="19">
        <v>5</v>
      </c>
      <c r="F74" s="19">
        <f t="shared" si="1"/>
        <v>1400070</v>
      </c>
      <c r="G74" s="20" t="s">
        <v>495</v>
      </c>
      <c r="H74" s="21"/>
    </row>
    <row r="75" spans="2:8" x14ac:dyDescent="0.25">
      <c r="B75" s="19">
        <f>'!STRING_ERROR(20181214)'!$C75</f>
        <v>4000020</v>
      </c>
      <c r="C75" s="20">
        <v>4000020</v>
      </c>
      <c r="D75" s="20" t="s">
        <v>184</v>
      </c>
      <c r="E75" s="19">
        <v>5</v>
      </c>
      <c r="F75" s="19">
        <f t="shared" si="1"/>
        <v>1400071</v>
      </c>
      <c r="G75" s="20" t="s">
        <v>496</v>
      </c>
      <c r="H75" s="21"/>
    </row>
    <row r="76" spans="2:8" x14ac:dyDescent="0.25">
      <c r="B76" s="19">
        <f>'!STRING_ERROR(20181214)'!$C76</f>
        <v>4000021</v>
      </c>
      <c r="C76" s="20">
        <v>4000021</v>
      </c>
      <c r="D76" s="20" t="s">
        <v>184</v>
      </c>
      <c r="E76" s="19">
        <v>5</v>
      </c>
      <c r="F76" s="19">
        <f t="shared" si="1"/>
        <v>1400072</v>
      </c>
      <c r="G76" s="20" t="s">
        <v>497</v>
      </c>
      <c r="H76" s="21"/>
    </row>
    <row r="77" spans="2:8" x14ac:dyDescent="0.25">
      <c r="B77" s="19">
        <f>'!STRING_ERROR(20181214)'!$C77</f>
        <v>4000022</v>
      </c>
      <c r="C77" s="20">
        <v>4000022</v>
      </c>
      <c r="D77" s="20" t="s">
        <v>184</v>
      </c>
      <c r="E77" s="19">
        <v>5</v>
      </c>
      <c r="F77" s="19">
        <f t="shared" si="1"/>
        <v>1400073</v>
      </c>
      <c r="G77" s="20" t="s">
        <v>498</v>
      </c>
      <c r="H77" s="21"/>
    </row>
    <row r="78" spans="2:8" x14ac:dyDescent="0.25">
      <c r="B78" s="19">
        <f>'!STRING_ERROR(20181214)'!$C78</f>
        <v>4000023</v>
      </c>
      <c r="C78" s="20">
        <v>4000023</v>
      </c>
      <c r="D78" s="20" t="s">
        <v>184</v>
      </c>
      <c r="E78" s="19">
        <v>5</v>
      </c>
      <c r="F78" s="19">
        <f t="shared" si="1"/>
        <v>1400074</v>
      </c>
      <c r="G78" s="20" t="s">
        <v>499</v>
      </c>
      <c r="H78" s="21"/>
    </row>
    <row r="79" spans="2:8" x14ac:dyDescent="0.25">
      <c r="B79" s="19">
        <f>'!STRING_ERROR(20181214)'!$C79</f>
        <v>4000024</v>
      </c>
      <c r="C79" s="20">
        <v>4000024</v>
      </c>
      <c r="D79" s="20" t="s">
        <v>184</v>
      </c>
      <c r="E79" s="19">
        <v>5</v>
      </c>
      <c r="F79" s="19">
        <f t="shared" si="1"/>
        <v>1400075</v>
      </c>
      <c r="G79" s="20" t="s">
        <v>500</v>
      </c>
      <c r="H79" s="21"/>
    </row>
    <row r="80" spans="2:8" x14ac:dyDescent="0.25">
      <c r="B80" s="19">
        <f>'!STRING_ERROR(20181214)'!$C80</f>
        <v>5000000</v>
      </c>
      <c r="C80" s="20">
        <v>5000000</v>
      </c>
      <c r="D80" s="20" t="s">
        <v>184</v>
      </c>
      <c r="E80" s="19">
        <v>5</v>
      </c>
      <c r="F80" s="19">
        <f t="shared" si="1"/>
        <v>1400076</v>
      </c>
      <c r="G80" s="20" t="s">
        <v>501</v>
      </c>
      <c r="H80" s="21"/>
    </row>
    <row r="81" spans="2:8" x14ac:dyDescent="0.25">
      <c r="B81" s="19">
        <f>'!STRING_ERROR(20181214)'!$C81</f>
        <v>7000000</v>
      </c>
      <c r="C81" s="20">
        <v>7000000</v>
      </c>
      <c r="D81" s="20" t="s">
        <v>184</v>
      </c>
      <c r="E81" s="19">
        <v>5</v>
      </c>
      <c r="F81" s="19">
        <f t="shared" si="1"/>
        <v>1400077</v>
      </c>
      <c r="G81" s="20" t="s">
        <v>502</v>
      </c>
      <c r="H81" s="21" t="s">
        <v>217</v>
      </c>
    </row>
    <row r="82" spans="2:8" x14ac:dyDescent="0.25">
      <c r="B82" s="19">
        <f>'!STRING_ERROR(20181214)'!$C82</f>
        <v>7000001</v>
      </c>
      <c r="C82" s="20">
        <v>7000001</v>
      </c>
      <c r="D82" s="20" t="s">
        <v>186</v>
      </c>
      <c r="E82" s="19">
        <v>21</v>
      </c>
      <c r="F82" s="19">
        <f t="shared" si="1"/>
        <v>1400078</v>
      </c>
      <c r="G82" s="20" t="s">
        <v>55</v>
      </c>
      <c r="H82" s="21" t="s">
        <v>218</v>
      </c>
    </row>
    <row r="83" spans="2:8" x14ac:dyDescent="0.25">
      <c r="B83" s="19">
        <f>'!STRING_ERROR(20181214)'!$C83</f>
        <v>7000002</v>
      </c>
      <c r="C83" s="20">
        <v>7000002</v>
      </c>
      <c r="D83" s="20" t="s">
        <v>186</v>
      </c>
      <c r="E83" s="19">
        <v>21</v>
      </c>
      <c r="F83" s="19">
        <f t="shared" si="1"/>
        <v>1400079</v>
      </c>
      <c r="G83" s="20" t="s">
        <v>56</v>
      </c>
      <c r="H83" s="21" t="s">
        <v>219</v>
      </c>
    </row>
    <row r="84" spans="2:8" x14ac:dyDescent="0.25">
      <c r="B84" s="19">
        <f>'!STRING_ERROR(20181214)'!$C84</f>
        <v>8000000</v>
      </c>
      <c r="C84" s="20">
        <v>8000000</v>
      </c>
      <c r="D84" s="20" t="s">
        <v>186</v>
      </c>
      <c r="E84" s="19">
        <v>21</v>
      </c>
      <c r="F84" s="19">
        <f t="shared" si="1"/>
        <v>1400080</v>
      </c>
      <c r="G84" s="20" t="s">
        <v>57</v>
      </c>
      <c r="H84" s="21" t="s">
        <v>220</v>
      </c>
    </row>
    <row r="85" spans="2:8" x14ac:dyDescent="0.25">
      <c r="B85" s="19">
        <f>'!STRING_ERROR(20181214)'!$C85</f>
        <v>8000001</v>
      </c>
      <c r="C85" s="20">
        <v>8000001</v>
      </c>
      <c r="D85" s="20" t="s">
        <v>186</v>
      </c>
      <c r="E85" s="19">
        <v>21</v>
      </c>
      <c r="F85" s="19">
        <f t="shared" si="1"/>
        <v>1400081</v>
      </c>
      <c r="G85" s="20" t="s">
        <v>58</v>
      </c>
      <c r="H85" s="21" t="s">
        <v>221</v>
      </c>
    </row>
    <row r="86" spans="2:8" x14ac:dyDescent="0.25">
      <c r="B86" s="19">
        <f>'!STRING_ERROR(20181214)'!$C86</f>
        <v>8000002</v>
      </c>
      <c r="C86" s="20">
        <v>8000002</v>
      </c>
      <c r="D86" s="20" t="s">
        <v>186</v>
      </c>
      <c r="E86" s="19">
        <v>21</v>
      </c>
      <c r="F86" s="19">
        <f t="shared" si="1"/>
        <v>1400082</v>
      </c>
      <c r="G86" s="20" t="s">
        <v>59</v>
      </c>
      <c r="H86" s="21" t="s">
        <v>222</v>
      </c>
    </row>
    <row r="87" spans="2:8" x14ac:dyDescent="0.25">
      <c r="B87" s="19">
        <f>'!STRING_ERROR(20181214)'!$C87</f>
        <v>8000004</v>
      </c>
      <c r="C87" s="20">
        <v>8000004</v>
      </c>
      <c r="D87" s="20" t="s">
        <v>188</v>
      </c>
      <c r="E87" s="19">
        <v>31</v>
      </c>
      <c r="F87" s="19">
        <f t="shared" si="1"/>
        <v>1400083</v>
      </c>
      <c r="G87" s="20" t="s">
        <v>61</v>
      </c>
      <c r="H87" s="21" t="s">
        <v>224</v>
      </c>
    </row>
    <row r="88" spans="2:8" x14ac:dyDescent="0.25">
      <c r="B88" s="19">
        <f>'!STRING_ERROR(20181214)'!$C88</f>
        <v>8000005</v>
      </c>
      <c r="C88" s="20">
        <v>8000005</v>
      </c>
      <c r="D88" s="20" t="s">
        <v>188</v>
      </c>
      <c r="E88" s="19">
        <v>31</v>
      </c>
      <c r="F88" s="19">
        <f t="shared" si="1"/>
        <v>1400084</v>
      </c>
      <c r="G88" s="20" t="s">
        <v>62</v>
      </c>
      <c r="H88" s="21" t="s">
        <v>225</v>
      </c>
    </row>
    <row r="89" spans="2:8" x14ac:dyDescent="0.25">
      <c r="B89" s="19">
        <f>'!STRING_ERROR(20181214)'!$C89</f>
        <v>8000006</v>
      </c>
      <c r="C89" s="20">
        <v>8000006</v>
      </c>
      <c r="D89" s="20" t="s">
        <v>186</v>
      </c>
      <c r="E89" s="19">
        <v>21</v>
      </c>
      <c r="F89" s="19">
        <f t="shared" si="1"/>
        <v>1400085</v>
      </c>
      <c r="G89" s="20" t="s">
        <v>63</v>
      </c>
      <c r="H89" s="21" t="s">
        <v>226</v>
      </c>
    </row>
    <row r="90" spans="2:8" x14ac:dyDescent="0.25">
      <c r="B90" s="19">
        <f>'!STRING_ERROR(20181214)'!$C90</f>
        <v>8000007</v>
      </c>
      <c r="C90" s="20">
        <v>8000007</v>
      </c>
      <c r="D90" s="20" t="s">
        <v>188</v>
      </c>
      <c r="E90" s="19">
        <v>31</v>
      </c>
      <c r="F90" s="19">
        <f t="shared" si="1"/>
        <v>1400086</v>
      </c>
      <c r="G90" s="20" t="s">
        <v>64</v>
      </c>
      <c r="H90" s="21" t="s">
        <v>227</v>
      </c>
    </row>
    <row r="91" spans="2:8" x14ac:dyDescent="0.25">
      <c r="B91" s="19">
        <f>'!STRING_ERROR(20181214)'!$C91</f>
        <v>8000008</v>
      </c>
      <c r="C91" s="20">
        <v>8000008</v>
      </c>
      <c r="D91" s="20" t="s">
        <v>188</v>
      </c>
      <c r="E91" s="19">
        <v>31</v>
      </c>
      <c r="F91" s="19">
        <f t="shared" si="1"/>
        <v>1400087</v>
      </c>
      <c r="G91" s="20" t="s">
        <v>65</v>
      </c>
      <c r="H91" s="21" t="s">
        <v>228</v>
      </c>
    </row>
    <row r="92" spans="2:8" x14ac:dyDescent="0.25">
      <c r="B92" s="19">
        <f>'!STRING_ERROR(20181214)'!$C92</f>
        <v>8050000</v>
      </c>
      <c r="C92" s="20">
        <v>8050000</v>
      </c>
      <c r="D92" s="20" t="s">
        <v>184</v>
      </c>
      <c r="E92" s="19">
        <v>5</v>
      </c>
      <c r="F92" s="19">
        <f t="shared" si="1"/>
        <v>1400088</v>
      </c>
      <c r="G92" s="20" t="s">
        <v>503</v>
      </c>
      <c r="H92" s="21"/>
    </row>
    <row r="93" spans="2:8" x14ac:dyDescent="0.25">
      <c r="B93" s="19">
        <f>'!STRING_ERROR(20181214)'!$C93</f>
        <v>8050001</v>
      </c>
      <c r="C93" s="20">
        <v>8050001</v>
      </c>
      <c r="D93" s="20" t="s">
        <v>184</v>
      </c>
      <c r="E93" s="19">
        <v>5</v>
      </c>
      <c r="F93" s="19">
        <f t="shared" si="1"/>
        <v>1400089</v>
      </c>
      <c r="G93" s="20" t="s">
        <v>504</v>
      </c>
      <c r="H93" s="21"/>
    </row>
    <row r="94" spans="2:8" x14ac:dyDescent="0.25">
      <c r="B94" s="19">
        <f>'!STRING_ERROR(20181214)'!$C94</f>
        <v>8050002</v>
      </c>
      <c r="C94" s="20">
        <v>8050002</v>
      </c>
      <c r="D94" s="20" t="s">
        <v>184</v>
      </c>
      <c r="E94" s="19">
        <v>5</v>
      </c>
      <c r="F94" s="19">
        <f t="shared" si="1"/>
        <v>1400090</v>
      </c>
      <c r="G94" s="20" t="s">
        <v>505</v>
      </c>
      <c r="H94" s="21"/>
    </row>
    <row r="95" spans="2:8" x14ac:dyDescent="0.25">
      <c r="B95" s="19">
        <f>'!STRING_ERROR(20181214)'!$C95</f>
        <v>8050003</v>
      </c>
      <c r="C95" s="20">
        <v>8050003</v>
      </c>
      <c r="D95" s="20" t="s">
        <v>184</v>
      </c>
      <c r="E95" s="19">
        <v>5</v>
      </c>
      <c r="F95" s="19">
        <f t="shared" si="1"/>
        <v>1400091</v>
      </c>
      <c r="G95" s="20" t="s">
        <v>506</v>
      </c>
      <c r="H95" s="21"/>
    </row>
    <row r="96" spans="2:8" x14ac:dyDescent="0.25">
      <c r="B96" s="19">
        <f>'!STRING_ERROR(20181214)'!$C96</f>
        <v>8050004</v>
      </c>
      <c r="C96" s="20">
        <v>8050004</v>
      </c>
      <c r="D96" s="20" t="s">
        <v>184</v>
      </c>
      <c r="E96" s="19">
        <v>5</v>
      </c>
      <c r="F96" s="19">
        <f t="shared" si="1"/>
        <v>1400092</v>
      </c>
      <c r="G96" s="20" t="s">
        <v>507</v>
      </c>
      <c r="H96" s="21"/>
    </row>
    <row r="97" spans="2:8" x14ac:dyDescent="0.25">
      <c r="B97" s="19">
        <f>'!STRING_ERROR(20181214)'!$C97</f>
        <v>12000000</v>
      </c>
      <c r="C97" s="20">
        <v>12000000</v>
      </c>
      <c r="D97" s="20" t="s">
        <v>186</v>
      </c>
      <c r="E97" s="19">
        <v>21</v>
      </c>
      <c r="F97" s="19">
        <f t="shared" si="1"/>
        <v>1400093</v>
      </c>
      <c r="G97" s="20" t="s">
        <v>66</v>
      </c>
      <c r="H97" s="21" t="s">
        <v>229</v>
      </c>
    </row>
    <row r="98" spans="2:8" x14ac:dyDescent="0.25">
      <c r="B98" s="19">
        <f>'!STRING_ERROR(20181214)'!$C98</f>
        <v>12000001</v>
      </c>
      <c r="C98" s="20">
        <v>12000001</v>
      </c>
      <c r="D98" s="20" t="s">
        <v>186</v>
      </c>
      <c r="E98" s="19">
        <v>21</v>
      </c>
      <c r="F98" s="19">
        <f t="shared" si="1"/>
        <v>1400094</v>
      </c>
      <c r="G98" s="20" t="s">
        <v>67</v>
      </c>
      <c r="H98" s="21" t="s">
        <v>230</v>
      </c>
    </row>
    <row r="99" spans="2:8" x14ac:dyDescent="0.25">
      <c r="B99" s="19">
        <f>'!STRING_ERROR(20181214)'!$C99</f>
        <v>12000002</v>
      </c>
      <c r="C99" s="20">
        <v>12000002</v>
      </c>
      <c r="D99" s="20" t="s">
        <v>186</v>
      </c>
      <c r="E99" s="19">
        <v>21</v>
      </c>
      <c r="F99" s="19">
        <f t="shared" si="1"/>
        <v>1400095</v>
      </c>
      <c r="G99" s="20" t="s">
        <v>68</v>
      </c>
      <c r="H99" s="21" t="s">
        <v>231</v>
      </c>
    </row>
    <row r="100" spans="2:8" x14ac:dyDescent="0.25">
      <c r="B100" s="19">
        <f>'!STRING_ERROR(20181214)'!$C100</f>
        <v>12000003</v>
      </c>
      <c r="C100" s="20">
        <v>12000003</v>
      </c>
      <c r="D100" s="20" t="s">
        <v>186</v>
      </c>
      <c r="E100" s="19">
        <v>21</v>
      </c>
      <c r="F100" s="19">
        <f t="shared" si="1"/>
        <v>1400096</v>
      </c>
      <c r="G100" s="20" t="s">
        <v>69</v>
      </c>
      <c r="H100" s="21" t="s">
        <v>232</v>
      </c>
    </row>
    <row r="101" spans="2:8" x14ac:dyDescent="0.25">
      <c r="B101" s="19">
        <f>'!STRING_ERROR(20181214)'!$C101</f>
        <v>12000004</v>
      </c>
      <c r="C101" s="20">
        <v>12000004</v>
      </c>
      <c r="D101" s="20" t="s">
        <v>186</v>
      </c>
      <c r="E101" s="19">
        <v>21</v>
      </c>
      <c r="F101" s="19">
        <f t="shared" si="1"/>
        <v>1400097</v>
      </c>
      <c r="G101" s="20" t="s">
        <v>70</v>
      </c>
      <c r="H101" s="21" t="s">
        <v>233</v>
      </c>
    </row>
    <row r="102" spans="2:8" x14ac:dyDescent="0.25">
      <c r="B102" s="19">
        <f>'!STRING_ERROR(20181214)'!$C102</f>
        <v>12000005</v>
      </c>
      <c r="C102" s="20">
        <v>12000005</v>
      </c>
      <c r="D102" s="20" t="s">
        <v>186</v>
      </c>
      <c r="E102" s="19">
        <v>21</v>
      </c>
      <c r="F102" s="19">
        <f t="shared" si="1"/>
        <v>1400098</v>
      </c>
      <c r="G102" s="20" t="s">
        <v>71</v>
      </c>
      <c r="H102" s="21" t="s">
        <v>234</v>
      </c>
    </row>
    <row r="103" spans="2:8" x14ac:dyDescent="0.25">
      <c r="B103" s="22">
        <f>'!STRING_ERROR(20181214)'!$C103</f>
        <v>12000006</v>
      </c>
      <c r="C103" s="23">
        <v>12000006</v>
      </c>
      <c r="D103" s="20" t="s">
        <v>186</v>
      </c>
      <c r="E103" s="19">
        <v>21</v>
      </c>
      <c r="F103" s="22">
        <f t="shared" si="1"/>
        <v>1400099</v>
      </c>
      <c r="G103" s="23" t="s">
        <v>72</v>
      </c>
      <c r="H103" s="24" t="s">
        <v>235</v>
      </c>
    </row>
    <row r="104" spans="2:8" x14ac:dyDescent="0.25">
      <c r="B104" s="19">
        <f>'!STRING_ERROR(20181214)'!$C104</f>
        <v>12000007</v>
      </c>
      <c r="C104" s="20">
        <v>12000007</v>
      </c>
      <c r="D104" s="20" t="s">
        <v>186</v>
      </c>
      <c r="E104" s="19">
        <v>21</v>
      </c>
      <c r="F104" s="19">
        <f t="shared" si="1"/>
        <v>1400100</v>
      </c>
      <c r="G104" s="20" t="s">
        <v>73</v>
      </c>
      <c r="H104" s="21" t="s">
        <v>380</v>
      </c>
    </row>
    <row r="105" spans="2:8" x14ac:dyDescent="0.25">
      <c r="B105" s="19">
        <f>'!STRING_ERROR(20181214)'!$C105</f>
        <v>12000008</v>
      </c>
      <c r="C105" s="20">
        <v>12000008</v>
      </c>
      <c r="D105" s="20" t="s">
        <v>186</v>
      </c>
      <c r="E105" s="19">
        <v>21</v>
      </c>
      <c r="F105" s="19">
        <f t="shared" si="1"/>
        <v>1400101</v>
      </c>
      <c r="G105" s="20" t="s">
        <v>74</v>
      </c>
      <c r="H105" s="21" t="s">
        <v>236</v>
      </c>
    </row>
    <row r="106" spans="2:8" x14ac:dyDescent="0.25">
      <c r="B106" s="19">
        <f>'!STRING_ERROR(20181214)'!$C106</f>
        <v>12000009</v>
      </c>
      <c r="C106" s="20">
        <v>12000009</v>
      </c>
      <c r="D106" s="20" t="s">
        <v>186</v>
      </c>
      <c r="E106" s="19">
        <v>21</v>
      </c>
      <c r="F106" s="19">
        <f t="shared" si="1"/>
        <v>1400102</v>
      </c>
      <c r="G106" s="20" t="s">
        <v>75</v>
      </c>
      <c r="H106" s="21" t="s">
        <v>237</v>
      </c>
    </row>
    <row r="107" spans="2:8" x14ac:dyDescent="0.25">
      <c r="B107" s="19">
        <f>'!STRING_ERROR(20181214)'!$C107</f>
        <v>12000010</v>
      </c>
      <c r="C107" s="20">
        <v>12000010</v>
      </c>
      <c r="D107" s="20" t="s">
        <v>186</v>
      </c>
      <c r="E107" s="19">
        <v>21</v>
      </c>
      <c r="F107" s="19">
        <f t="shared" si="1"/>
        <v>1400103</v>
      </c>
      <c r="G107" s="20" t="s">
        <v>76</v>
      </c>
      <c r="H107" s="21" t="s">
        <v>238</v>
      </c>
    </row>
    <row r="108" spans="2:8" x14ac:dyDescent="0.25">
      <c r="B108" s="19">
        <f>'!STRING_ERROR(20181214)'!$C108</f>
        <v>12000011</v>
      </c>
      <c r="C108" s="20">
        <v>12000011</v>
      </c>
      <c r="D108" s="20" t="s">
        <v>186</v>
      </c>
      <c r="E108" s="19">
        <v>21</v>
      </c>
      <c r="F108" s="19">
        <f t="shared" si="1"/>
        <v>1400104</v>
      </c>
      <c r="G108" s="20" t="s">
        <v>77</v>
      </c>
      <c r="H108" s="21" t="s">
        <v>239</v>
      </c>
    </row>
    <row r="109" spans="2:8" x14ac:dyDescent="0.25">
      <c r="B109" s="19">
        <f>'!STRING_ERROR(20181214)'!$C109</f>
        <v>12000012</v>
      </c>
      <c r="C109" s="20">
        <v>12000012</v>
      </c>
      <c r="D109" s="20" t="s">
        <v>186</v>
      </c>
      <c r="E109" s="19">
        <v>21</v>
      </c>
      <c r="F109" s="19">
        <f t="shared" si="1"/>
        <v>1400105</v>
      </c>
      <c r="G109" s="20" t="s">
        <v>78</v>
      </c>
      <c r="H109" s="21" t="s">
        <v>240</v>
      </c>
    </row>
    <row r="110" spans="2:8" x14ac:dyDescent="0.25">
      <c r="B110" s="19">
        <f>'!STRING_ERROR(20181214)'!$C110</f>
        <v>12000013</v>
      </c>
      <c r="C110" s="20">
        <v>12000013</v>
      </c>
      <c r="D110" s="20" t="s">
        <v>186</v>
      </c>
      <c r="E110" s="19">
        <v>21</v>
      </c>
      <c r="F110" s="19">
        <f t="shared" si="1"/>
        <v>1400106</v>
      </c>
      <c r="G110" s="20" t="s">
        <v>79</v>
      </c>
      <c r="H110" s="21" t="s">
        <v>241</v>
      </c>
    </row>
    <row r="111" spans="2:8" x14ac:dyDescent="0.25">
      <c r="B111" s="19">
        <f>'!STRING_ERROR(20181214)'!$C111</f>
        <v>12000014</v>
      </c>
      <c r="C111" s="20">
        <v>12000014</v>
      </c>
      <c r="D111" s="20" t="s">
        <v>186</v>
      </c>
      <c r="E111" s="19">
        <v>21</v>
      </c>
      <c r="F111" s="19">
        <f t="shared" si="1"/>
        <v>1400107</v>
      </c>
      <c r="G111" s="20" t="s">
        <v>80</v>
      </c>
      <c r="H111" s="21" t="s">
        <v>242</v>
      </c>
    </row>
    <row r="112" spans="2:8" x14ac:dyDescent="0.25">
      <c r="B112" s="19">
        <f>'!STRING_ERROR(20181214)'!$C112</f>
        <v>12000015</v>
      </c>
      <c r="C112" s="20">
        <v>12000015</v>
      </c>
      <c r="D112" s="20" t="s">
        <v>186</v>
      </c>
      <c r="E112" s="19">
        <v>21</v>
      </c>
      <c r="F112" s="19">
        <f t="shared" si="1"/>
        <v>1400108</v>
      </c>
      <c r="G112" s="20" t="s">
        <v>81</v>
      </c>
      <c r="H112" s="21" t="s">
        <v>243</v>
      </c>
    </row>
    <row r="113" spans="2:8" x14ac:dyDescent="0.25">
      <c r="B113" s="19">
        <f>'!STRING_ERROR(20181214)'!$C113</f>
        <v>12000016</v>
      </c>
      <c r="C113" s="20">
        <v>12000016</v>
      </c>
      <c r="D113" s="20" t="s">
        <v>186</v>
      </c>
      <c r="E113" s="19">
        <v>21</v>
      </c>
      <c r="F113" s="19">
        <f t="shared" si="1"/>
        <v>1400109</v>
      </c>
      <c r="G113" s="20" t="s">
        <v>82</v>
      </c>
      <c r="H113" s="21" t="s">
        <v>244</v>
      </c>
    </row>
    <row r="114" spans="2:8" x14ac:dyDescent="0.25">
      <c r="B114" s="19">
        <f>'!STRING_ERROR(20181214)'!$C114</f>
        <v>12000017</v>
      </c>
      <c r="C114" s="20">
        <v>12000017</v>
      </c>
      <c r="D114" s="20" t="s">
        <v>186</v>
      </c>
      <c r="E114" s="19">
        <v>21</v>
      </c>
      <c r="F114" s="19">
        <f t="shared" si="1"/>
        <v>1400110</v>
      </c>
      <c r="G114" s="20" t="s">
        <v>83</v>
      </c>
      <c r="H114" s="21" t="s">
        <v>245</v>
      </c>
    </row>
    <row r="115" spans="2:8" x14ac:dyDescent="0.25">
      <c r="B115" s="19">
        <f>'!STRING_ERROR(20181214)'!$C115</f>
        <v>12000018</v>
      </c>
      <c r="C115" s="20">
        <v>12000018</v>
      </c>
      <c r="D115" s="20" t="s">
        <v>186</v>
      </c>
      <c r="E115" s="19">
        <v>21</v>
      </c>
      <c r="F115" s="19">
        <f t="shared" si="1"/>
        <v>1400111</v>
      </c>
      <c r="G115" s="20" t="s">
        <v>84</v>
      </c>
      <c r="H115" s="21" t="s">
        <v>246</v>
      </c>
    </row>
    <row r="116" spans="2:8" x14ac:dyDescent="0.25">
      <c r="B116" s="19">
        <f>'!STRING_ERROR(20181214)'!$C116</f>
        <v>12000019</v>
      </c>
      <c r="C116" s="20">
        <v>12000019</v>
      </c>
      <c r="D116" s="20" t="s">
        <v>186</v>
      </c>
      <c r="E116" s="19">
        <v>21</v>
      </c>
      <c r="F116" s="19">
        <f t="shared" si="1"/>
        <v>1400112</v>
      </c>
      <c r="G116" s="20" t="s">
        <v>85</v>
      </c>
      <c r="H116" s="21" t="s">
        <v>247</v>
      </c>
    </row>
    <row r="117" spans="2:8" x14ac:dyDescent="0.25">
      <c r="B117" s="19">
        <f>'!STRING_ERROR(20181214)'!$C117</f>
        <v>12000020</v>
      </c>
      <c r="C117" s="20">
        <v>12000020</v>
      </c>
      <c r="D117" s="20" t="s">
        <v>186</v>
      </c>
      <c r="E117" s="19">
        <v>21</v>
      </c>
      <c r="F117" s="19">
        <f t="shared" si="1"/>
        <v>1400113</v>
      </c>
      <c r="G117" s="20" t="s">
        <v>86</v>
      </c>
      <c r="H117" s="21" t="s">
        <v>248</v>
      </c>
    </row>
    <row r="118" spans="2:8" x14ac:dyDescent="0.25">
      <c r="B118" s="19">
        <f>'!STRING_ERROR(20181214)'!$C118</f>
        <v>12000021</v>
      </c>
      <c r="C118" s="20">
        <v>12000021</v>
      </c>
      <c r="D118" s="20" t="s">
        <v>186</v>
      </c>
      <c r="E118" s="19">
        <v>21</v>
      </c>
      <c r="F118" s="19">
        <f t="shared" si="1"/>
        <v>1400114</v>
      </c>
      <c r="G118" s="20" t="s">
        <v>87</v>
      </c>
      <c r="H118" s="21" t="s">
        <v>249</v>
      </c>
    </row>
    <row r="119" spans="2:8" x14ac:dyDescent="0.25">
      <c r="B119" s="19">
        <f>'!STRING_ERROR(20181214)'!$C119</f>
        <v>12000022</v>
      </c>
      <c r="C119" s="20">
        <v>12000022</v>
      </c>
      <c r="D119" s="20" t="s">
        <v>186</v>
      </c>
      <c r="E119" s="19">
        <v>21</v>
      </c>
      <c r="F119" s="19">
        <f t="shared" si="1"/>
        <v>1400115</v>
      </c>
      <c r="G119" s="20" t="s">
        <v>88</v>
      </c>
      <c r="H119" s="21" t="s">
        <v>250</v>
      </c>
    </row>
    <row r="120" spans="2:8" x14ac:dyDescent="0.25">
      <c r="B120" s="19">
        <f>'!STRING_ERROR(20181214)'!$C120</f>
        <v>12000023</v>
      </c>
      <c r="C120" s="20">
        <v>12000023</v>
      </c>
      <c r="D120" s="20" t="s">
        <v>186</v>
      </c>
      <c r="E120" s="19">
        <v>21</v>
      </c>
      <c r="F120" s="19">
        <f t="shared" si="1"/>
        <v>1400116</v>
      </c>
      <c r="G120" s="20" t="s">
        <v>362</v>
      </c>
      <c r="H120" s="21" t="s">
        <v>424</v>
      </c>
    </row>
    <row r="121" spans="2:8" x14ac:dyDescent="0.25">
      <c r="B121" s="19">
        <f>'!STRING_ERROR(20181214)'!$C121</f>
        <v>12000024</v>
      </c>
      <c r="C121" s="20">
        <v>12000024</v>
      </c>
      <c r="D121" s="20" t="s">
        <v>184</v>
      </c>
      <c r="E121" s="19">
        <v>5</v>
      </c>
      <c r="F121" s="19">
        <f t="shared" si="1"/>
        <v>1400117</v>
      </c>
      <c r="G121" s="20" t="s">
        <v>508</v>
      </c>
      <c r="H121" s="21"/>
    </row>
    <row r="122" spans="2:8" x14ac:dyDescent="0.25">
      <c r="B122" s="19">
        <f>'!STRING_ERROR(20181214)'!$C122</f>
        <v>12000025</v>
      </c>
      <c r="C122" s="20">
        <v>12000025</v>
      </c>
      <c r="D122" s="20" t="s">
        <v>184</v>
      </c>
      <c r="E122" s="19">
        <v>5</v>
      </c>
      <c r="F122" s="19">
        <f t="shared" si="1"/>
        <v>1400118</v>
      </c>
      <c r="G122" s="20" t="s">
        <v>509</v>
      </c>
      <c r="H122" s="21"/>
    </row>
    <row r="123" spans="2:8" x14ac:dyDescent="0.25">
      <c r="B123" s="19">
        <f>'!STRING_ERROR(20181214)'!$C123</f>
        <v>12000026</v>
      </c>
      <c r="C123" s="20">
        <v>12000026</v>
      </c>
      <c r="D123" s="20" t="s">
        <v>184</v>
      </c>
      <c r="E123" s="19">
        <v>5</v>
      </c>
      <c r="F123" s="19">
        <f t="shared" si="1"/>
        <v>1400119</v>
      </c>
      <c r="G123" s="20" t="s">
        <v>510</v>
      </c>
      <c r="H123" s="21"/>
    </row>
    <row r="124" spans="2:8" x14ac:dyDescent="0.25">
      <c r="B124" s="19">
        <f>'!STRING_ERROR(20181214)'!$C124</f>
        <v>12000027</v>
      </c>
      <c r="C124" s="20">
        <v>12000027</v>
      </c>
      <c r="D124" s="20" t="s">
        <v>184</v>
      </c>
      <c r="E124" s="19">
        <v>5</v>
      </c>
      <c r="F124" s="19">
        <f t="shared" si="1"/>
        <v>1400120</v>
      </c>
      <c r="G124" s="20" t="s">
        <v>511</v>
      </c>
      <c r="H124" s="21"/>
    </row>
    <row r="125" spans="2:8" x14ac:dyDescent="0.25">
      <c r="B125" s="19">
        <f>'!STRING_ERROR(20181214)'!$C125</f>
        <v>12000028</v>
      </c>
      <c r="C125" s="20">
        <v>12000028</v>
      </c>
      <c r="D125" s="20" t="s">
        <v>184</v>
      </c>
      <c r="E125" s="19">
        <v>5</v>
      </c>
      <c r="F125" s="19">
        <f t="shared" si="1"/>
        <v>1400121</v>
      </c>
      <c r="G125" s="20" t="s">
        <v>512</v>
      </c>
      <c r="H125" s="21"/>
    </row>
    <row r="126" spans="2:8" x14ac:dyDescent="0.25">
      <c r="B126" s="19">
        <f>'!STRING_ERROR(20181214)'!$C126</f>
        <v>12000029</v>
      </c>
      <c r="C126" s="20">
        <v>12000029</v>
      </c>
      <c r="D126" s="20" t="s">
        <v>184</v>
      </c>
      <c r="E126" s="19">
        <v>5</v>
      </c>
      <c r="F126" s="19">
        <f t="shared" si="1"/>
        <v>1400122</v>
      </c>
      <c r="G126" s="20" t="s">
        <v>513</v>
      </c>
      <c r="H126" s="21"/>
    </row>
    <row r="127" spans="2:8" x14ac:dyDescent="0.25">
      <c r="B127" s="19">
        <f>'!STRING_ERROR(20181214)'!$C127</f>
        <v>12000030</v>
      </c>
      <c r="C127" s="20">
        <v>12000030</v>
      </c>
      <c r="D127" s="20" t="s">
        <v>184</v>
      </c>
      <c r="E127" s="19">
        <v>5</v>
      </c>
      <c r="F127" s="19">
        <f t="shared" si="1"/>
        <v>1400123</v>
      </c>
      <c r="G127" s="20" t="s">
        <v>514</v>
      </c>
      <c r="H127" s="21"/>
    </row>
    <row r="128" spans="2:8" x14ac:dyDescent="0.25">
      <c r="B128" s="19">
        <f>'!STRING_ERROR(20181214)'!$C128</f>
        <v>12000031</v>
      </c>
      <c r="C128" s="20">
        <v>12000031</v>
      </c>
      <c r="D128" s="20" t="s">
        <v>184</v>
      </c>
      <c r="E128" s="19">
        <v>5</v>
      </c>
      <c r="F128" s="19">
        <f t="shared" si="1"/>
        <v>1400124</v>
      </c>
      <c r="G128" s="20" t="s">
        <v>515</v>
      </c>
      <c r="H128" s="21"/>
    </row>
    <row r="129" spans="2:8" x14ac:dyDescent="0.25">
      <c r="B129" s="19">
        <f>'!STRING_ERROR(20181214)'!$C129</f>
        <v>13000000</v>
      </c>
      <c r="C129" s="20">
        <v>13000000</v>
      </c>
      <c r="D129" s="20" t="s">
        <v>186</v>
      </c>
      <c r="E129" s="19">
        <v>21</v>
      </c>
      <c r="F129" s="19">
        <f t="shared" si="1"/>
        <v>1400125</v>
      </c>
      <c r="G129" s="20" t="s">
        <v>89</v>
      </c>
      <c r="H129" s="21" t="s">
        <v>251</v>
      </c>
    </row>
    <row r="130" spans="2:8" x14ac:dyDescent="0.25">
      <c r="B130" s="19">
        <f>'!STRING_ERROR(20181214)'!$C130</f>
        <v>13000001</v>
      </c>
      <c r="C130" s="20">
        <v>13000001</v>
      </c>
      <c r="D130" s="20" t="s">
        <v>186</v>
      </c>
      <c r="E130" s="19">
        <v>21</v>
      </c>
      <c r="F130" s="19">
        <f t="shared" si="1"/>
        <v>1400126</v>
      </c>
      <c r="G130" s="20" t="s">
        <v>90</v>
      </c>
      <c r="H130" s="21" t="s">
        <v>252</v>
      </c>
    </row>
    <row r="131" spans="2:8" x14ac:dyDescent="0.25">
      <c r="B131" s="19">
        <f>'!STRING_ERROR(20181214)'!$C131</f>
        <v>13000002</v>
      </c>
      <c r="C131" s="20">
        <v>13000002</v>
      </c>
      <c r="D131" s="20" t="s">
        <v>186</v>
      </c>
      <c r="E131" s="19">
        <v>21</v>
      </c>
      <c r="F131" s="19">
        <f t="shared" si="1"/>
        <v>1400127</v>
      </c>
      <c r="G131" s="20" t="s">
        <v>91</v>
      </c>
      <c r="H131" s="21" t="s">
        <v>253</v>
      </c>
    </row>
    <row r="132" spans="2:8" x14ac:dyDescent="0.25">
      <c r="B132" s="19">
        <f>'!STRING_ERROR(20181214)'!$C132</f>
        <v>13000003</v>
      </c>
      <c r="C132" s="20">
        <v>13000003</v>
      </c>
      <c r="D132" s="20" t="s">
        <v>186</v>
      </c>
      <c r="E132" s="19">
        <v>21</v>
      </c>
      <c r="F132" s="19">
        <f t="shared" si="1"/>
        <v>1400128</v>
      </c>
      <c r="G132" s="20" t="s">
        <v>92</v>
      </c>
      <c r="H132" s="21" t="s">
        <v>381</v>
      </c>
    </row>
    <row r="133" spans="2:8" x14ac:dyDescent="0.25">
      <c r="B133" s="19">
        <f>'!STRING_ERROR(20181214)'!$C133</f>
        <v>13000004</v>
      </c>
      <c r="C133" s="20">
        <v>13000004</v>
      </c>
      <c r="D133" s="20" t="s">
        <v>186</v>
      </c>
      <c r="E133" s="19">
        <v>21</v>
      </c>
      <c r="F133" s="19">
        <f t="shared" si="1"/>
        <v>1400129</v>
      </c>
      <c r="G133" s="20" t="s">
        <v>93</v>
      </c>
      <c r="H133" s="21" t="s">
        <v>382</v>
      </c>
    </row>
    <row r="134" spans="2:8" x14ac:dyDescent="0.25">
      <c r="B134" s="19">
        <f>'!STRING_ERROR(20181214)'!$C134</f>
        <v>13000005</v>
      </c>
      <c r="C134" s="20">
        <v>13000005</v>
      </c>
      <c r="D134" s="20" t="s">
        <v>184</v>
      </c>
      <c r="E134" s="19">
        <v>5</v>
      </c>
      <c r="F134" s="19">
        <f t="shared" si="1"/>
        <v>1400130</v>
      </c>
      <c r="G134" s="20" t="s">
        <v>516</v>
      </c>
      <c r="H134" s="21"/>
    </row>
    <row r="135" spans="2:8" x14ac:dyDescent="0.25">
      <c r="B135" s="19">
        <f>'!STRING_ERROR(20181214)'!$C135</f>
        <v>13000006</v>
      </c>
      <c r="C135" s="20">
        <v>13000006</v>
      </c>
      <c r="D135" s="20" t="s">
        <v>184</v>
      </c>
      <c r="E135" s="19">
        <v>5</v>
      </c>
      <c r="F135" s="19">
        <f t="shared" ref="F135:F198" si="2">F134+1</f>
        <v>1400131</v>
      </c>
      <c r="G135" s="20" t="s">
        <v>517</v>
      </c>
      <c r="H135" s="21"/>
    </row>
    <row r="136" spans="2:8" x14ac:dyDescent="0.25">
      <c r="B136" s="19">
        <f>'!STRING_ERROR(20181214)'!$C136</f>
        <v>13000007</v>
      </c>
      <c r="C136" s="20">
        <v>13000007</v>
      </c>
      <c r="D136" s="20" t="s">
        <v>184</v>
      </c>
      <c r="E136" s="19">
        <v>5</v>
      </c>
      <c r="F136" s="19">
        <f t="shared" si="2"/>
        <v>1400132</v>
      </c>
      <c r="G136" s="20" t="s">
        <v>518</v>
      </c>
      <c r="H136" s="21"/>
    </row>
    <row r="137" spans="2:8" x14ac:dyDescent="0.25">
      <c r="B137" s="19">
        <f>'!STRING_ERROR(20181214)'!$C137</f>
        <v>13000010</v>
      </c>
      <c r="C137" s="20">
        <v>13000010</v>
      </c>
      <c r="D137" s="20" t="s">
        <v>184</v>
      </c>
      <c r="E137" s="19">
        <v>5</v>
      </c>
      <c r="F137" s="19">
        <f t="shared" si="2"/>
        <v>1400133</v>
      </c>
      <c r="G137" s="20" t="s">
        <v>519</v>
      </c>
      <c r="H137" s="21"/>
    </row>
    <row r="138" spans="2:8" x14ac:dyDescent="0.25">
      <c r="B138" s="19">
        <f>'!STRING_ERROR(20181214)'!$C138</f>
        <v>13000011</v>
      </c>
      <c r="C138" s="20">
        <v>13000011</v>
      </c>
      <c r="D138" s="20" t="s">
        <v>184</v>
      </c>
      <c r="E138" s="19">
        <v>5</v>
      </c>
      <c r="F138" s="19">
        <f t="shared" si="2"/>
        <v>1400134</v>
      </c>
      <c r="G138" s="20" t="s">
        <v>520</v>
      </c>
      <c r="H138" s="21"/>
    </row>
    <row r="139" spans="2:8" x14ac:dyDescent="0.25">
      <c r="B139" s="19">
        <f>'!STRING_ERROR(20181214)'!$C139</f>
        <v>18000000</v>
      </c>
      <c r="C139" s="20">
        <v>18000000</v>
      </c>
      <c r="D139" s="20" t="s">
        <v>186</v>
      </c>
      <c r="E139" s="19">
        <v>21</v>
      </c>
      <c r="F139" s="19">
        <f t="shared" si="2"/>
        <v>1400135</v>
      </c>
      <c r="G139" s="20" t="s">
        <v>363</v>
      </c>
      <c r="H139" s="21" t="s">
        <v>425</v>
      </c>
    </row>
    <row r="140" spans="2:8" x14ac:dyDescent="0.25">
      <c r="B140" s="19">
        <f>'!STRING_ERROR(20181214)'!$C140</f>
        <v>29000000</v>
      </c>
      <c r="C140" s="20">
        <v>29000000</v>
      </c>
      <c r="D140" s="20" t="s">
        <v>437</v>
      </c>
      <c r="E140" s="19">
        <v>0</v>
      </c>
      <c r="F140" s="19">
        <f t="shared" si="2"/>
        <v>1400136</v>
      </c>
      <c r="G140" s="20" t="s">
        <v>94</v>
      </c>
      <c r="H140" s="21" t="s">
        <v>383</v>
      </c>
    </row>
    <row r="141" spans="2:8" x14ac:dyDescent="0.25">
      <c r="B141" s="19">
        <f>'!STRING_ERROR(20181214)'!$C141</f>
        <v>29000001</v>
      </c>
      <c r="C141" s="20">
        <v>29000001</v>
      </c>
      <c r="D141" s="20" t="s">
        <v>184</v>
      </c>
      <c r="E141" s="19">
        <v>5</v>
      </c>
      <c r="F141" s="19">
        <f t="shared" si="2"/>
        <v>1400137</v>
      </c>
      <c r="G141" s="20" t="s">
        <v>95</v>
      </c>
      <c r="H141" s="21" t="s">
        <v>384</v>
      </c>
    </row>
    <row r="142" spans="2:8" x14ac:dyDescent="0.25">
      <c r="B142" s="19">
        <f>'!STRING_ERROR(20181214)'!$C142</f>
        <v>29000002</v>
      </c>
      <c r="C142" s="20">
        <v>29000002</v>
      </c>
      <c r="D142" s="20" t="s">
        <v>184</v>
      </c>
      <c r="E142" s="19">
        <v>5</v>
      </c>
      <c r="F142" s="19">
        <f t="shared" si="2"/>
        <v>1400138</v>
      </c>
      <c r="G142" s="20" t="s">
        <v>96</v>
      </c>
      <c r="H142" s="21" t="s">
        <v>385</v>
      </c>
    </row>
    <row r="143" spans="2:8" x14ac:dyDescent="0.25">
      <c r="B143" s="19">
        <f>'!STRING_ERROR(20181214)'!$C143</f>
        <v>29000003</v>
      </c>
      <c r="C143" s="20">
        <v>29000003</v>
      </c>
      <c r="D143" s="20" t="s">
        <v>184</v>
      </c>
      <c r="E143" s="19">
        <v>5</v>
      </c>
      <c r="F143" s="19">
        <f t="shared" si="2"/>
        <v>1400139</v>
      </c>
      <c r="G143" s="20" t="s">
        <v>97</v>
      </c>
      <c r="H143" s="21" t="s">
        <v>386</v>
      </c>
    </row>
    <row r="144" spans="2:8" x14ac:dyDescent="0.25">
      <c r="B144" s="19">
        <f>'!STRING_ERROR(20181214)'!$C144</f>
        <v>29000004</v>
      </c>
      <c r="C144" s="20">
        <v>29000004</v>
      </c>
      <c r="D144" s="20" t="s">
        <v>184</v>
      </c>
      <c r="E144" s="19">
        <v>5</v>
      </c>
      <c r="F144" s="19">
        <f t="shared" si="2"/>
        <v>1400140</v>
      </c>
      <c r="G144" s="20" t="s">
        <v>98</v>
      </c>
      <c r="H144" s="21" t="s">
        <v>387</v>
      </c>
    </row>
    <row r="145" spans="2:8" x14ac:dyDescent="0.25">
      <c r="B145" s="19">
        <f>'!STRING_ERROR(20181214)'!$C145</f>
        <v>29000005</v>
      </c>
      <c r="C145" s="20">
        <v>29000005</v>
      </c>
      <c r="D145" s="20" t="s">
        <v>184</v>
      </c>
      <c r="E145" s="19">
        <v>5</v>
      </c>
      <c r="F145" s="19">
        <f t="shared" si="2"/>
        <v>1400141</v>
      </c>
      <c r="G145" s="20" t="s">
        <v>99</v>
      </c>
      <c r="H145" s="21" t="s">
        <v>388</v>
      </c>
    </row>
    <row r="146" spans="2:8" x14ac:dyDescent="0.25">
      <c r="B146" s="19">
        <f>'!STRING_ERROR(20181214)'!$C146</f>
        <v>29000006</v>
      </c>
      <c r="C146" s="20">
        <v>29000006</v>
      </c>
      <c r="D146" s="20" t="s">
        <v>184</v>
      </c>
      <c r="E146" s="19">
        <v>5</v>
      </c>
      <c r="F146" s="19">
        <f t="shared" si="2"/>
        <v>1400142</v>
      </c>
      <c r="G146" s="20" t="s">
        <v>100</v>
      </c>
      <c r="H146" s="21" t="s">
        <v>389</v>
      </c>
    </row>
    <row r="147" spans="2:8" x14ac:dyDescent="0.25">
      <c r="B147" s="19">
        <f>'!STRING_ERROR(20181214)'!$C147</f>
        <v>31000000</v>
      </c>
      <c r="C147" s="20">
        <v>31000000</v>
      </c>
      <c r="D147" s="20" t="s">
        <v>184</v>
      </c>
      <c r="E147" s="19">
        <v>5</v>
      </c>
      <c r="F147" s="19">
        <f t="shared" si="2"/>
        <v>1400143</v>
      </c>
      <c r="G147" s="20" t="s">
        <v>101</v>
      </c>
      <c r="H147" s="21" t="s">
        <v>390</v>
      </c>
    </row>
    <row r="148" spans="2:8" x14ac:dyDescent="0.25">
      <c r="B148" s="19">
        <f>'!STRING_ERROR(20181214)'!$C148</f>
        <v>17000000</v>
      </c>
      <c r="C148" s="20">
        <v>17000000</v>
      </c>
      <c r="D148" s="20" t="s">
        <v>184</v>
      </c>
      <c r="E148" s="19">
        <v>5</v>
      </c>
      <c r="F148" s="19">
        <f t="shared" si="2"/>
        <v>1400144</v>
      </c>
      <c r="G148" s="20" t="s">
        <v>102</v>
      </c>
      <c r="H148" s="21" t="s">
        <v>254</v>
      </c>
    </row>
    <row r="149" spans="2:8" x14ac:dyDescent="0.25">
      <c r="B149" s="19">
        <f>'!STRING_ERROR(20181214)'!$C149</f>
        <v>17000001</v>
      </c>
      <c r="C149" s="20">
        <v>17000001</v>
      </c>
      <c r="D149" s="20" t="s">
        <v>184</v>
      </c>
      <c r="E149" s="19">
        <v>5</v>
      </c>
      <c r="F149" s="19">
        <f t="shared" si="2"/>
        <v>1400145</v>
      </c>
      <c r="G149" s="20" t="s">
        <v>103</v>
      </c>
      <c r="H149" s="21" t="s">
        <v>255</v>
      </c>
    </row>
    <row r="150" spans="2:8" x14ac:dyDescent="0.25">
      <c r="B150" s="19">
        <f>'!STRING_ERROR(20181214)'!$C150</f>
        <v>17000002</v>
      </c>
      <c r="C150" s="20">
        <v>17000002</v>
      </c>
      <c r="D150" s="20" t="s">
        <v>186</v>
      </c>
      <c r="E150" s="19">
        <v>21</v>
      </c>
      <c r="F150" s="19">
        <f t="shared" si="2"/>
        <v>1400146</v>
      </c>
      <c r="G150" s="20" t="s">
        <v>104</v>
      </c>
      <c r="H150" s="21" t="s">
        <v>256</v>
      </c>
    </row>
    <row r="151" spans="2:8" x14ac:dyDescent="0.25">
      <c r="B151" s="19">
        <f>'!STRING_ERROR(20181214)'!$C151</f>
        <v>17000003</v>
      </c>
      <c r="C151" s="20">
        <v>17000003</v>
      </c>
      <c r="D151" s="20" t="s">
        <v>184</v>
      </c>
      <c r="E151" s="19">
        <v>5</v>
      </c>
      <c r="F151" s="19">
        <f t="shared" si="2"/>
        <v>1400147</v>
      </c>
      <c r="G151" s="20" t="s">
        <v>105</v>
      </c>
      <c r="H151" s="21" t="s">
        <v>257</v>
      </c>
    </row>
    <row r="152" spans="2:8" x14ac:dyDescent="0.25">
      <c r="B152" s="19">
        <f>'!STRING_ERROR(20181214)'!$C152</f>
        <v>17000004</v>
      </c>
      <c r="C152" s="20">
        <v>17000004</v>
      </c>
      <c r="D152" s="20" t="s">
        <v>184</v>
      </c>
      <c r="E152" s="19">
        <v>5</v>
      </c>
      <c r="F152" s="19">
        <f t="shared" si="2"/>
        <v>1400148</v>
      </c>
      <c r="G152" s="20" t="s">
        <v>106</v>
      </c>
      <c r="H152" s="21" t="s">
        <v>258</v>
      </c>
    </row>
    <row r="153" spans="2:8" x14ac:dyDescent="0.25">
      <c r="B153" s="19">
        <f>'!STRING_ERROR(20181214)'!$C153</f>
        <v>17000005</v>
      </c>
      <c r="C153" s="20">
        <v>17000005</v>
      </c>
      <c r="D153" s="20" t="s">
        <v>184</v>
      </c>
      <c r="E153" s="19">
        <v>5</v>
      </c>
      <c r="F153" s="19">
        <f t="shared" si="2"/>
        <v>1400149</v>
      </c>
      <c r="G153" s="20" t="s">
        <v>107</v>
      </c>
      <c r="H153" s="21" t="s">
        <v>259</v>
      </c>
    </row>
    <row r="154" spans="2:8" x14ac:dyDescent="0.25">
      <c r="B154" s="19">
        <f>'!STRING_ERROR(20181214)'!$C154</f>
        <v>17000006</v>
      </c>
      <c r="C154" s="20">
        <v>17000006</v>
      </c>
      <c r="D154" s="20" t="s">
        <v>186</v>
      </c>
      <c r="E154" s="19">
        <v>21</v>
      </c>
      <c r="F154" s="19">
        <f t="shared" si="2"/>
        <v>1400150</v>
      </c>
      <c r="G154" s="20" t="s">
        <v>108</v>
      </c>
      <c r="H154" s="21" t="s">
        <v>260</v>
      </c>
    </row>
    <row r="155" spans="2:8" x14ac:dyDescent="0.25">
      <c r="B155" s="19">
        <f>'!STRING_ERROR(20181214)'!$C155</f>
        <v>17000007</v>
      </c>
      <c r="C155" s="20">
        <v>17000007</v>
      </c>
      <c r="D155" s="20" t="s">
        <v>184</v>
      </c>
      <c r="E155" s="19">
        <v>5</v>
      </c>
      <c r="F155" s="19">
        <f t="shared" si="2"/>
        <v>1400151</v>
      </c>
      <c r="G155" s="20" t="s">
        <v>109</v>
      </c>
      <c r="H155" s="21" t="s">
        <v>261</v>
      </c>
    </row>
    <row r="156" spans="2:8" x14ac:dyDescent="0.25">
      <c r="B156" s="19">
        <f>'!STRING_ERROR(20181214)'!$C156</f>
        <v>17000008</v>
      </c>
      <c r="C156" s="20">
        <v>17000008</v>
      </c>
      <c r="D156" s="20" t="s">
        <v>184</v>
      </c>
      <c r="E156" s="19">
        <v>5</v>
      </c>
      <c r="F156" s="19">
        <f t="shared" si="2"/>
        <v>1400152</v>
      </c>
      <c r="G156" s="20" t="s">
        <v>110</v>
      </c>
      <c r="H156" s="21" t="s">
        <v>262</v>
      </c>
    </row>
    <row r="157" spans="2:8" x14ac:dyDescent="0.25">
      <c r="B157" s="19">
        <f>'!STRING_ERROR(20181214)'!$C157</f>
        <v>17000009</v>
      </c>
      <c r="C157" s="20">
        <v>17000009</v>
      </c>
      <c r="D157" s="20" t="s">
        <v>184</v>
      </c>
      <c r="E157" s="19">
        <v>5</v>
      </c>
      <c r="F157" s="19">
        <f t="shared" si="2"/>
        <v>1400153</v>
      </c>
      <c r="G157" s="20" t="s">
        <v>111</v>
      </c>
      <c r="H157" s="21" t="s">
        <v>263</v>
      </c>
    </row>
    <row r="158" spans="2:8" x14ac:dyDescent="0.25">
      <c r="B158" s="19">
        <f>'!STRING_ERROR(20181214)'!$C158</f>
        <v>17000010</v>
      </c>
      <c r="C158" s="20">
        <v>17000010</v>
      </c>
      <c r="D158" s="20" t="s">
        <v>184</v>
      </c>
      <c r="E158" s="19">
        <v>5</v>
      </c>
      <c r="F158" s="19">
        <f t="shared" si="2"/>
        <v>1400154</v>
      </c>
      <c r="G158" s="20" t="s">
        <v>112</v>
      </c>
      <c r="H158" s="21" t="s">
        <v>264</v>
      </c>
    </row>
    <row r="159" spans="2:8" x14ac:dyDescent="0.25">
      <c r="B159" s="19">
        <f>'!STRING_ERROR(20181214)'!$C159</f>
        <v>17000011</v>
      </c>
      <c r="C159" s="20">
        <v>17000011</v>
      </c>
      <c r="D159" s="20" t="s">
        <v>184</v>
      </c>
      <c r="E159" s="19">
        <v>5</v>
      </c>
      <c r="F159" s="19">
        <f t="shared" si="2"/>
        <v>1400155</v>
      </c>
      <c r="G159" s="20" t="s">
        <v>113</v>
      </c>
      <c r="H159" s="21" t="s">
        <v>265</v>
      </c>
    </row>
    <row r="160" spans="2:8" x14ac:dyDescent="0.25">
      <c r="B160" s="19">
        <f>'!STRING_ERROR(20181214)'!$C160</f>
        <v>17000012</v>
      </c>
      <c r="C160" s="20">
        <v>17000012</v>
      </c>
      <c r="D160" s="20" t="s">
        <v>184</v>
      </c>
      <c r="E160" s="19">
        <v>5</v>
      </c>
      <c r="F160" s="19">
        <f t="shared" si="2"/>
        <v>1400156</v>
      </c>
      <c r="G160" s="20" t="s">
        <v>114</v>
      </c>
      <c r="H160" s="21" t="s">
        <v>266</v>
      </c>
    </row>
    <row r="161" spans="2:8" x14ac:dyDescent="0.25">
      <c r="B161" s="19">
        <f>'!STRING_ERROR(20181214)'!$C161</f>
        <v>17000013</v>
      </c>
      <c r="C161" s="20">
        <v>17000013</v>
      </c>
      <c r="D161" s="20" t="s">
        <v>184</v>
      </c>
      <c r="E161" s="19">
        <v>5</v>
      </c>
      <c r="F161" s="19">
        <f t="shared" si="2"/>
        <v>1400157</v>
      </c>
      <c r="G161" s="20" t="s">
        <v>115</v>
      </c>
      <c r="H161" s="21" t="s">
        <v>267</v>
      </c>
    </row>
    <row r="162" spans="2:8" x14ac:dyDescent="0.25">
      <c r="B162" s="19">
        <f>'!STRING_ERROR(20181214)'!$C162</f>
        <v>17000014</v>
      </c>
      <c r="C162" s="20">
        <v>17000014</v>
      </c>
      <c r="D162" s="20" t="s">
        <v>184</v>
      </c>
      <c r="E162" s="19">
        <v>5</v>
      </c>
      <c r="F162" s="19">
        <f t="shared" si="2"/>
        <v>1400158</v>
      </c>
      <c r="G162" s="20" t="s">
        <v>116</v>
      </c>
      <c r="H162" s="21" t="s">
        <v>268</v>
      </c>
    </row>
    <row r="163" spans="2:8" x14ac:dyDescent="0.25">
      <c r="B163" s="19">
        <f>'!STRING_ERROR(20181214)'!$C163</f>
        <v>17000015</v>
      </c>
      <c r="C163" s="20">
        <v>17000015</v>
      </c>
      <c r="D163" s="20" t="s">
        <v>184</v>
      </c>
      <c r="E163" s="19">
        <v>5</v>
      </c>
      <c r="F163" s="19">
        <f t="shared" si="2"/>
        <v>1400159</v>
      </c>
      <c r="G163" s="20" t="s">
        <v>117</v>
      </c>
      <c r="H163" s="21" t="s">
        <v>269</v>
      </c>
    </row>
    <row r="164" spans="2:8" x14ac:dyDescent="0.25">
      <c r="B164" s="19">
        <f>'!STRING_ERROR(20181214)'!$C164</f>
        <v>17000016</v>
      </c>
      <c r="C164" s="20">
        <v>17000016</v>
      </c>
      <c r="D164" s="20" t="s">
        <v>186</v>
      </c>
      <c r="E164" s="19">
        <v>21</v>
      </c>
      <c r="F164" s="19">
        <f t="shared" si="2"/>
        <v>1400160</v>
      </c>
      <c r="G164" s="20" t="s">
        <v>118</v>
      </c>
      <c r="H164" s="21" t="s">
        <v>270</v>
      </c>
    </row>
    <row r="165" spans="2:8" x14ac:dyDescent="0.25">
      <c r="B165" s="19">
        <f>'!STRING_ERROR(20181214)'!$C165</f>
        <v>17000017</v>
      </c>
      <c r="C165" s="20">
        <v>17000017</v>
      </c>
      <c r="D165" s="20" t="s">
        <v>186</v>
      </c>
      <c r="E165" s="19">
        <v>21</v>
      </c>
      <c r="F165" s="19">
        <f t="shared" si="2"/>
        <v>1400161</v>
      </c>
      <c r="G165" s="20" t="s">
        <v>119</v>
      </c>
      <c r="H165" s="21" t="s">
        <v>271</v>
      </c>
    </row>
    <row r="166" spans="2:8" x14ac:dyDescent="0.25">
      <c r="B166" s="19">
        <f>'!STRING_ERROR(20181214)'!$C166</f>
        <v>17000018</v>
      </c>
      <c r="C166" s="20">
        <v>17000018</v>
      </c>
      <c r="D166" s="20" t="s">
        <v>184</v>
      </c>
      <c r="E166" s="19">
        <v>5</v>
      </c>
      <c r="F166" s="19">
        <f t="shared" si="2"/>
        <v>1400162</v>
      </c>
      <c r="G166" s="20" t="s">
        <v>521</v>
      </c>
      <c r="H166" s="21"/>
    </row>
    <row r="167" spans="2:8" x14ac:dyDescent="0.25">
      <c r="B167" s="19">
        <f>'!STRING_ERROR(20181214)'!$C167</f>
        <v>17000019</v>
      </c>
      <c r="C167" s="20">
        <v>17000019</v>
      </c>
      <c r="D167" s="20" t="s">
        <v>184</v>
      </c>
      <c r="E167" s="19">
        <v>5</v>
      </c>
      <c r="F167" s="19">
        <f t="shared" si="2"/>
        <v>1400163</v>
      </c>
      <c r="G167" s="20" t="s">
        <v>522</v>
      </c>
      <c r="H167" s="21"/>
    </row>
    <row r="168" spans="2:8" x14ac:dyDescent="0.25">
      <c r="B168" s="19">
        <f>'!STRING_ERROR(20181214)'!$C168</f>
        <v>17000020</v>
      </c>
      <c r="C168" s="20">
        <v>17000020</v>
      </c>
      <c r="D168" s="20" t="s">
        <v>184</v>
      </c>
      <c r="E168" s="19">
        <v>5</v>
      </c>
      <c r="F168" s="19">
        <f t="shared" si="2"/>
        <v>1400164</v>
      </c>
      <c r="G168" s="20" t="s">
        <v>523</v>
      </c>
      <c r="H168" s="21"/>
    </row>
    <row r="169" spans="2:8" x14ac:dyDescent="0.25">
      <c r="B169" s="19">
        <f>'!STRING_ERROR(20181214)'!$C169</f>
        <v>17000021</v>
      </c>
      <c r="C169" s="20">
        <v>17000021</v>
      </c>
      <c r="D169" s="20" t="s">
        <v>184</v>
      </c>
      <c r="E169" s="19">
        <v>5</v>
      </c>
      <c r="F169" s="19">
        <f t="shared" si="2"/>
        <v>1400165</v>
      </c>
      <c r="G169" s="20" t="s">
        <v>524</v>
      </c>
      <c r="H169" s="21"/>
    </row>
    <row r="170" spans="2:8" x14ac:dyDescent="0.25">
      <c r="B170" s="19">
        <f>'!STRING_ERROR(20181214)'!$C170</f>
        <v>21000000</v>
      </c>
      <c r="C170" s="20">
        <v>21000000</v>
      </c>
      <c r="D170" s="20" t="s">
        <v>184</v>
      </c>
      <c r="E170" s="19">
        <v>5</v>
      </c>
      <c r="F170" s="19">
        <f t="shared" si="2"/>
        <v>1400166</v>
      </c>
      <c r="G170" s="20" t="s">
        <v>150</v>
      </c>
      <c r="H170" s="21" t="s">
        <v>297</v>
      </c>
    </row>
    <row r="171" spans="2:8" x14ac:dyDescent="0.25">
      <c r="B171" s="19">
        <f>'!STRING_ERROR(20181214)'!$C171</f>
        <v>21000001</v>
      </c>
      <c r="C171" s="20">
        <v>21000001</v>
      </c>
      <c r="D171" s="20" t="s">
        <v>184</v>
      </c>
      <c r="E171" s="19">
        <v>5</v>
      </c>
      <c r="F171" s="19">
        <f t="shared" si="2"/>
        <v>1400167</v>
      </c>
      <c r="G171" s="20" t="s">
        <v>151</v>
      </c>
      <c r="H171" s="21" t="s">
        <v>298</v>
      </c>
    </row>
    <row r="172" spans="2:8" x14ac:dyDescent="0.25">
      <c r="B172" s="19">
        <f>'!STRING_ERROR(20181214)'!$C172</f>
        <v>21000002</v>
      </c>
      <c r="C172" s="20">
        <v>21000002</v>
      </c>
      <c r="D172" s="20" t="s">
        <v>186</v>
      </c>
      <c r="E172" s="19">
        <v>21</v>
      </c>
      <c r="F172" s="19">
        <f t="shared" si="2"/>
        <v>1400168</v>
      </c>
      <c r="G172" s="20" t="s">
        <v>152</v>
      </c>
      <c r="H172" s="21" t="s">
        <v>299</v>
      </c>
    </row>
    <row r="173" spans="2:8" x14ac:dyDescent="0.25">
      <c r="B173" s="19">
        <f>'!STRING_ERROR(20181214)'!$C173</f>
        <v>21000003</v>
      </c>
      <c r="C173" s="20">
        <v>21000003</v>
      </c>
      <c r="D173" s="20" t="s">
        <v>186</v>
      </c>
      <c r="E173" s="19">
        <v>21</v>
      </c>
      <c r="F173" s="19">
        <f t="shared" si="2"/>
        <v>1400169</v>
      </c>
      <c r="G173" s="20" t="s">
        <v>153</v>
      </c>
      <c r="H173" s="21" t="s">
        <v>300</v>
      </c>
    </row>
    <row r="174" spans="2:8" x14ac:dyDescent="0.25">
      <c r="B174" s="19">
        <f>'!STRING_ERROR(20181214)'!$C174</f>
        <v>21000004</v>
      </c>
      <c r="C174" s="20">
        <v>21000004</v>
      </c>
      <c r="D174" s="20" t="s">
        <v>186</v>
      </c>
      <c r="E174" s="19">
        <v>21</v>
      </c>
      <c r="F174" s="19">
        <f t="shared" si="2"/>
        <v>1400170</v>
      </c>
      <c r="G174" s="20" t="s">
        <v>154</v>
      </c>
      <c r="H174" s="21" t="s">
        <v>301</v>
      </c>
    </row>
    <row r="175" spans="2:8" x14ac:dyDescent="0.25">
      <c r="B175" s="19">
        <f>'!STRING_ERROR(20181214)'!$C175</f>
        <v>21000005</v>
      </c>
      <c r="C175" s="20">
        <v>21000005</v>
      </c>
      <c r="D175" s="20" t="s">
        <v>186</v>
      </c>
      <c r="E175" s="19">
        <v>21</v>
      </c>
      <c r="F175" s="19">
        <f t="shared" si="2"/>
        <v>1400171</v>
      </c>
      <c r="G175" s="20" t="s">
        <v>155</v>
      </c>
      <c r="H175" s="21" t="s">
        <v>302</v>
      </c>
    </row>
    <row r="176" spans="2:8" x14ac:dyDescent="0.25">
      <c r="B176" s="19">
        <f>'!STRING_ERROR(20181214)'!$C176</f>
        <v>21000006</v>
      </c>
      <c r="C176" s="20">
        <v>21000006</v>
      </c>
      <c r="D176" s="20" t="s">
        <v>437</v>
      </c>
      <c r="E176" s="19">
        <v>0</v>
      </c>
      <c r="F176" s="19">
        <f t="shared" si="2"/>
        <v>1400172</v>
      </c>
      <c r="G176" s="20" t="s">
        <v>156</v>
      </c>
      <c r="H176" s="21" t="s">
        <v>303</v>
      </c>
    </row>
    <row r="177" spans="2:8" x14ac:dyDescent="0.25">
      <c r="B177" s="19">
        <f>'!STRING_ERROR(20181214)'!$C177</f>
        <v>21000007</v>
      </c>
      <c r="C177" s="20">
        <v>21000007</v>
      </c>
      <c r="D177" s="20" t="s">
        <v>186</v>
      </c>
      <c r="E177" s="19">
        <v>21</v>
      </c>
      <c r="F177" s="19">
        <f t="shared" si="2"/>
        <v>1400173</v>
      </c>
      <c r="G177" s="20" t="s">
        <v>157</v>
      </c>
      <c r="H177" s="21" t="s">
        <v>304</v>
      </c>
    </row>
    <row r="178" spans="2:8" x14ac:dyDescent="0.25">
      <c r="B178" s="19">
        <f>'!STRING_ERROR(20181214)'!$C178</f>
        <v>21000008</v>
      </c>
      <c r="C178" s="20">
        <v>21000008</v>
      </c>
      <c r="D178" s="20" t="s">
        <v>186</v>
      </c>
      <c r="E178" s="19">
        <v>21</v>
      </c>
      <c r="F178" s="19">
        <f t="shared" si="2"/>
        <v>1400174</v>
      </c>
      <c r="G178" s="20" t="s">
        <v>158</v>
      </c>
      <c r="H178" s="21" t="s">
        <v>305</v>
      </c>
    </row>
    <row r="179" spans="2:8" x14ac:dyDescent="0.25">
      <c r="B179" s="19">
        <f>'!STRING_ERROR(20181214)'!$C179</f>
        <v>21000009</v>
      </c>
      <c r="C179" s="20">
        <v>21000009</v>
      </c>
      <c r="D179" s="20" t="s">
        <v>186</v>
      </c>
      <c r="E179" s="19">
        <v>21</v>
      </c>
      <c r="F179" s="19">
        <f t="shared" si="2"/>
        <v>1400175</v>
      </c>
      <c r="G179" s="20" t="s">
        <v>159</v>
      </c>
      <c r="H179" s="21" t="s">
        <v>231</v>
      </c>
    </row>
    <row r="180" spans="2:8" x14ac:dyDescent="0.25">
      <c r="B180" s="19">
        <f>'!STRING_ERROR(20181214)'!$C180</f>
        <v>21000010</v>
      </c>
      <c r="C180" s="20">
        <v>21000010</v>
      </c>
      <c r="D180" s="20" t="s">
        <v>186</v>
      </c>
      <c r="E180" s="19">
        <v>21</v>
      </c>
      <c r="F180" s="19">
        <f t="shared" si="2"/>
        <v>1400176</v>
      </c>
      <c r="G180" s="20" t="s">
        <v>160</v>
      </c>
      <c r="H180" s="21" t="s">
        <v>306</v>
      </c>
    </row>
    <row r="181" spans="2:8" x14ac:dyDescent="0.25">
      <c r="B181" s="19">
        <f>'!STRING_ERROR(20181214)'!$C181</f>
        <v>21000011</v>
      </c>
      <c r="C181" s="19">
        <v>21000011</v>
      </c>
      <c r="D181" s="20" t="s">
        <v>186</v>
      </c>
      <c r="E181" s="19">
        <v>21</v>
      </c>
      <c r="F181" s="19">
        <f t="shared" si="2"/>
        <v>1400177</v>
      </c>
      <c r="G181" s="19" t="s">
        <v>161</v>
      </c>
      <c r="H181" s="21" t="s">
        <v>307</v>
      </c>
    </row>
    <row r="182" spans="2:8" x14ac:dyDescent="0.25">
      <c r="B182" s="19">
        <f>'!STRING_ERROR(20181214)'!$C182</f>
        <v>21000012</v>
      </c>
      <c r="C182" s="19">
        <v>21000012</v>
      </c>
      <c r="D182" s="20" t="s">
        <v>186</v>
      </c>
      <c r="E182" s="19">
        <v>21</v>
      </c>
      <c r="F182" s="19">
        <f t="shared" si="2"/>
        <v>1400178</v>
      </c>
      <c r="G182" s="19" t="s">
        <v>365</v>
      </c>
      <c r="H182" s="21" t="s">
        <v>427</v>
      </c>
    </row>
    <row r="183" spans="2:8" x14ac:dyDescent="0.25">
      <c r="B183" s="19">
        <f>'!STRING_ERROR(20181214)'!$C183</f>
        <v>21000013</v>
      </c>
      <c r="C183" s="19">
        <v>21000013</v>
      </c>
      <c r="D183" s="20" t="s">
        <v>186</v>
      </c>
      <c r="E183" s="19">
        <v>21</v>
      </c>
      <c r="F183" s="19">
        <f t="shared" si="2"/>
        <v>1400179</v>
      </c>
      <c r="G183" s="19" t="s">
        <v>366</v>
      </c>
      <c r="H183" s="21" t="s">
        <v>659</v>
      </c>
    </row>
    <row r="184" spans="2:8" x14ac:dyDescent="0.25">
      <c r="B184" s="19">
        <f>'!STRING_ERROR(20181214)'!$C184</f>
        <v>21000014</v>
      </c>
      <c r="C184" s="19">
        <v>21000014</v>
      </c>
      <c r="D184" s="20" t="s">
        <v>184</v>
      </c>
      <c r="E184" s="19">
        <v>5</v>
      </c>
      <c r="F184" s="19">
        <f t="shared" si="2"/>
        <v>1400180</v>
      </c>
      <c r="G184" s="19" t="s">
        <v>525</v>
      </c>
      <c r="H184" s="21"/>
    </row>
    <row r="185" spans="2:8" x14ac:dyDescent="0.25">
      <c r="B185" s="19">
        <f>'!STRING_ERROR(20181214)'!$C185</f>
        <v>21000015</v>
      </c>
      <c r="C185" s="19">
        <v>21000015</v>
      </c>
      <c r="D185" s="20" t="s">
        <v>184</v>
      </c>
      <c r="E185" s="19">
        <v>5</v>
      </c>
      <c r="F185" s="19">
        <f t="shared" si="2"/>
        <v>1400181</v>
      </c>
      <c r="G185" s="19" t="s">
        <v>526</v>
      </c>
      <c r="H185" s="21" t="s">
        <v>598</v>
      </c>
    </row>
    <row r="186" spans="2:8" x14ac:dyDescent="0.25">
      <c r="B186" s="19">
        <f>'!STRING_ERROR(20181214)'!$C186</f>
        <v>21000016</v>
      </c>
      <c r="C186" s="19">
        <v>21000016</v>
      </c>
      <c r="D186" s="20" t="s">
        <v>184</v>
      </c>
      <c r="E186" s="19">
        <v>5</v>
      </c>
      <c r="F186" s="19">
        <f t="shared" si="2"/>
        <v>1400182</v>
      </c>
      <c r="G186" s="19" t="s">
        <v>527</v>
      </c>
      <c r="H186" s="21" t="s">
        <v>599</v>
      </c>
    </row>
    <row r="187" spans="2:8" x14ac:dyDescent="0.25">
      <c r="B187" s="19">
        <f>'!STRING_ERROR(20181214)'!$C187</f>
        <v>21000017</v>
      </c>
      <c r="C187" s="19">
        <v>21000017</v>
      </c>
      <c r="D187" s="20" t="s">
        <v>184</v>
      </c>
      <c r="E187" s="19">
        <v>5</v>
      </c>
      <c r="F187" s="19">
        <f t="shared" si="2"/>
        <v>1400183</v>
      </c>
      <c r="G187" s="19" t="s">
        <v>528</v>
      </c>
      <c r="H187" s="21" t="s">
        <v>600</v>
      </c>
    </row>
    <row r="188" spans="2:8" x14ac:dyDescent="0.25">
      <c r="B188" s="19">
        <f>'!STRING_ERROR(20181214)'!$C188</f>
        <v>21000018</v>
      </c>
      <c r="C188" s="19">
        <v>21000018</v>
      </c>
      <c r="D188" s="20" t="s">
        <v>184</v>
      </c>
      <c r="E188" s="19">
        <v>5</v>
      </c>
      <c r="F188" s="19">
        <f t="shared" si="2"/>
        <v>1400184</v>
      </c>
      <c r="G188" s="19" t="s">
        <v>529</v>
      </c>
      <c r="H188" s="21" t="s">
        <v>601</v>
      </c>
    </row>
    <row r="189" spans="2:8" x14ac:dyDescent="0.25">
      <c r="B189" s="19">
        <f>'!STRING_ERROR(20181214)'!$C189</f>
        <v>21000019</v>
      </c>
      <c r="C189" s="19">
        <v>21000019</v>
      </c>
      <c r="D189" s="20" t="s">
        <v>184</v>
      </c>
      <c r="E189" s="19">
        <v>5</v>
      </c>
      <c r="F189" s="19">
        <f t="shared" si="2"/>
        <v>1400185</v>
      </c>
      <c r="G189" s="19" t="s">
        <v>530</v>
      </c>
      <c r="H189" s="21" t="s">
        <v>602</v>
      </c>
    </row>
    <row r="190" spans="2:8" x14ac:dyDescent="0.25">
      <c r="B190" s="19">
        <f>'!STRING_ERROR(20181214)'!$C190</f>
        <v>21000020</v>
      </c>
      <c r="C190" s="19">
        <v>21000020</v>
      </c>
      <c r="D190" s="20" t="s">
        <v>184</v>
      </c>
      <c r="E190" s="19">
        <v>5</v>
      </c>
      <c r="F190" s="19">
        <f t="shared" si="2"/>
        <v>1400186</v>
      </c>
      <c r="G190" s="19" t="s">
        <v>531</v>
      </c>
      <c r="H190" s="21"/>
    </row>
    <row r="191" spans="2:8" x14ac:dyDescent="0.25">
      <c r="B191" s="19">
        <f>'!STRING_ERROR(20181214)'!$C191</f>
        <v>21000021</v>
      </c>
      <c r="C191" s="19">
        <v>21000021</v>
      </c>
      <c r="D191" s="20" t="s">
        <v>184</v>
      </c>
      <c r="E191" s="19">
        <v>5</v>
      </c>
      <c r="F191" s="19">
        <f t="shared" si="2"/>
        <v>1400187</v>
      </c>
      <c r="G191" s="19" t="s">
        <v>532</v>
      </c>
      <c r="H191" s="21"/>
    </row>
    <row r="192" spans="2:8" x14ac:dyDescent="0.25">
      <c r="B192" s="19">
        <f>'!STRING_ERROR(20181214)'!$C192</f>
        <v>21000022</v>
      </c>
      <c r="C192" s="19">
        <v>21000022</v>
      </c>
      <c r="D192" s="20" t="s">
        <v>184</v>
      </c>
      <c r="E192" s="19">
        <v>5</v>
      </c>
      <c r="F192" s="19">
        <f t="shared" si="2"/>
        <v>1400188</v>
      </c>
      <c r="G192" s="19" t="s">
        <v>533</v>
      </c>
      <c r="H192" s="21"/>
    </row>
    <row r="193" spans="2:8" x14ac:dyDescent="0.25">
      <c r="B193" s="19">
        <f>'!STRING_ERROR(20181214)'!$C193</f>
        <v>21000100</v>
      </c>
      <c r="C193" s="19">
        <v>21000100</v>
      </c>
      <c r="D193" s="20" t="s">
        <v>184</v>
      </c>
      <c r="E193" s="19">
        <v>5</v>
      </c>
      <c r="F193" s="19">
        <f t="shared" si="2"/>
        <v>1400189</v>
      </c>
      <c r="G193" s="19" t="s">
        <v>534</v>
      </c>
      <c r="H193" s="21" t="s">
        <v>603</v>
      </c>
    </row>
    <row r="194" spans="2:8" x14ac:dyDescent="0.25">
      <c r="B194" s="19">
        <f>'!STRING_ERROR(20181214)'!$C194</f>
        <v>21000101</v>
      </c>
      <c r="C194" s="19">
        <v>21000101</v>
      </c>
      <c r="D194" s="20" t="s">
        <v>184</v>
      </c>
      <c r="E194" s="19">
        <v>5</v>
      </c>
      <c r="F194" s="19">
        <f t="shared" si="2"/>
        <v>1400190</v>
      </c>
      <c r="G194" s="19" t="s">
        <v>535</v>
      </c>
      <c r="H194" s="21" t="s">
        <v>604</v>
      </c>
    </row>
    <row r="195" spans="2:8" x14ac:dyDescent="0.25">
      <c r="B195" s="19">
        <f>'!STRING_ERROR(20181214)'!$C195</f>
        <v>21000102</v>
      </c>
      <c r="C195" s="19">
        <v>21000102</v>
      </c>
      <c r="D195" s="20" t="s">
        <v>184</v>
      </c>
      <c r="E195" s="19">
        <v>5</v>
      </c>
      <c r="F195" s="19">
        <f t="shared" si="2"/>
        <v>1400191</v>
      </c>
      <c r="G195" s="19" t="s">
        <v>536</v>
      </c>
      <c r="H195" s="21" t="s">
        <v>605</v>
      </c>
    </row>
    <row r="196" spans="2:8" x14ac:dyDescent="0.25">
      <c r="B196" s="19">
        <f>'!STRING_ERROR(20181214)'!$C196</f>
        <v>21000103</v>
      </c>
      <c r="C196" s="19">
        <v>21000103</v>
      </c>
      <c r="D196" s="20" t="s">
        <v>184</v>
      </c>
      <c r="E196" s="19">
        <v>5</v>
      </c>
      <c r="F196" s="19">
        <f t="shared" si="2"/>
        <v>1400192</v>
      </c>
      <c r="G196" s="19" t="s">
        <v>537</v>
      </c>
      <c r="H196" s="21" t="s">
        <v>606</v>
      </c>
    </row>
    <row r="197" spans="2:8" x14ac:dyDescent="0.25">
      <c r="B197" s="19">
        <f>'!STRING_ERROR(20181214)'!$C197</f>
        <v>21000104</v>
      </c>
      <c r="C197" s="19">
        <v>21000104</v>
      </c>
      <c r="D197" s="20" t="s">
        <v>184</v>
      </c>
      <c r="E197" s="19">
        <v>5</v>
      </c>
      <c r="F197" s="19">
        <f t="shared" si="2"/>
        <v>1400193</v>
      </c>
      <c r="G197" s="19" t="s">
        <v>538</v>
      </c>
      <c r="H197" s="21" t="s">
        <v>607</v>
      </c>
    </row>
    <row r="198" spans="2:8" x14ac:dyDescent="0.25">
      <c r="B198" s="19">
        <f>'!STRING_ERROR(20181214)'!$C198</f>
        <v>25000000</v>
      </c>
      <c r="C198" s="19">
        <v>25000000</v>
      </c>
      <c r="D198" s="20" t="s">
        <v>186</v>
      </c>
      <c r="E198" s="19">
        <v>21</v>
      </c>
      <c r="F198" s="19">
        <f t="shared" si="2"/>
        <v>1400194</v>
      </c>
      <c r="G198" s="19" t="s">
        <v>162</v>
      </c>
      <c r="H198" s="21" t="s">
        <v>308</v>
      </c>
    </row>
    <row r="199" spans="2:8" x14ac:dyDescent="0.25">
      <c r="B199" s="19">
        <f>'!STRING_ERROR(20181214)'!$C199</f>
        <v>25000001</v>
      </c>
      <c r="C199" s="19">
        <v>25000001</v>
      </c>
      <c r="D199" s="20" t="s">
        <v>186</v>
      </c>
      <c r="E199" s="19">
        <v>21</v>
      </c>
      <c r="F199" s="19">
        <f t="shared" ref="F199:F262" si="3">F198+1</f>
        <v>1400195</v>
      </c>
      <c r="G199" s="19" t="s">
        <v>163</v>
      </c>
      <c r="H199" s="21" t="s">
        <v>309</v>
      </c>
    </row>
    <row r="200" spans="2:8" x14ac:dyDescent="0.25">
      <c r="B200" s="19">
        <f>'!STRING_ERROR(20181214)'!$C200</f>
        <v>25000002</v>
      </c>
      <c r="C200" s="19">
        <v>25000002</v>
      </c>
      <c r="D200" s="20" t="s">
        <v>186</v>
      </c>
      <c r="E200" s="19">
        <v>21</v>
      </c>
      <c r="F200" s="19">
        <f t="shared" si="3"/>
        <v>1400196</v>
      </c>
      <c r="G200" s="19" t="s">
        <v>164</v>
      </c>
      <c r="H200" s="21" t="s">
        <v>219</v>
      </c>
    </row>
    <row r="201" spans="2:8" x14ac:dyDescent="0.25">
      <c r="B201" s="19">
        <f>'!STRING_ERROR(20181214)'!$C201</f>
        <v>25000003</v>
      </c>
      <c r="C201" s="19">
        <v>25000003</v>
      </c>
      <c r="D201" s="20" t="s">
        <v>186</v>
      </c>
      <c r="E201" s="19">
        <v>21</v>
      </c>
      <c r="F201" s="19">
        <f t="shared" si="3"/>
        <v>1400197</v>
      </c>
      <c r="G201" s="19" t="s">
        <v>165</v>
      </c>
      <c r="H201" s="21" t="s">
        <v>310</v>
      </c>
    </row>
    <row r="202" spans="2:8" x14ac:dyDescent="0.25">
      <c r="B202" s="19">
        <f>'!STRING_ERROR(20181214)'!$C202</f>
        <v>25000004</v>
      </c>
      <c r="C202" s="19">
        <v>25000004</v>
      </c>
      <c r="D202" s="20" t="s">
        <v>186</v>
      </c>
      <c r="E202" s="19">
        <v>21</v>
      </c>
      <c r="F202" s="19">
        <f t="shared" si="3"/>
        <v>1400198</v>
      </c>
      <c r="G202" s="19" t="s">
        <v>166</v>
      </c>
      <c r="H202" s="21" t="s">
        <v>311</v>
      </c>
    </row>
    <row r="203" spans="2:8" x14ac:dyDescent="0.25">
      <c r="B203" s="19">
        <f>'!STRING_ERROR(20181214)'!$C203</f>
        <v>25000005</v>
      </c>
      <c r="C203" s="19">
        <v>25000005</v>
      </c>
      <c r="D203" s="20" t="s">
        <v>184</v>
      </c>
      <c r="E203" s="19">
        <v>5</v>
      </c>
      <c r="F203" s="19">
        <f t="shared" si="3"/>
        <v>1400199</v>
      </c>
      <c r="G203" s="19" t="s">
        <v>539</v>
      </c>
      <c r="H203" s="21" t="s">
        <v>312</v>
      </c>
    </row>
    <row r="204" spans="2:8" x14ac:dyDescent="0.25">
      <c r="B204" s="19">
        <f>'!STRING_ERROR(20181214)'!$C204</f>
        <v>25000006</v>
      </c>
      <c r="C204" s="19">
        <v>25000006</v>
      </c>
      <c r="D204" s="20" t="s">
        <v>186</v>
      </c>
      <c r="E204" s="19">
        <v>21</v>
      </c>
      <c r="F204" s="19">
        <f t="shared" si="3"/>
        <v>1400200</v>
      </c>
      <c r="G204" s="19" t="s">
        <v>167</v>
      </c>
      <c r="H204" s="21" t="s">
        <v>313</v>
      </c>
    </row>
    <row r="205" spans="2:8" x14ac:dyDescent="0.25">
      <c r="B205" s="19">
        <f>'!STRING_ERROR(20181214)'!$C205</f>
        <v>25000007</v>
      </c>
      <c r="C205" s="19">
        <v>25000007</v>
      </c>
      <c r="D205" s="20" t="s">
        <v>186</v>
      </c>
      <c r="E205" s="19">
        <v>21</v>
      </c>
      <c r="F205" s="19">
        <f t="shared" si="3"/>
        <v>1400201</v>
      </c>
      <c r="G205" s="19" t="s">
        <v>168</v>
      </c>
      <c r="H205" s="21" t="s">
        <v>314</v>
      </c>
    </row>
    <row r="206" spans="2:8" x14ac:dyDescent="0.25">
      <c r="B206" s="19">
        <f>'!STRING_ERROR(20181214)'!$C206</f>
        <v>25000008</v>
      </c>
      <c r="C206" s="19">
        <v>25000008</v>
      </c>
      <c r="D206" s="20" t="s">
        <v>186</v>
      </c>
      <c r="E206" s="19">
        <v>21</v>
      </c>
      <c r="F206" s="19">
        <f t="shared" si="3"/>
        <v>1400202</v>
      </c>
      <c r="G206" s="19" t="s">
        <v>169</v>
      </c>
      <c r="H206" s="21"/>
    </row>
    <row r="207" spans="2:8" x14ac:dyDescent="0.25">
      <c r="B207" s="19">
        <f>'!STRING_ERROR(20181214)'!$C207</f>
        <v>26000000</v>
      </c>
      <c r="C207" s="19">
        <v>26000000</v>
      </c>
      <c r="D207" s="20" t="s">
        <v>437</v>
      </c>
      <c r="E207" s="19">
        <v>0</v>
      </c>
      <c r="F207" s="19">
        <f t="shared" si="3"/>
        <v>1400203</v>
      </c>
      <c r="G207" s="19" t="s">
        <v>170</v>
      </c>
      <c r="H207" s="21" t="s">
        <v>315</v>
      </c>
    </row>
    <row r="208" spans="2:8" x14ac:dyDescent="0.25">
      <c r="B208" s="19">
        <f>'!STRING_ERROR(20181214)'!$C208</f>
        <v>26000001</v>
      </c>
      <c r="C208" s="19">
        <v>26000001</v>
      </c>
      <c r="D208" s="20" t="s">
        <v>184</v>
      </c>
      <c r="E208" s="19">
        <v>5</v>
      </c>
      <c r="F208" s="19">
        <f t="shared" si="3"/>
        <v>1400204</v>
      </c>
      <c r="G208" s="19" t="s">
        <v>171</v>
      </c>
      <c r="H208" s="21" t="s">
        <v>214</v>
      </c>
    </row>
    <row r="209" spans="2:8" x14ac:dyDescent="0.25">
      <c r="B209" s="19">
        <f>'!STRING_ERROR(20181214)'!$C209</f>
        <v>26000002</v>
      </c>
      <c r="C209" s="19">
        <v>26000002</v>
      </c>
      <c r="D209" s="20" t="s">
        <v>184</v>
      </c>
      <c r="E209" s="19">
        <v>5</v>
      </c>
      <c r="F209" s="19">
        <f t="shared" si="3"/>
        <v>1400205</v>
      </c>
      <c r="G209" s="19" t="s">
        <v>172</v>
      </c>
      <c r="H209" s="21" t="s">
        <v>316</v>
      </c>
    </row>
    <row r="210" spans="2:8" x14ac:dyDescent="0.25">
      <c r="B210" s="19">
        <f>'!STRING_ERROR(20181214)'!$C210</f>
        <v>26000003</v>
      </c>
      <c r="C210" s="19">
        <v>26000003</v>
      </c>
      <c r="D210" s="20" t="s">
        <v>184</v>
      </c>
      <c r="E210" s="19">
        <v>5</v>
      </c>
      <c r="F210" s="19">
        <f t="shared" si="3"/>
        <v>1400206</v>
      </c>
      <c r="G210" s="19" t="s">
        <v>173</v>
      </c>
      <c r="H210" s="21" t="s">
        <v>317</v>
      </c>
    </row>
    <row r="211" spans="2:8" x14ac:dyDescent="0.25">
      <c r="B211" s="19">
        <f>'!STRING_ERROR(20181214)'!$C211</f>
        <v>26000004</v>
      </c>
      <c r="C211" s="19">
        <v>26000004</v>
      </c>
      <c r="D211" s="20" t="s">
        <v>184</v>
      </c>
      <c r="E211" s="19">
        <v>5</v>
      </c>
      <c r="F211" s="19">
        <f t="shared" si="3"/>
        <v>1400207</v>
      </c>
      <c r="G211" s="19" t="s">
        <v>174</v>
      </c>
      <c r="H211" s="21" t="s">
        <v>318</v>
      </c>
    </row>
    <row r="212" spans="2:8" x14ac:dyDescent="0.25">
      <c r="B212" s="19">
        <f>'!STRING_ERROR(20181214)'!$C212</f>
        <v>26000005</v>
      </c>
      <c r="C212" s="19">
        <v>26000005</v>
      </c>
      <c r="D212" s="20" t="s">
        <v>184</v>
      </c>
      <c r="E212" s="19">
        <v>5</v>
      </c>
      <c r="F212" s="19">
        <f t="shared" si="3"/>
        <v>1400208</v>
      </c>
      <c r="G212" s="19" t="s">
        <v>175</v>
      </c>
      <c r="H212" s="21" t="s">
        <v>319</v>
      </c>
    </row>
    <row r="213" spans="2:8" x14ac:dyDescent="0.25">
      <c r="B213" s="19">
        <f>'!STRING_ERROR(20181214)'!$C213</f>
        <v>26000006</v>
      </c>
      <c r="C213" s="19">
        <v>26000006</v>
      </c>
      <c r="D213" s="20" t="s">
        <v>184</v>
      </c>
      <c r="E213" s="19">
        <v>5</v>
      </c>
      <c r="F213" s="19">
        <f t="shared" si="3"/>
        <v>1400209</v>
      </c>
      <c r="G213" s="19" t="s">
        <v>367</v>
      </c>
      <c r="H213" s="21" t="s">
        <v>428</v>
      </c>
    </row>
    <row r="214" spans="2:8" x14ac:dyDescent="0.25">
      <c r="B214" s="19">
        <f>'!STRING_ERROR(20181214)'!$C214</f>
        <v>26000007</v>
      </c>
      <c r="C214" s="19">
        <v>26000007</v>
      </c>
      <c r="D214" s="20" t="s">
        <v>184</v>
      </c>
      <c r="E214" s="19">
        <v>5</v>
      </c>
      <c r="F214" s="19">
        <f t="shared" si="3"/>
        <v>1400210</v>
      </c>
      <c r="G214" s="19" t="s">
        <v>368</v>
      </c>
      <c r="H214" s="21" t="s">
        <v>429</v>
      </c>
    </row>
    <row r="215" spans="2:8" x14ac:dyDescent="0.25">
      <c r="B215" s="19">
        <f>'!STRING_ERROR(20181214)'!$C215</f>
        <v>26000008</v>
      </c>
      <c r="C215" s="19">
        <v>26000008</v>
      </c>
      <c r="D215" s="20" t="s">
        <v>184</v>
      </c>
      <c r="E215" s="19">
        <v>5</v>
      </c>
      <c r="F215" s="19">
        <f t="shared" si="3"/>
        <v>1400211</v>
      </c>
      <c r="G215" s="19" t="s">
        <v>369</v>
      </c>
      <c r="H215" s="21" t="s">
        <v>430</v>
      </c>
    </row>
    <row r="216" spans="2:8" x14ac:dyDescent="0.25">
      <c r="B216" s="19">
        <f>'!STRING_ERROR(20181214)'!$C216</f>
        <v>26000009</v>
      </c>
      <c r="C216" s="19">
        <v>26000009</v>
      </c>
      <c r="D216" s="20" t="s">
        <v>184</v>
      </c>
      <c r="E216" s="19">
        <v>5</v>
      </c>
      <c r="F216" s="19">
        <f t="shared" si="3"/>
        <v>1400212</v>
      </c>
      <c r="G216" s="19" t="s">
        <v>540</v>
      </c>
      <c r="H216" s="21"/>
    </row>
    <row r="217" spans="2:8" x14ac:dyDescent="0.25">
      <c r="B217" s="19">
        <f>'!STRING_ERROR(20181214)'!$C217</f>
        <v>26000010</v>
      </c>
      <c r="C217" s="19">
        <v>26000010</v>
      </c>
      <c r="D217" s="20" t="s">
        <v>184</v>
      </c>
      <c r="E217" s="19">
        <v>5</v>
      </c>
      <c r="F217" s="19">
        <f t="shared" si="3"/>
        <v>1400213</v>
      </c>
      <c r="G217" s="19" t="s">
        <v>451</v>
      </c>
      <c r="H217" s="21" t="s">
        <v>654</v>
      </c>
    </row>
    <row r="218" spans="2:8" x14ac:dyDescent="0.25">
      <c r="B218" s="19">
        <f>'!STRING_ERROR(20181214)'!$C218</f>
        <v>26000011</v>
      </c>
      <c r="C218" s="19">
        <v>26000011</v>
      </c>
      <c r="D218" s="20" t="s">
        <v>184</v>
      </c>
      <c r="E218" s="19">
        <v>5</v>
      </c>
      <c r="F218" s="19">
        <f t="shared" si="3"/>
        <v>1400214</v>
      </c>
      <c r="G218" s="19" t="s">
        <v>452</v>
      </c>
      <c r="H218" s="21" t="s">
        <v>660</v>
      </c>
    </row>
    <row r="219" spans="2:8" x14ac:dyDescent="0.25">
      <c r="B219" s="19">
        <f>'!STRING_ERROR(20181214)'!$C219</f>
        <v>27000000</v>
      </c>
      <c r="C219" s="19">
        <v>27000000</v>
      </c>
      <c r="D219" s="20" t="s">
        <v>184</v>
      </c>
      <c r="E219" s="19">
        <v>5</v>
      </c>
      <c r="F219" s="19">
        <f t="shared" si="3"/>
        <v>1400215</v>
      </c>
      <c r="G219" s="19" t="s">
        <v>176</v>
      </c>
      <c r="H219" s="21" t="s">
        <v>320</v>
      </c>
    </row>
    <row r="220" spans="2:8" x14ac:dyDescent="0.25">
      <c r="B220" s="19">
        <f>'!STRING_ERROR(20181214)'!$C220</f>
        <v>27000001</v>
      </c>
      <c r="C220" s="19">
        <v>27000001</v>
      </c>
      <c r="D220" s="20" t="s">
        <v>184</v>
      </c>
      <c r="E220" s="19">
        <v>5</v>
      </c>
      <c r="F220" s="19">
        <f t="shared" si="3"/>
        <v>1400216</v>
      </c>
      <c r="G220" s="19" t="s">
        <v>177</v>
      </c>
      <c r="H220" s="21" t="s">
        <v>321</v>
      </c>
    </row>
    <row r="221" spans="2:8" x14ac:dyDescent="0.25">
      <c r="B221" s="19">
        <f>'!STRING_ERROR(20181214)'!$C221</f>
        <v>27000002</v>
      </c>
      <c r="C221" s="19">
        <v>27000002</v>
      </c>
      <c r="D221" s="20" t="s">
        <v>184</v>
      </c>
      <c r="E221" s="19">
        <v>5</v>
      </c>
      <c r="F221" s="19">
        <f t="shared" si="3"/>
        <v>1400217</v>
      </c>
      <c r="G221" s="19" t="s">
        <v>178</v>
      </c>
      <c r="H221" s="21" t="s">
        <v>322</v>
      </c>
    </row>
    <row r="222" spans="2:8" x14ac:dyDescent="0.25">
      <c r="B222" s="19">
        <f>'!STRING_ERROR(20181214)'!$C222</f>
        <v>27000003</v>
      </c>
      <c r="C222" s="19">
        <v>27000003</v>
      </c>
      <c r="D222" s="20" t="s">
        <v>184</v>
      </c>
      <c r="E222" s="19">
        <v>5</v>
      </c>
      <c r="F222" s="19">
        <f t="shared" si="3"/>
        <v>1400218</v>
      </c>
      <c r="G222" s="19" t="s">
        <v>179</v>
      </c>
      <c r="H222" s="21" t="s">
        <v>323</v>
      </c>
    </row>
    <row r="223" spans="2:8" x14ac:dyDescent="0.25">
      <c r="B223" s="19">
        <f>'!STRING_ERROR(20181214)'!$C223</f>
        <v>27000004</v>
      </c>
      <c r="C223" s="19">
        <v>27000004</v>
      </c>
      <c r="D223" s="20" t="s">
        <v>184</v>
      </c>
      <c r="E223" s="19">
        <v>5</v>
      </c>
      <c r="F223" s="19">
        <f t="shared" si="3"/>
        <v>1400219</v>
      </c>
      <c r="G223" s="19" t="s">
        <v>180</v>
      </c>
      <c r="H223" s="21" t="s">
        <v>324</v>
      </c>
    </row>
    <row r="224" spans="2:8" x14ac:dyDescent="0.25">
      <c r="B224" s="19">
        <f>'!STRING_ERROR(20181214)'!$C224</f>
        <v>27000005</v>
      </c>
      <c r="C224" s="19">
        <v>27000005</v>
      </c>
      <c r="D224" s="20" t="s">
        <v>184</v>
      </c>
      <c r="E224" s="19">
        <v>5</v>
      </c>
      <c r="F224" s="19">
        <f t="shared" si="3"/>
        <v>1400220</v>
      </c>
      <c r="G224" s="19" t="s">
        <v>370</v>
      </c>
      <c r="H224" s="21" t="s">
        <v>431</v>
      </c>
    </row>
    <row r="225" spans="2:8" x14ac:dyDescent="0.25">
      <c r="B225" s="19">
        <f>'!STRING_ERROR(20181214)'!$C225</f>
        <v>35000000</v>
      </c>
      <c r="C225" s="19">
        <v>35000000</v>
      </c>
      <c r="D225" s="20" t="s">
        <v>186</v>
      </c>
      <c r="E225" s="19">
        <v>21</v>
      </c>
      <c r="F225" s="19">
        <f t="shared" si="3"/>
        <v>1400221</v>
      </c>
      <c r="G225" s="19" t="s">
        <v>129</v>
      </c>
      <c r="H225" s="21" t="s">
        <v>281</v>
      </c>
    </row>
    <row r="226" spans="2:8" x14ac:dyDescent="0.25">
      <c r="B226" s="19">
        <f>'!STRING_ERROR(20181214)'!$C226</f>
        <v>35000001</v>
      </c>
      <c r="C226" s="19">
        <v>35000001</v>
      </c>
      <c r="D226" s="20" t="s">
        <v>186</v>
      </c>
      <c r="E226" s="19">
        <v>21</v>
      </c>
      <c r="F226" s="19">
        <f t="shared" si="3"/>
        <v>1400222</v>
      </c>
      <c r="G226" s="19" t="s">
        <v>130</v>
      </c>
      <c r="H226" s="21" t="s">
        <v>282</v>
      </c>
    </row>
    <row r="227" spans="2:8" x14ac:dyDescent="0.25">
      <c r="B227" s="19">
        <f>'!STRING_ERROR(20181214)'!$C227</f>
        <v>35000002</v>
      </c>
      <c r="C227" s="19">
        <v>35000002</v>
      </c>
      <c r="D227" s="20" t="s">
        <v>186</v>
      </c>
      <c r="E227" s="19">
        <v>21</v>
      </c>
      <c r="F227" s="19">
        <f t="shared" si="3"/>
        <v>1400223</v>
      </c>
      <c r="G227" s="19" t="s">
        <v>131</v>
      </c>
      <c r="H227" s="21" t="s">
        <v>283</v>
      </c>
    </row>
    <row r="228" spans="2:8" x14ac:dyDescent="0.25">
      <c r="B228" s="19">
        <f>'!STRING_ERROR(20181214)'!$C228</f>
        <v>35000003</v>
      </c>
      <c r="C228" s="19">
        <v>35000003</v>
      </c>
      <c r="D228" s="20" t="s">
        <v>186</v>
      </c>
      <c r="E228" s="19">
        <v>21</v>
      </c>
      <c r="F228" s="19">
        <f t="shared" si="3"/>
        <v>1400224</v>
      </c>
      <c r="G228" s="19" t="s">
        <v>132</v>
      </c>
      <c r="H228" s="21" t="s">
        <v>284</v>
      </c>
    </row>
    <row r="229" spans="2:8" x14ac:dyDescent="0.25">
      <c r="B229" s="19">
        <f>'!STRING_ERROR(20181214)'!$C229</f>
        <v>35000004</v>
      </c>
      <c r="C229" s="19">
        <v>35000004</v>
      </c>
      <c r="D229" s="20" t="s">
        <v>186</v>
      </c>
      <c r="E229" s="19">
        <v>21</v>
      </c>
      <c r="F229" s="19">
        <f t="shared" si="3"/>
        <v>1400225</v>
      </c>
      <c r="G229" s="19" t="s">
        <v>133</v>
      </c>
      <c r="H229" s="21" t="s">
        <v>285</v>
      </c>
    </row>
    <row r="230" spans="2:8" x14ac:dyDescent="0.25">
      <c r="B230" s="19">
        <f>'!STRING_ERROR(20181214)'!$C230</f>
        <v>35000005</v>
      </c>
      <c r="C230" s="13">
        <v>35000005</v>
      </c>
      <c r="D230" s="20" t="s">
        <v>186</v>
      </c>
      <c r="E230" s="19">
        <v>21</v>
      </c>
      <c r="F230" s="13">
        <f t="shared" si="3"/>
        <v>1400226</v>
      </c>
      <c r="G230" s="13" t="s">
        <v>134</v>
      </c>
      <c r="H230" t="s">
        <v>203</v>
      </c>
    </row>
    <row r="231" spans="2:8" x14ac:dyDescent="0.25">
      <c r="B231" s="19">
        <f>'!STRING_ERROR(20181214)'!$C231</f>
        <v>35000006</v>
      </c>
      <c r="C231" s="13">
        <v>35000006</v>
      </c>
      <c r="D231" s="20" t="s">
        <v>186</v>
      </c>
      <c r="E231" s="19">
        <v>21</v>
      </c>
      <c r="F231" s="13">
        <f t="shared" si="3"/>
        <v>1400227</v>
      </c>
      <c r="G231" s="13" t="s">
        <v>135</v>
      </c>
      <c r="H231" t="s">
        <v>286</v>
      </c>
    </row>
    <row r="232" spans="2:8" x14ac:dyDescent="0.25">
      <c r="B232" s="19">
        <f>'!STRING_ERROR(20181214)'!$C232</f>
        <v>35000007</v>
      </c>
      <c r="C232" s="13">
        <v>35000007</v>
      </c>
      <c r="D232" s="20" t="s">
        <v>186</v>
      </c>
      <c r="E232" s="19">
        <v>21</v>
      </c>
      <c r="F232" s="13">
        <f t="shared" si="3"/>
        <v>1400228</v>
      </c>
      <c r="G232" s="13" t="s">
        <v>136</v>
      </c>
      <c r="H232" t="s">
        <v>287</v>
      </c>
    </row>
    <row r="233" spans="2:8" x14ac:dyDescent="0.25">
      <c r="B233" s="19">
        <f>'!STRING_ERROR(20181214)'!$C233</f>
        <v>35000008</v>
      </c>
      <c r="C233" s="13">
        <v>35000008</v>
      </c>
      <c r="D233" s="20" t="s">
        <v>186</v>
      </c>
      <c r="E233" s="19">
        <v>21</v>
      </c>
      <c r="F233" s="13">
        <f t="shared" si="3"/>
        <v>1400229</v>
      </c>
      <c r="G233" s="13" t="s">
        <v>137</v>
      </c>
      <c r="H233" t="s">
        <v>288</v>
      </c>
    </row>
    <row r="234" spans="2:8" x14ac:dyDescent="0.25">
      <c r="B234" s="19">
        <f>'!STRING_ERROR(20181214)'!$C234</f>
        <v>35000009</v>
      </c>
      <c r="C234" s="13">
        <v>35000009</v>
      </c>
      <c r="D234" s="20" t="s">
        <v>186</v>
      </c>
      <c r="E234" s="19">
        <v>21</v>
      </c>
      <c r="F234" s="13">
        <f t="shared" si="3"/>
        <v>1400230</v>
      </c>
      <c r="G234" s="13" t="s">
        <v>138</v>
      </c>
      <c r="H234" t="s">
        <v>289</v>
      </c>
    </row>
    <row r="235" spans="2:8" x14ac:dyDescent="0.25">
      <c r="B235" s="19">
        <f>'!STRING_ERROR(20181214)'!$C235</f>
        <v>36000000</v>
      </c>
      <c r="C235" s="13">
        <v>36000000</v>
      </c>
      <c r="D235" s="20" t="s">
        <v>186</v>
      </c>
      <c r="E235" s="19">
        <v>21</v>
      </c>
      <c r="F235" s="13">
        <f t="shared" si="3"/>
        <v>1400231</v>
      </c>
      <c r="G235" s="13" t="s">
        <v>139</v>
      </c>
      <c r="H235" t="s">
        <v>290</v>
      </c>
    </row>
    <row r="236" spans="2:8" x14ac:dyDescent="0.25">
      <c r="B236" s="19">
        <f>'!STRING_ERROR(20181214)'!$C236</f>
        <v>36000001</v>
      </c>
      <c r="C236" s="13">
        <v>36000001</v>
      </c>
      <c r="D236" s="20" t="s">
        <v>186</v>
      </c>
      <c r="E236" s="19">
        <v>21</v>
      </c>
      <c r="F236" s="13">
        <f t="shared" si="3"/>
        <v>1400232</v>
      </c>
      <c r="G236" s="13" t="s">
        <v>140</v>
      </c>
      <c r="H236" t="s">
        <v>291</v>
      </c>
    </row>
    <row r="237" spans="2:8" x14ac:dyDescent="0.25">
      <c r="B237" s="19">
        <f>'!STRING_ERROR(20181214)'!$C237</f>
        <v>36000002</v>
      </c>
      <c r="C237" s="13">
        <v>36000002</v>
      </c>
      <c r="D237" s="20" t="s">
        <v>186</v>
      </c>
      <c r="E237" s="19">
        <v>21</v>
      </c>
      <c r="F237" s="13">
        <f t="shared" si="3"/>
        <v>1400233</v>
      </c>
      <c r="G237" s="13" t="s">
        <v>141</v>
      </c>
      <c r="H237" t="s">
        <v>292</v>
      </c>
    </row>
    <row r="238" spans="2:8" x14ac:dyDescent="0.25">
      <c r="B238" s="19">
        <f>'!STRING_ERROR(20181214)'!$C238</f>
        <v>36000003</v>
      </c>
      <c r="C238" s="13">
        <v>36000003</v>
      </c>
      <c r="D238" s="20" t="s">
        <v>186</v>
      </c>
      <c r="E238" s="19">
        <v>21</v>
      </c>
      <c r="F238" s="13">
        <f t="shared" si="3"/>
        <v>1400234</v>
      </c>
      <c r="G238" s="13" t="s">
        <v>142</v>
      </c>
      <c r="H238" t="s">
        <v>293</v>
      </c>
    </row>
    <row r="239" spans="2:8" x14ac:dyDescent="0.25">
      <c r="B239" s="19">
        <f>'!STRING_ERROR(20181214)'!$C239</f>
        <v>36000004</v>
      </c>
      <c r="C239" s="13">
        <v>36000004</v>
      </c>
      <c r="D239" s="20" t="s">
        <v>186</v>
      </c>
      <c r="E239" s="19">
        <v>21</v>
      </c>
      <c r="F239" s="13">
        <f t="shared" si="3"/>
        <v>1400235</v>
      </c>
      <c r="G239" s="13" t="s">
        <v>143</v>
      </c>
      <c r="H239" t="s">
        <v>294</v>
      </c>
    </row>
    <row r="240" spans="2:8" x14ac:dyDescent="0.25">
      <c r="B240" s="19">
        <f>'!STRING_ERROR(20181214)'!$C240</f>
        <v>36000005</v>
      </c>
      <c r="C240" s="13">
        <v>36000005</v>
      </c>
      <c r="D240" s="20" t="s">
        <v>186</v>
      </c>
      <c r="E240" s="19">
        <v>21</v>
      </c>
      <c r="F240" s="13">
        <f t="shared" si="3"/>
        <v>1400236</v>
      </c>
      <c r="G240" s="13" t="s">
        <v>144</v>
      </c>
      <c r="H240" t="s">
        <v>203</v>
      </c>
    </row>
    <row r="241" spans="2:8" x14ac:dyDescent="0.25">
      <c r="B241" s="19">
        <f>'!STRING_ERROR(20181214)'!$C241</f>
        <v>36000006</v>
      </c>
      <c r="C241" s="13">
        <v>36000006</v>
      </c>
      <c r="D241" s="20" t="s">
        <v>186</v>
      </c>
      <c r="E241" s="19">
        <v>21</v>
      </c>
      <c r="F241" s="13">
        <f t="shared" si="3"/>
        <v>1400237</v>
      </c>
      <c r="G241" s="13" t="s">
        <v>145</v>
      </c>
      <c r="H241" t="s">
        <v>286</v>
      </c>
    </row>
    <row r="242" spans="2:8" x14ac:dyDescent="0.25">
      <c r="B242" s="19">
        <f>'!STRING_ERROR(20181214)'!$C242</f>
        <v>36000007</v>
      </c>
      <c r="C242" s="13">
        <v>36000007</v>
      </c>
      <c r="D242" s="20" t="s">
        <v>186</v>
      </c>
      <c r="E242" s="19">
        <v>21</v>
      </c>
      <c r="F242" s="13">
        <f t="shared" si="3"/>
        <v>1400238</v>
      </c>
      <c r="G242" s="13" t="s">
        <v>146</v>
      </c>
      <c r="H242" t="s">
        <v>287</v>
      </c>
    </row>
    <row r="243" spans="2:8" x14ac:dyDescent="0.25">
      <c r="B243" s="19">
        <f>'!STRING_ERROR(20181214)'!$C243</f>
        <v>36000008</v>
      </c>
      <c r="C243" s="13">
        <v>36000008</v>
      </c>
      <c r="D243" s="20" t="s">
        <v>186</v>
      </c>
      <c r="E243" s="19">
        <v>21</v>
      </c>
      <c r="F243" s="13">
        <f t="shared" si="3"/>
        <v>1400239</v>
      </c>
      <c r="G243" s="13" t="s">
        <v>147</v>
      </c>
      <c r="H243" t="s">
        <v>288</v>
      </c>
    </row>
    <row r="244" spans="2:8" x14ac:dyDescent="0.25">
      <c r="B244" s="19">
        <f>'!STRING_ERROR(20181214)'!$C244</f>
        <v>36000009</v>
      </c>
      <c r="C244" s="13">
        <v>36000009</v>
      </c>
      <c r="D244" s="20" t="s">
        <v>186</v>
      </c>
      <c r="E244" s="19">
        <v>21</v>
      </c>
      <c r="F244" s="13">
        <f t="shared" si="3"/>
        <v>1400240</v>
      </c>
      <c r="G244" s="13" t="s">
        <v>148</v>
      </c>
      <c r="H244" t="s">
        <v>295</v>
      </c>
    </row>
    <row r="245" spans="2:8" x14ac:dyDescent="0.25">
      <c r="B245" s="19">
        <f>'!STRING_ERROR(20181214)'!$C245</f>
        <v>36000010</v>
      </c>
      <c r="C245" s="13">
        <v>36000010</v>
      </c>
      <c r="D245" s="20" t="s">
        <v>186</v>
      </c>
      <c r="E245" s="19">
        <v>21</v>
      </c>
      <c r="F245" s="13">
        <f t="shared" si="3"/>
        <v>1400241</v>
      </c>
      <c r="G245" s="13" t="s">
        <v>149</v>
      </c>
      <c r="H245" t="s">
        <v>296</v>
      </c>
    </row>
    <row r="246" spans="2:8" x14ac:dyDescent="0.25">
      <c r="B246" s="19">
        <f>'!STRING_ERROR(20181214)'!$C246</f>
        <v>37000000</v>
      </c>
      <c r="C246" s="13">
        <v>37000000</v>
      </c>
      <c r="D246" s="20" t="s">
        <v>184</v>
      </c>
      <c r="E246" s="19">
        <v>5</v>
      </c>
      <c r="F246" s="13">
        <f t="shared" si="3"/>
        <v>1400242</v>
      </c>
      <c r="G246" s="13" t="s">
        <v>541</v>
      </c>
      <c r="H246" t="s">
        <v>608</v>
      </c>
    </row>
    <row r="247" spans="2:8" x14ac:dyDescent="0.25">
      <c r="B247" s="19">
        <f>'!STRING_ERROR(20181214)'!$C247</f>
        <v>37000001</v>
      </c>
      <c r="C247" s="13">
        <v>37000001</v>
      </c>
      <c r="D247" s="20" t="s">
        <v>184</v>
      </c>
      <c r="E247" s="19">
        <v>5</v>
      </c>
      <c r="F247" s="13">
        <f t="shared" si="3"/>
        <v>1400243</v>
      </c>
      <c r="G247" s="13" t="s">
        <v>542</v>
      </c>
      <c r="H247" t="s">
        <v>609</v>
      </c>
    </row>
    <row r="248" spans="2:8" x14ac:dyDescent="0.25">
      <c r="B248" s="19">
        <f>'!STRING_ERROR(20181214)'!$C248</f>
        <v>38000001</v>
      </c>
      <c r="C248" s="13">
        <v>38000001</v>
      </c>
      <c r="D248" s="20" t="s">
        <v>184</v>
      </c>
      <c r="E248" s="19">
        <v>5</v>
      </c>
      <c r="F248" s="13">
        <f t="shared" si="3"/>
        <v>1400244</v>
      </c>
      <c r="G248" s="13" t="s">
        <v>543</v>
      </c>
    </row>
    <row r="249" spans="2:8" x14ac:dyDescent="0.25">
      <c r="B249" s="19">
        <f>'!STRING_ERROR(20181214)'!$C249</f>
        <v>41000000</v>
      </c>
      <c r="C249" s="13">
        <v>41000000</v>
      </c>
      <c r="D249" s="20" t="s">
        <v>184</v>
      </c>
      <c r="E249" s="19">
        <v>5</v>
      </c>
      <c r="F249" s="13">
        <f t="shared" si="3"/>
        <v>1400245</v>
      </c>
      <c r="G249" s="13" t="s">
        <v>371</v>
      </c>
      <c r="H249" t="s">
        <v>432</v>
      </c>
    </row>
    <row r="250" spans="2:8" x14ac:dyDescent="0.25">
      <c r="B250" s="19">
        <f>'!STRING_ERROR(20181214)'!$C250</f>
        <v>41000001</v>
      </c>
      <c r="C250" s="13">
        <v>41000001</v>
      </c>
      <c r="D250" s="20" t="s">
        <v>184</v>
      </c>
      <c r="E250" s="19">
        <v>5</v>
      </c>
      <c r="F250" s="13">
        <f t="shared" si="3"/>
        <v>1400246</v>
      </c>
      <c r="G250" s="13" t="s">
        <v>372</v>
      </c>
      <c r="H250" t="s">
        <v>433</v>
      </c>
    </row>
    <row r="251" spans="2:8" x14ac:dyDescent="0.25">
      <c r="B251" s="19">
        <f>'!STRING_ERROR(20181214)'!$C251</f>
        <v>41000002</v>
      </c>
      <c r="C251" s="13">
        <v>41000002</v>
      </c>
      <c r="D251" s="20" t="s">
        <v>184</v>
      </c>
      <c r="E251" s="19">
        <v>5</v>
      </c>
      <c r="F251" s="13">
        <f t="shared" si="3"/>
        <v>1400247</v>
      </c>
      <c r="G251" s="13" t="s">
        <v>373</v>
      </c>
      <c r="H251" t="s">
        <v>434</v>
      </c>
    </row>
    <row r="252" spans="2:8" x14ac:dyDescent="0.25">
      <c r="B252" s="19">
        <f>'!STRING_ERROR(20181214)'!$C252</f>
        <v>41000003</v>
      </c>
      <c r="C252" s="13">
        <v>41000003</v>
      </c>
      <c r="D252" s="20" t="s">
        <v>184</v>
      </c>
      <c r="E252" s="19">
        <v>5</v>
      </c>
      <c r="F252" s="13">
        <f t="shared" si="3"/>
        <v>1400248</v>
      </c>
      <c r="G252" s="13" t="s">
        <v>374</v>
      </c>
      <c r="H252" t="s">
        <v>435</v>
      </c>
    </row>
    <row r="253" spans="2:8" x14ac:dyDescent="0.25">
      <c r="B253" s="19">
        <f>'!STRING_ERROR(20181214)'!$C253</f>
        <v>45000000</v>
      </c>
      <c r="C253" s="13">
        <v>45000000</v>
      </c>
      <c r="D253" s="20" t="s">
        <v>184</v>
      </c>
      <c r="E253" s="19">
        <v>5</v>
      </c>
      <c r="F253" s="13">
        <f t="shared" si="3"/>
        <v>1400249</v>
      </c>
      <c r="G253" s="13" t="s">
        <v>544</v>
      </c>
    </row>
    <row r="254" spans="2:8" x14ac:dyDescent="0.25">
      <c r="B254" s="19">
        <f>'!STRING_ERROR(20181214)'!$C254</f>
        <v>45000001</v>
      </c>
      <c r="C254" s="13">
        <v>45000001</v>
      </c>
      <c r="D254" s="20" t="s">
        <v>184</v>
      </c>
      <c r="E254" s="19">
        <v>5</v>
      </c>
      <c r="F254" s="13">
        <f t="shared" si="3"/>
        <v>1400250</v>
      </c>
      <c r="G254" s="13" t="s">
        <v>545</v>
      </c>
      <c r="H254" t="s">
        <v>610</v>
      </c>
    </row>
    <row r="255" spans="2:8" x14ac:dyDescent="0.25">
      <c r="B255" s="19">
        <f>'!STRING_ERROR(20181214)'!$C255</f>
        <v>45000002</v>
      </c>
      <c r="C255" s="13">
        <v>45000002</v>
      </c>
      <c r="D255" s="20" t="s">
        <v>184</v>
      </c>
      <c r="E255" s="19">
        <v>5</v>
      </c>
      <c r="F255" s="13">
        <f t="shared" si="3"/>
        <v>1400251</v>
      </c>
      <c r="G255" s="13" t="s">
        <v>546</v>
      </c>
      <c r="H255" t="s">
        <v>611</v>
      </c>
    </row>
    <row r="256" spans="2:8" x14ac:dyDescent="0.25">
      <c r="B256" s="19">
        <f>'!STRING_ERROR(20181214)'!$C256</f>
        <v>45000003</v>
      </c>
      <c r="C256" s="13">
        <v>45000003</v>
      </c>
      <c r="D256" s="20" t="s">
        <v>184</v>
      </c>
      <c r="E256" s="19">
        <v>5</v>
      </c>
      <c r="F256" s="13">
        <f t="shared" si="3"/>
        <v>1400252</v>
      </c>
      <c r="G256" s="13" t="s">
        <v>547</v>
      </c>
      <c r="H256" t="s">
        <v>612</v>
      </c>
    </row>
    <row r="257" spans="2:8" x14ac:dyDescent="0.25">
      <c r="B257" s="19">
        <f>'!STRING_ERROR(20181214)'!$C257</f>
        <v>45000004</v>
      </c>
      <c r="C257" s="13">
        <v>45000004</v>
      </c>
      <c r="D257" s="20" t="s">
        <v>184</v>
      </c>
      <c r="E257" s="19">
        <v>5</v>
      </c>
      <c r="F257" s="13">
        <f t="shared" si="3"/>
        <v>1400253</v>
      </c>
      <c r="G257" s="13" t="s">
        <v>548</v>
      </c>
      <c r="H257" t="s">
        <v>613</v>
      </c>
    </row>
    <row r="258" spans="2:8" x14ac:dyDescent="0.25">
      <c r="B258" s="19">
        <f>'!STRING_ERROR(20181214)'!$C258</f>
        <v>45000005</v>
      </c>
      <c r="C258" s="13">
        <v>45000005</v>
      </c>
      <c r="D258" s="20" t="s">
        <v>184</v>
      </c>
      <c r="E258" s="19">
        <v>5</v>
      </c>
      <c r="F258" s="13">
        <f t="shared" si="3"/>
        <v>1400254</v>
      </c>
      <c r="G258" s="13" t="s">
        <v>549</v>
      </c>
      <c r="H258" t="s">
        <v>614</v>
      </c>
    </row>
    <row r="259" spans="2:8" x14ac:dyDescent="0.25">
      <c r="B259" s="19">
        <f>'!STRING_ERROR(20181214)'!$C259</f>
        <v>45000006</v>
      </c>
      <c r="C259" s="13">
        <v>45000006</v>
      </c>
      <c r="D259" s="20" t="s">
        <v>184</v>
      </c>
      <c r="E259" s="19">
        <v>5</v>
      </c>
      <c r="F259" s="13">
        <f t="shared" si="3"/>
        <v>1400255</v>
      </c>
      <c r="G259" s="13" t="s">
        <v>550</v>
      </c>
      <c r="H259" t="s">
        <v>615</v>
      </c>
    </row>
    <row r="260" spans="2:8" x14ac:dyDescent="0.25">
      <c r="B260" s="19">
        <f>'!STRING_ERROR(20181214)'!$C260</f>
        <v>45000007</v>
      </c>
      <c r="C260" s="13">
        <v>45000007</v>
      </c>
      <c r="D260" s="20" t="s">
        <v>184</v>
      </c>
      <c r="E260" s="19">
        <v>5</v>
      </c>
      <c r="F260" s="13">
        <f t="shared" si="3"/>
        <v>1400256</v>
      </c>
      <c r="G260" s="13" t="s">
        <v>551</v>
      </c>
      <c r="H260" t="s">
        <v>616</v>
      </c>
    </row>
    <row r="261" spans="2:8" x14ac:dyDescent="0.25">
      <c r="B261" s="19">
        <f>'!STRING_ERROR(20181214)'!$C261</f>
        <v>45000008</v>
      </c>
      <c r="C261" s="13">
        <v>45000008</v>
      </c>
      <c r="D261" s="20" t="s">
        <v>184</v>
      </c>
      <c r="E261" s="19">
        <v>5</v>
      </c>
      <c r="F261" s="13">
        <f t="shared" si="3"/>
        <v>1400257</v>
      </c>
      <c r="G261" s="13" t="s">
        <v>552</v>
      </c>
      <c r="H261" t="s">
        <v>617</v>
      </c>
    </row>
    <row r="262" spans="2:8" x14ac:dyDescent="0.25">
      <c r="B262" s="19">
        <f>'!STRING_ERROR(20181214)'!$C262</f>
        <v>45000009</v>
      </c>
      <c r="C262" s="13">
        <v>45000009</v>
      </c>
      <c r="D262" s="20" t="s">
        <v>184</v>
      </c>
      <c r="E262" s="19">
        <v>5</v>
      </c>
      <c r="F262" s="13">
        <f t="shared" si="3"/>
        <v>1400258</v>
      </c>
      <c r="G262" s="13" t="s">
        <v>553</v>
      </c>
      <c r="H262" t="s">
        <v>618</v>
      </c>
    </row>
    <row r="263" spans="2:8" x14ac:dyDescent="0.25">
      <c r="B263" s="19">
        <f>'!STRING_ERROR(20181214)'!$C263</f>
        <v>45000010</v>
      </c>
      <c r="C263" s="13">
        <v>45000010</v>
      </c>
      <c r="D263" s="20" t="s">
        <v>184</v>
      </c>
      <c r="E263" s="19">
        <v>5</v>
      </c>
      <c r="F263" s="13">
        <f t="shared" ref="F263:F321" si="4">F262+1</f>
        <v>1400259</v>
      </c>
      <c r="G263" s="13" t="s">
        <v>554</v>
      </c>
      <c r="H263" t="s">
        <v>619</v>
      </c>
    </row>
    <row r="264" spans="2:8" x14ac:dyDescent="0.25">
      <c r="B264" s="19">
        <f>'!STRING_ERROR(20181214)'!$C264</f>
        <v>45000011</v>
      </c>
      <c r="C264" s="13">
        <v>45000011</v>
      </c>
      <c r="D264" s="20" t="s">
        <v>184</v>
      </c>
      <c r="E264" s="19">
        <v>5</v>
      </c>
      <c r="F264" s="13">
        <f t="shared" si="4"/>
        <v>1400260</v>
      </c>
      <c r="G264" s="13" t="s">
        <v>555</v>
      </c>
      <c r="H264" t="s">
        <v>620</v>
      </c>
    </row>
    <row r="265" spans="2:8" x14ac:dyDescent="0.25">
      <c r="B265" s="19">
        <f>'!STRING_ERROR(20181214)'!$C265</f>
        <v>45000012</v>
      </c>
      <c r="C265" s="13">
        <v>45000012</v>
      </c>
      <c r="D265" s="20" t="s">
        <v>184</v>
      </c>
      <c r="E265" s="19">
        <v>5</v>
      </c>
      <c r="F265" s="13">
        <f t="shared" si="4"/>
        <v>1400261</v>
      </c>
      <c r="G265" s="13" t="s">
        <v>556</v>
      </c>
      <c r="H265" t="s">
        <v>621</v>
      </c>
    </row>
    <row r="266" spans="2:8" x14ac:dyDescent="0.25">
      <c r="B266" s="19">
        <f>'!STRING_ERROR(20181214)'!$C266</f>
        <v>45000013</v>
      </c>
      <c r="C266" s="13">
        <v>45000013</v>
      </c>
      <c r="D266" s="20" t="s">
        <v>184</v>
      </c>
      <c r="E266" s="19">
        <v>5</v>
      </c>
      <c r="F266" s="13">
        <f t="shared" si="4"/>
        <v>1400262</v>
      </c>
      <c r="G266" s="13" t="s">
        <v>557</v>
      </c>
      <c r="H266" t="s">
        <v>622</v>
      </c>
    </row>
    <row r="267" spans="2:8" x14ac:dyDescent="0.25">
      <c r="B267" s="19">
        <f>'!STRING_ERROR(20181214)'!$C267</f>
        <v>45000014</v>
      </c>
      <c r="C267" s="13">
        <v>45000014</v>
      </c>
      <c r="D267" s="20" t="s">
        <v>184</v>
      </c>
      <c r="E267" s="19">
        <v>5</v>
      </c>
      <c r="F267" s="13">
        <f t="shared" si="4"/>
        <v>1400263</v>
      </c>
      <c r="G267" s="13" t="s">
        <v>558</v>
      </c>
      <c r="H267" t="s">
        <v>623</v>
      </c>
    </row>
    <row r="268" spans="2:8" x14ac:dyDescent="0.25">
      <c r="B268" s="19">
        <f>'!STRING_ERROR(20181214)'!$C268</f>
        <v>45000015</v>
      </c>
      <c r="C268" s="13">
        <v>45000015</v>
      </c>
      <c r="D268" s="20" t="s">
        <v>184</v>
      </c>
      <c r="E268" s="19">
        <v>5</v>
      </c>
      <c r="F268" s="13">
        <f t="shared" si="4"/>
        <v>1400264</v>
      </c>
      <c r="G268" s="13" t="s">
        <v>559</v>
      </c>
      <c r="H268" t="s">
        <v>624</v>
      </c>
    </row>
    <row r="269" spans="2:8" x14ac:dyDescent="0.25">
      <c r="B269" s="19">
        <f>'!STRING_ERROR(20181214)'!$C269</f>
        <v>45000016</v>
      </c>
      <c r="C269" s="13">
        <v>45000016</v>
      </c>
      <c r="D269" s="20" t="s">
        <v>184</v>
      </c>
      <c r="E269" s="19">
        <v>5</v>
      </c>
      <c r="F269" s="13">
        <f t="shared" si="4"/>
        <v>1400265</v>
      </c>
      <c r="G269" s="13" t="s">
        <v>560</v>
      </c>
      <c r="H269" t="s">
        <v>625</v>
      </c>
    </row>
    <row r="270" spans="2:8" x14ac:dyDescent="0.25">
      <c r="B270" s="19">
        <f>'!STRING_ERROR(20181214)'!$C270</f>
        <v>45000020</v>
      </c>
      <c r="C270" s="13">
        <v>45000020</v>
      </c>
      <c r="D270" s="20" t="s">
        <v>184</v>
      </c>
      <c r="E270" s="19">
        <v>5</v>
      </c>
      <c r="F270" s="13">
        <f t="shared" si="4"/>
        <v>1400266</v>
      </c>
      <c r="G270" s="13" t="s">
        <v>561</v>
      </c>
      <c r="H270" t="s">
        <v>626</v>
      </c>
    </row>
    <row r="271" spans="2:8" x14ac:dyDescent="0.25">
      <c r="B271" s="19">
        <f>'!STRING_ERROR(20181214)'!$C271</f>
        <v>45000021</v>
      </c>
      <c r="C271" s="13">
        <v>45000021</v>
      </c>
      <c r="D271" s="20" t="s">
        <v>184</v>
      </c>
      <c r="E271" s="19">
        <v>5</v>
      </c>
      <c r="F271" s="13">
        <f t="shared" si="4"/>
        <v>1400267</v>
      </c>
      <c r="G271" s="13" t="s">
        <v>562</v>
      </c>
      <c r="H271" t="s">
        <v>627</v>
      </c>
    </row>
    <row r="272" spans="2:8" x14ac:dyDescent="0.25">
      <c r="B272" s="19">
        <f>'!STRING_ERROR(20181214)'!$C272</f>
        <v>45000022</v>
      </c>
      <c r="C272" s="13">
        <v>45000022</v>
      </c>
      <c r="D272" s="20" t="s">
        <v>184</v>
      </c>
      <c r="E272" s="19">
        <v>5</v>
      </c>
      <c r="F272" s="13">
        <f t="shared" si="4"/>
        <v>1400268</v>
      </c>
      <c r="G272" s="13" t="s">
        <v>563</v>
      </c>
      <c r="H272" t="s">
        <v>628</v>
      </c>
    </row>
    <row r="273" spans="2:8" x14ac:dyDescent="0.25">
      <c r="B273" s="19">
        <f>'!STRING_ERROR(20181214)'!$C273</f>
        <v>45000023</v>
      </c>
      <c r="C273" s="13">
        <v>45000023</v>
      </c>
      <c r="D273" s="20" t="s">
        <v>184</v>
      </c>
      <c r="E273" s="19">
        <v>5</v>
      </c>
      <c r="F273" s="13">
        <f t="shared" si="4"/>
        <v>1400269</v>
      </c>
      <c r="G273" s="13" t="s">
        <v>564</v>
      </c>
      <c r="H273" t="s">
        <v>629</v>
      </c>
    </row>
    <row r="274" spans="2:8" x14ac:dyDescent="0.25">
      <c r="B274" s="19">
        <f>'!STRING_ERROR(20181214)'!$C274</f>
        <v>45000024</v>
      </c>
      <c r="C274" s="13">
        <v>45000024</v>
      </c>
      <c r="D274" s="20" t="s">
        <v>184</v>
      </c>
      <c r="E274" s="19">
        <v>5</v>
      </c>
      <c r="F274" s="13">
        <f t="shared" si="4"/>
        <v>1400270</v>
      </c>
      <c r="G274" s="13" t="s">
        <v>565</v>
      </c>
      <c r="H274" t="s">
        <v>630</v>
      </c>
    </row>
    <row r="275" spans="2:8" x14ac:dyDescent="0.25">
      <c r="B275" s="19">
        <f>'!STRING_ERROR(20181214)'!$C275</f>
        <v>45000025</v>
      </c>
      <c r="C275" s="13">
        <v>45000025</v>
      </c>
      <c r="D275" s="20" t="s">
        <v>184</v>
      </c>
      <c r="E275" s="19">
        <v>5</v>
      </c>
      <c r="F275" s="13">
        <f t="shared" si="4"/>
        <v>1400271</v>
      </c>
      <c r="G275" s="13" t="s">
        <v>566</v>
      </c>
      <c r="H275" t="s">
        <v>631</v>
      </c>
    </row>
    <row r="276" spans="2:8" x14ac:dyDescent="0.25">
      <c r="B276" s="19">
        <f>'!STRING_ERROR(20181214)'!$C276</f>
        <v>45000026</v>
      </c>
      <c r="C276" s="13">
        <v>45000026</v>
      </c>
      <c r="D276" s="20" t="s">
        <v>184</v>
      </c>
      <c r="E276" s="19">
        <v>5</v>
      </c>
      <c r="F276" s="13">
        <f t="shared" si="4"/>
        <v>1400272</v>
      </c>
      <c r="G276" s="13" t="s">
        <v>567</v>
      </c>
      <c r="H276" t="s">
        <v>632</v>
      </c>
    </row>
    <row r="277" spans="2:8" x14ac:dyDescent="0.25">
      <c r="B277" s="19">
        <f>'!STRING_ERROR(20181214)'!$C277</f>
        <v>45000030</v>
      </c>
      <c r="C277" s="13">
        <v>45000030</v>
      </c>
      <c r="D277" s="20" t="s">
        <v>184</v>
      </c>
      <c r="E277" s="19">
        <v>5</v>
      </c>
      <c r="F277" s="13">
        <f t="shared" si="4"/>
        <v>1400273</v>
      </c>
      <c r="G277" s="13" t="s">
        <v>568</v>
      </c>
      <c r="H277" t="s">
        <v>633</v>
      </c>
    </row>
    <row r="278" spans="2:8" x14ac:dyDescent="0.25">
      <c r="B278" s="19">
        <f>'!STRING_ERROR(20181214)'!$C278</f>
        <v>45000031</v>
      </c>
      <c r="C278" s="13">
        <v>45000031</v>
      </c>
      <c r="D278" s="20" t="s">
        <v>184</v>
      </c>
      <c r="E278" s="19">
        <v>5</v>
      </c>
      <c r="F278" s="13">
        <f t="shared" si="4"/>
        <v>1400274</v>
      </c>
      <c r="G278" s="13" t="s">
        <v>569</v>
      </c>
      <c r="H278" t="s">
        <v>634</v>
      </c>
    </row>
    <row r="279" spans="2:8" x14ac:dyDescent="0.25">
      <c r="B279" s="19">
        <f>'!STRING_ERROR(20181214)'!$C279</f>
        <v>45000032</v>
      </c>
      <c r="C279" s="13">
        <v>45000032</v>
      </c>
      <c r="D279" s="20" t="s">
        <v>184</v>
      </c>
      <c r="E279" s="19">
        <v>5</v>
      </c>
      <c r="F279" s="13">
        <f t="shared" si="4"/>
        <v>1400275</v>
      </c>
      <c r="G279" s="13" t="s">
        <v>570</v>
      </c>
      <c r="H279" t="s">
        <v>635</v>
      </c>
    </row>
    <row r="280" spans="2:8" x14ac:dyDescent="0.25">
      <c r="B280" s="19">
        <f>'!STRING_ERROR(20181214)'!$C280</f>
        <v>45000033</v>
      </c>
      <c r="C280" s="13">
        <v>45000033</v>
      </c>
      <c r="D280" s="20" t="s">
        <v>184</v>
      </c>
      <c r="E280" s="19">
        <v>5</v>
      </c>
      <c r="F280" s="13">
        <f t="shared" si="4"/>
        <v>1400276</v>
      </c>
      <c r="G280" s="13" t="s">
        <v>571</v>
      </c>
      <c r="H280" t="s">
        <v>636</v>
      </c>
    </row>
    <row r="281" spans="2:8" x14ac:dyDescent="0.25">
      <c r="B281" s="19">
        <f>'!STRING_ERROR(20181214)'!$C281</f>
        <v>45000040</v>
      </c>
      <c r="C281" s="13">
        <v>45000040</v>
      </c>
      <c r="D281" s="20" t="s">
        <v>184</v>
      </c>
      <c r="E281" s="19">
        <v>5</v>
      </c>
      <c r="F281" s="13">
        <f t="shared" si="4"/>
        <v>1400277</v>
      </c>
      <c r="G281" s="13" t="s">
        <v>572</v>
      </c>
      <c r="H281" t="s">
        <v>637</v>
      </c>
    </row>
    <row r="282" spans="2:8" x14ac:dyDescent="0.25">
      <c r="B282" s="19">
        <f>'!STRING_ERROR(20181214)'!$C282</f>
        <v>45000041</v>
      </c>
      <c r="C282" s="13">
        <v>45000041</v>
      </c>
      <c r="D282" s="20" t="s">
        <v>184</v>
      </c>
      <c r="E282" s="19">
        <v>5</v>
      </c>
      <c r="F282" s="13">
        <f t="shared" si="4"/>
        <v>1400278</v>
      </c>
      <c r="G282" s="13" t="s">
        <v>573</v>
      </c>
      <c r="H282" t="s">
        <v>638</v>
      </c>
    </row>
    <row r="283" spans="2:8" x14ac:dyDescent="0.25">
      <c r="B283" s="19">
        <f>'!STRING_ERROR(20181214)'!$C283</f>
        <v>45000042</v>
      </c>
      <c r="C283" s="13">
        <v>45000042</v>
      </c>
      <c r="D283" s="20" t="s">
        <v>184</v>
      </c>
      <c r="E283" s="19">
        <v>5</v>
      </c>
      <c r="F283" s="13">
        <f t="shared" si="4"/>
        <v>1400279</v>
      </c>
      <c r="G283" s="13" t="s">
        <v>574</v>
      </c>
      <c r="H283" t="s">
        <v>639</v>
      </c>
    </row>
    <row r="284" spans="2:8" x14ac:dyDescent="0.25">
      <c r="B284" s="19">
        <f>'!STRING_ERROR(20181214)'!$C284</f>
        <v>45100001</v>
      </c>
      <c r="C284" s="13">
        <v>45100001</v>
      </c>
      <c r="D284" s="20" t="s">
        <v>184</v>
      </c>
      <c r="E284" s="19">
        <v>5</v>
      </c>
      <c r="F284" s="13">
        <f t="shared" si="4"/>
        <v>1400280</v>
      </c>
      <c r="G284" s="13" t="s">
        <v>575</v>
      </c>
    </row>
    <row r="285" spans="2:8" x14ac:dyDescent="0.25">
      <c r="B285" s="19">
        <f>'!STRING_ERROR(20181214)'!$C285</f>
        <v>46000000</v>
      </c>
      <c r="C285" s="13">
        <v>46000000</v>
      </c>
      <c r="D285" s="20" t="s">
        <v>184</v>
      </c>
      <c r="E285" s="19">
        <v>5</v>
      </c>
      <c r="F285" s="13">
        <f t="shared" si="4"/>
        <v>1400281</v>
      </c>
      <c r="G285" s="13" t="s">
        <v>454</v>
      </c>
      <c r="H285" t="s">
        <v>661</v>
      </c>
    </row>
    <row r="286" spans="2:8" x14ac:dyDescent="0.25">
      <c r="B286" s="19">
        <f>'!STRING_ERROR(20181214)'!$C286</f>
        <v>46000001</v>
      </c>
      <c r="C286" s="13">
        <v>46000001</v>
      </c>
      <c r="D286" s="20" t="s">
        <v>184</v>
      </c>
      <c r="E286" s="19">
        <v>5</v>
      </c>
      <c r="F286" s="13">
        <f t="shared" si="4"/>
        <v>1400282</v>
      </c>
      <c r="G286" s="13" t="s">
        <v>455</v>
      </c>
      <c r="H286" t="s">
        <v>662</v>
      </c>
    </row>
    <row r="287" spans="2:8" x14ac:dyDescent="0.25">
      <c r="B287" s="19">
        <f>'!STRING_ERROR(20181214)'!$C287</f>
        <v>46000002</v>
      </c>
      <c r="C287" s="13">
        <v>46000002</v>
      </c>
      <c r="D287" s="20" t="s">
        <v>184</v>
      </c>
      <c r="E287" s="19">
        <v>5</v>
      </c>
      <c r="F287" s="13">
        <f t="shared" si="4"/>
        <v>1400283</v>
      </c>
      <c r="G287" s="13" t="s">
        <v>456</v>
      </c>
      <c r="H287" t="s">
        <v>663</v>
      </c>
    </row>
    <row r="288" spans="2:8" x14ac:dyDescent="0.25">
      <c r="B288" s="19">
        <f>'!STRING_ERROR(20181214)'!$C288</f>
        <v>46000003</v>
      </c>
      <c r="C288" s="13">
        <v>46000003</v>
      </c>
      <c r="D288" s="20" t="s">
        <v>184</v>
      </c>
      <c r="E288" s="19">
        <v>5</v>
      </c>
      <c r="F288" s="13">
        <f t="shared" si="4"/>
        <v>1400284</v>
      </c>
      <c r="G288" s="13" t="s">
        <v>457</v>
      </c>
      <c r="H288" t="s">
        <v>664</v>
      </c>
    </row>
    <row r="289" spans="2:8" x14ac:dyDescent="0.25">
      <c r="B289" s="19">
        <f>'!STRING_ERROR(20181214)'!$C289</f>
        <v>46000004</v>
      </c>
      <c r="C289" s="13">
        <v>46000004</v>
      </c>
      <c r="D289" s="20" t="s">
        <v>184</v>
      </c>
      <c r="E289" s="19">
        <v>5</v>
      </c>
      <c r="F289" s="13">
        <f t="shared" si="4"/>
        <v>1400285</v>
      </c>
      <c r="G289" s="13" t="s">
        <v>576</v>
      </c>
    </row>
    <row r="290" spans="2:8" x14ac:dyDescent="0.25">
      <c r="B290" s="19">
        <f>'!STRING_ERROR(20181214)'!$C290</f>
        <v>48000000</v>
      </c>
      <c r="C290" s="13">
        <v>48000000</v>
      </c>
      <c r="D290" s="20" t="s">
        <v>184</v>
      </c>
      <c r="E290" s="19">
        <v>5</v>
      </c>
      <c r="F290" s="13">
        <f t="shared" si="4"/>
        <v>1400286</v>
      </c>
      <c r="G290" s="13" t="s">
        <v>577</v>
      </c>
    </row>
    <row r="291" spans="2:8" x14ac:dyDescent="0.25">
      <c r="B291" s="19">
        <f>'!STRING_ERROR(20181214)'!$C291</f>
        <v>48000001</v>
      </c>
      <c r="C291" s="13">
        <v>48000001</v>
      </c>
      <c r="D291" s="20" t="s">
        <v>184</v>
      </c>
      <c r="E291" s="19">
        <v>5</v>
      </c>
      <c r="F291" s="13">
        <f t="shared" si="4"/>
        <v>1400287</v>
      </c>
      <c r="G291" s="13" t="s">
        <v>578</v>
      </c>
    </row>
    <row r="292" spans="2:8" x14ac:dyDescent="0.25">
      <c r="B292" s="19">
        <f>'!STRING_ERROR(20181214)'!$C292</f>
        <v>48000002</v>
      </c>
      <c r="C292" s="13">
        <v>48000002</v>
      </c>
      <c r="D292" s="20" t="s">
        <v>184</v>
      </c>
      <c r="E292" s="19">
        <v>5</v>
      </c>
      <c r="F292" s="13">
        <f t="shared" si="4"/>
        <v>1400288</v>
      </c>
      <c r="G292" s="13" t="s">
        <v>579</v>
      </c>
    </row>
    <row r="293" spans="2:8" x14ac:dyDescent="0.25">
      <c r="B293" s="19">
        <f>'!STRING_ERROR(20181214)'!$C293</f>
        <v>48000003</v>
      </c>
      <c r="C293" s="13">
        <v>48000003</v>
      </c>
      <c r="D293" s="20" t="s">
        <v>184</v>
      </c>
      <c r="E293" s="19">
        <v>5</v>
      </c>
      <c r="F293" s="13">
        <f t="shared" si="4"/>
        <v>1400289</v>
      </c>
      <c r="G293" s="13" t="s">
        <v>580</v>
      </c>
    </row>
    <row r="294" spans="2:8" x14ac:dyDescent="0.25">
      <c r="B294" s="19">
        <f>'!STRING_ERROR(20181214)'!$C294</f>
        <v>48002010</v>
      </c>
      <c r="C294" s="13">
        <v>48002010</v>
      </c>
      <c r="D294" s="20" t="s">
        <v>184</v>
      </c>
      <c r="E294" s="19">
        <v>5</v>
      </c>
      <c r="F294" s="13">
        <f t="shared" si="4"/>
        <v>1400290</v>
      </c>
      <c r="G294" s="13" t="s">
        <v>581</v>
      </c>
    </row>
    <row r="295" spans="2:8" x14ac:dyDescent="0.25">
      <c r="B295" s="19">
        <f>'!STRING_ERROR(20181214)'!$C295</f>
        <v>48002011</v>
      </c>
      <c r="C295" s="13">
        <v>48002011</v>
      </c>
      <c r="D295" s="20" t="s">
        <v>184</v>
      </c>
      <c r="E295" s="19">
        <v>5</v>
      </c>
      <c r="F295" s="13">
        <f t="shared" si="4"/>
        <v>1400291</v>
      </c>
      <c r="G295" s="13" t="s">
        <v>582</v>
      </c>
    </row>
    <row r="296" spans="2:8" x14ac:dyDescent="0.25">
      <c r="B296" s="19">
        <f>'!STRING_ERROR(20181214)'!$C296</f>
        <v>49000000</v>
      </c>
      <c r="C296" s="13">
        <v>49000000</v>
      </c>
      <c r="D296" s="20" t="s">
        <v>184</v>
      </c>
      <c r="E296" s="19">
        <v>5</v>
      </c>
      <c r="F296" s="13">
        <f t="shared" si="4"/>
        <v>1400292</v>
      </c>
      <c r="G296" s="13" t="s">
        <v>583</v>
      </c>
      <c r="H296" t="s">
        <v>640</v>
      </c>
    </row>
    <row r="297" spans="2:8" x14ac:dyDescent="0.25">
      <c r="B297" s="19">
        <f>'!STRING_ERROR(20181214)'!$C297</f>
        <v>49000001</v>
      </c>
      <c r="C297" s="13">
        <v>49000001</v>
      </c>
      <c r="D297" s="20" t="s">
        <v>184</v>
      </c>
      <c r="E297" s="19">
        <v>5</v>
      </c>
      <c r="F297" s="13">
        <f t="shared" si="4"/>
        <v>1400293</v>
      </c>
      <c r="G297" s="13" t="s">
        <v>584</v>
      </c>
      <c r="H297" t="s">
        <v>641</v>
      </c>
    </row>
    <row r="298" spans="2:8" x14ac:dyDescent="0.25">
      <c r="B298" s="19">
        <f>'!STRING_ERROR(20181214)'!$C298</f>
        <v>49000002</v>
      </c>
      <c r="C298" s="13">
        <v>49000002</v>
      </c>
      <c r="D298" s="20" t="s">
        <v>184</v>
      </c>
      <c r="E298" s="19">
        <v>5</v>
      </c>
      <c r="F298" s="13">
        <f t="shared" si="4"/>
        <v>1400294</v>
      </c>
      <c r="G298" s="13" t="s">
        <v>585</v>
      </c>
      <c r="H298" t="s">
        <v>642</v>
      </c>
    </row>
    <row r="299" spans="2:8" x14ac:dyDescent="0.25">
      <c r="B299" s="19">
        <f>'!STRING_ERROR(20181214)'!$C299</f>
        <v>49000003</v>
      </c>
      <c r="C299" s="13">
        <v>49000003</v>
      </c>
      <c r="D299" s="20" t="s">
        <v>184</v>
      </c>
      <c r="E299" s="19">
        <v>5</v>
      </c>
      <c r="F299" s="13">
        <f t="shared" si="4"/>
        <v>1400295</v>
      </c>
      <c r="G299" s="13" t="s">
        <v>586</v>
      </c>
      <c r="H299" t="s">
        <v>643</v>
      </c>
    </row>
    <row r="300" spans="2:8" x14ac:dyDescent="0.25">
      <c r="B300" s="19">
        <f>'!STRING_ERROR(20181214)'!$C300</f>
        <v>49000004</v>
      </c>
      <c r="C300" s="13">
        <v>49000004</v>
      </c>
      <c r="D300" s="20" t="s">
        <v>184</v>
      </c>
      <c r="E300" s="19">
        <v>5</v>
      </c>
      <c r="F300" s="13">
        <f t="shared" si="4"/>
        <v>1400296</v>
      </c>
      <c r="G300" s="13" t="s">
        <v>587</v>
      </c>
      <c r="H300" t="s">
        <v>644</v>
      </c>
    </row>
    <row r="301" spans="2:8" x14ac:dyDescent="0.25">
      <c r="B301" s="19">
        <f>'!STRING_ERROR(20181214)'!$C301</f>
        <v>49000100</v>
      </c>
      <c r="C301" s="13">
        <v>49000100</v>
      </c>
      <c r="D301" s="20" t="s">
        <v>184</v>
      </c>
      <c r="E301" s="19">
        <v>5</v>
      </c>
      <c r="F301" s="13">
        <f t="shared" si="4"/>
        <v>1400297</v>
      </c>
      <c r="G301" s="13" t="s">
        <v>588</v>
      </c>
      <c r="H301" t="s">
        <v>645</v>
      </c>
    </row>
    <row r="302" spans="2:8" x14ac:dyDescent="0.25">
      <c r="B302" s="19">
        <f>'!STRING_ERROR(20181214)'!$C302</f>
        <v>49000101</v>
      </c>
      <c r="C302" s="13">
        <v>49000101</v>
      </c>
      <c r="D302" s="20" t="s">
        <v>184</v>
      </c>
      <c r="E302" s="19">
        <v>5</v>
      </c>
      <c r="F302" s="13">
        <f t="shared" si="4"/>
        <v>1400298</v>
      </c>
      <c r="G302" s="13" t="s">
        <v>589</v>
      </c>
      <c r="H302" t="s">
        <v>646</v>
      </c>
    </row>
    <row r="303" spans="2:8" x14ac:dyDescent="0.25">
      <c r="B303" s="19">
        <f>'!STRING_ERROR(20181214)'!$C303</f>
        <v>49000102</v>
      </c>
      <c r="C303" s="13">
        <v>49000102</v>
      </c>
      <c r="D303" s="20" t="s">
        <v>184</v>
      </c>
      <c r="E303" s="19">
        <v>5</v>
      </c>
      <c r="F303" s="13">
        <f t="shared" si="4"/>
        <v>1400299</v>
      </c>
      <c r="G303" s="13" t="s">
        <v>590</v>
      </c>
      <c r="H303" t="s">
        <v>647</v>
      </c>
    </row>
    <row r="304" spans="2:8" x14ac:dyDescent="0.25">
      <c r="B304" s="19">
        <f>'!STRING_ERROR(20181214)'!$C304</f>
        <v>49000103</v>
      </c>
      <c r="C304" s="13">
        <v>49000103</v>
      </c>
      <c r="D304" s="20" t="s">
        <v>184</v>
      </c>
      <c r="E304" s="19">
        <v>5</v>
      </c>
      <c r="F304" s="13">
        <f t="shared" si="4"/>
        <v>1400300</v>
      </c>
      <c r="G304" s="13" t="s">
        <v>591</v>
      </c>
      <c r="H304" t="s">
        <v>648</v>
      </c>
    </row>
    <row r="305" spans="2:8" x14ac:dyDescent="0.25">
      <c r="B305" s="19">
        <f>'!STRING_ERROR(20181214)'!$C305</f>
        <v>49000104</v>
      </c>
      <c r="C305" s="13">
        <v>49000104</v>
      </c>
      <c r="D305" s="20" t="s">
        <v>184</v>
      </c>
      <c r="E305" s="19">
        <v>5</v>
      </c>
      <c r="F305" s="13">
        <f t="shared" si="4"/>
        <v>1400301</v>
      </c>
      <c r="G305" s="13" t="s">
        <v>592</v>
      </c>
      <c r="H305" t="s">
        <v>649</v>
      </c>
    </row>
    <row r="306" spans="2:8" x14ac:dyDescent="0.25">
      <c r="B306" s="19">
        <f>'!STRING_ERROR(20181214)'!$C306</f>
        <v>49000105</v>
      </c>
      <c r="C306" s="13">
        <v>49000105</v>
      </c>
      <c r="D306" s="20" t="s">
        <v>184</v>
      </c>
      <c r="E306" s="19">
        <v>5</v>
      </c>
      <c r="F306" s="13">
        <f t="shared" si="4"/>
        <v>1400302</v>
      </c>
      <c r="G306" s="13" t="s">
        <v>593</v>
      </c>
      <c r="H306" t="s">
        <v>650</v>
      </c>
    </row>
    <row r="307" spans="2:8" x14ac:dyDescent="0.25">
      <c r="B307" s="19">
        <f>'!STRING_ERROR(20181214)'!$C307</f>
        <v>49000106</v>
      </c>
      <c r="C307" s="13">
        <v>49000106</v>
      </c>
      <c r="D307" s="20" t="s">
        <v>184</v>
      </c>
      <c r="E307" s="19">
        <v>5</v>
      </c>
      <c r="F307" s="13">
        <f t="shared" si="4"/>
        <v>1400303</v>
      </c>
      <c r="G307" s="13" t="s">
        <v>594</v>
      </c>
      <c r="H307" t="s">
        <v>651</v>
      </c>
    </row>
    <row r="308" spans="2:8" x14ac:dyDescent="0.25">
      <c r="B308" s="19">
        <f>'!STRING_ERROR(20181214)'!$C308</f>
        <v>50000000</v>
      </c>
      <c r="C308" s="37">
        <v>50000000</v>
      </c>
      <c r="D308" s="20" t="s">
        <v>184</v>
      </c>
      <c r="E308" s="19">
        <v>5</v>
      </c>
      <c r="F308" s="37">
        <f t="shared" si="4"/>
        <v>1400304</v>
      </c>
      <c r="G308" s="37" t="s">
        <v>462</v>
      </c>
      <c r="H308" s="38" t="s">
        <v>665</v>
      </c>
    </row>
    <row r="309" spans="2:8" x14ac:dyDescent="0.25">
      <c r="B309" s="19">
        <f>'!STRING_ERROR(20181214)'!$C309</f>
        <v>50000001</v>
      </c>
      <c r="C309" s="37">
        <v>50000001</v>
      </c>
      <c r="D309" s="20" t="s">
        <v>184</v>
      </c>
      <c r="E309" s="19">
        <v>5</v>
      </c>
      <c r="F309" s="37">
        <f t="shared" si="4"/>
        <v>1400305</v>
      </c>
      <c r="G309" s="37" t="s">
        <v>463</v>
      </c>
      <c r="H309" s="38" t="s">
        <v>666</v>
      </c>
    </row>
    <row r="310" spans="2:8" x14ac:dyDescent="0.25">
      <c r="B310" s="19">
        <f>'!STRING_ERROR(20181214)'!$C310</f>
        <v>50000002</v>
      </c>
      <c r="C310" s="37">
        <v>50000002</v>
      </c>
      <c r="D310" s="20" t="s">
        <v>184</v>
      </c>
      <c r="E310" s="19">
        <v>5</v>
      </c>
      <c r="F310" s="37">
        <f t="shared" si="4"/>
        <v>1400306</v>
      </c>
      <c r="G310" s="37" t="s">
        <v>464</v>
      </c>
      <c r="H310" s="38" t="s">
        <v>667</v>
      </c>
    </row>
    <row r="311" spans="2:8" x14ac:dyDescent="0.25">
      <c r="B311" s="19">
        <f>'!STRING_ERROR(20181214)'!$C311</f>
        <v>50000003</v>
      </c>
      <c r="C311" s="37">
        <v>50000003</v>
      </c>
      <c r="D311" s="20" t="s">
        <v>184</v>
      </c>
      <c r="E311" s="19">
        <v>5</v>
      </c>
      <c r="F311" s="37">
        <f t="shared" si="4"/>
        <v>1400307</v>
      </c>
      <c r="G311" s="37" t="s">
        <v>465</v>
      </c>
      <c r="H311" s="38" t="s">
        <v>668</v>
      </c>
    </row>
    <row r="312" spans="2:8" x14ac:dyDescent="0.25">
      <c r="B312" s="19">
        <f>'!STRING_ERROR(20181214)'!$C312</f>
        <v>50000004</v>
      </c>
      <c r="C312" s="37">
        <v>50000004</v>
      </c>
      <c r="D312" s="20" t="s">
        <v>184</v>
      </c>
      <c r="E312" s="19">
        <v>5</v>
      </c>
      <c r="F312" s="37">
        <f t="shared" si="4"/>
        <v>1400308</v>
      </c>
      <c r="G312" s="37" t="s">
        <v>466</v>
      </c>
      <c r="H312" s="38" t="s">
        <v>669</v>
      </c>
    </row>
    <row r="313" spans="2:8" x14ac:dyDescent="0.25">
      <c r="B313" s="19">
        <f>'!STRING_ERROR(20181214)'!$C313</f>
        <v>50000005</v>
      </c>
      <c r="C313" s="37">
        <v>50000005</v>
      </c>
      <c r="D313" s="20" t="s">
        <v>184</v>
      </c>
      <c r="E313" s="19">
        <v>5</v>
      </c>
      <c r="F313" s="37">
        <f t="shared" si="4"/>
        <v>1400309</v>
      </c>
      <c r="G313" s="37" t="s">
        <v>467</v>
      </c>
      <c r="H313" s="38" t="s">
        <v>670</v>
      </c>
    </row>
    <row r="314" spans="2:8" x14ac:dyDescent="0.25">
      <c r="B314" s="19">
        <f>'!STRING_ERROR(20181214)'!$C314</f>
        <v>50000006</v>
      </c>
      <c r="C314" s="37">
        <v>50000006</v>
      </c>
      <c r="D314" s="20" t="s">
        <v>184</v>
      </c>
      <c r="E314" s="19">
        <v>5</v>
      </c>
      <c r="F314" s="37">
        <f t="shared" si="4"/>
        <v>1400310</v>
      </c>
      <c r="G314" s="37" t="s">
        <v>468</v>
      </c>
      <c r="H314" s="38" t="s">
        <v>671</v>
      </c>
    </row>
    <row r="315" spans="2:8" x14ac:dyDescent="0.25">
      <c r="B315" s="19">
        <f>'!STRING_ERROR(20181214)'!$C315</f>
        <v>50000007</v>
      </c>
      <c r="C315" s="37">
        <v>50000007</v>
      </c>
      <c r="D315" s="20" t="s">
        <v>184</v>
      </c>
      <c r="E315" s="19">
        <v>5</v>
      </c>
      <c r="F315" s="37">
        <f t="shared" si="4"/>
        <v>1400311</v>
      </c>
      <c r="G315" s="37" t="s">
        <v>469</v>
      </c>
      <c r="H315" s="38" t="s">
        <v>672</v>
      </c>
    </row>
    <row r="316" spans="2:8" x14ac:dyDescent="0.25">
      <c r="B316" s="19">
        <f>'!STRING_ERROR(20181214)'!$C316</f>
        <v>50000008</v>
      </c>
      <c r="C316" s="37">
        <v>50000008</v>
      </c>
      <c r="D316" s="20" t="s">
        <v>184</v>
      </c>
      <c r="E316" s="19">
        <v>5</v>
      </c>
      <c r="F316" s="37">
        <f t="shared" si="4"/>
        <v>1400312</v>
      </c>
      <c r="G316" s="37" t="s">
        <v>470</v>
      </c>
      <c r="H316" s="38" t="s">
        <v>673</v>
      </c>
    </row>
    <row r="317" spans="2:8" x14ac:dyDescent="0.25">
      <c r="B317" s="19">
        <f>'!STRING_ERROR(20181214)'!$C317</f>
        <v>50000009</v>
      </c>
      <c r="C317" s="37">
        <v>50000009</v>
      </c>
      <c r="D317" s="20" t="s">
        <v>184</v>
      </c>
      <c r="E317" s="19">
        <v>5</v>
      </c>
      <c r="F317" s="37">
        <f t="shared" si="4"/>
        <v>1400313</v>
      </c>
      <c r="G317" s="37" t="s">
        <v>471</v>
      </c>
      <c r="H317" s="38" t="s">
        <v>674</v>
      </c>
    </row>
    <row r="318" spans="2:8" x14ac:dyDescent="0.25">
      <c r="B318" s="19">
        <f>'!STRING_ERROR(20181214)'!$C318</f>
        <v>50000010</v>
      </c>
      <c r="C318" s="37">
        <v>50000010</v>
      </c>
      <c r="D318" s="20" t="s">
        <v>184</v>
      </c>
      <c r="E318" s="19">
        <v>5</v>
      </c>
      <c r="F318" s="37">
        <f t="shared" si="4"/>
        <v>1400314</v>
      </c>
      <c r="G318" s="37" t="s">
        <v>472</v>
      </c>
      <c r="H318" s="38" t="s">
        <v>675</v>
      </c>
    </row>
    <row r="319" spans="2:8" x14ac:dyDescent="0.25">
      <c r="B319" s="19">
        <f>'!STRING_ERROR(20181214)'!$C319</f>
        <v>50000011</v>
      </c>
      <c r="C319" s="37">
        <v>50000011</v>
      </c>
      <c r="D319" s="20" t="s">
        <v>184</v>
      </c>
      <c r="E319" s="19">
        <v>5</v>
      </c>
      <c r="F319" s="37">
        <f t="shared" si="4"/>
        <v>1400315</v>
      </c>
      <c r="G319" s="37" t="s">
        <v>473</v>
      </c>
      <c r="H319" s="38" t="s">
        <v>676</v>
      </c>
    </row>
    <row r="320" spans="2:8" x14ac:dyDescent="0.25">
      <c r="B320" s="19">
        <f>'!STRING_ERROR(20181214)'!$C320</f>
        <v>50000012</v>
      </c>
      <c r="C320" s="37">
        <v>50000012</v>
      </c>
      <c r="D320" s="20" t="s">
        <v>184</v>
      </c>
      <c r="E320" s="19">
        <v>5</v>
      </c>
      <c r="F320" s="37">
        <f t="shared" si="4"/>
        <v>1400316</v>
      </c>
      <c r="G320" s="37" t="s">
        <v>474</v>
      </c>
      <c r="H320" s="38" t="s">
        <v>677</v>
      </c>
    </row>
    <row r="321" spans="2:8" x14ac:dyDescent="0.25">
      <c r="B321" s="19">
        <f>'!STRING_ERROR(20181214)'!$C321</f>
        <v>50000013</v>
      </c>
      <c r="C321" s="37">
        <v>50000013</v>
      </c>
      <c r="D321" s="20" t="s">
        <v>184</v>
      </c>
      <c r="E321" s="19">
        <v>5</v>
      </c>
      <c r="F321" s="37">
        <f t="shared" si="4"/>
        <v>1400317</v>
      </c>
      <c r="G321" s="37" t="s">
        <v>595</v>
      </c>
      <c r="H321" s="38" t="s">
        <v>652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WordDirectionChange">
          <controlPr defaultSize="0" autoLine="0" r:id="rId5">
            <anchor moveWithCells="1">
              <from>
                <xdr:col>0</xdr:col>
                <xdr:colOff>38100</xdr:colOff>
                <xdr:row>10</xdr:row>
                <xdr:rowOff>28575</xdr:rowOff>
              </from>
              <to>
                <xdr:col>0</xdr:col>
                <xdr:colOff>923925</xdr:colOff>
                <xdr:row>11</xdr:row>
                <xdr:rowOff>171450</xdr:rowOff>
              </to>
            </anchor>
          </controlPr>
        </control>
      </mc:Choice>
      <mc:Fallback>
        <control shapeId="5122" r:id="rId4" name="WordDirectionChange"/>
      </mc:Fallback>
    </mc:AlternateContent>
    <mc:AlternateContent xmlns:mc="http://schemas.openxmlformats.org/markup-compatibility/2006">
      <mc:Choice Requires="x14">
        <control shapeId="5121" r:id="rId6" name="JsonFileCreate">
          <controlPr autoLine="0" r:id="rId7">
            <anchor moveWithCells="1">
              <from>
                <xdr:col>0</xdr:col>
                <xdr:colOff>38100</xdr:colOff>
                <xdr:row>4</xdr:row>
                <xdr:rowOff>0</xdr:rowOff>
              </from>
              <to>
                <xdr:col>0</xdr:col>
                <xdr:colOff>923925</xdr:colOff>
                <xdr:row>8</xdr:row>
                <xdr:rowOff>104775</xdr:rowOff>
              </to>
            </anchor>
          </controlPr>
        </control>
      </mc:Choice>
      <mc:Fallback>
        <control shapeId="5121" r:id="rId6" name="JsonFileCreate"/>
      </mc:Fallback>
    </mc:AlternateContent>
    <mc:AlternateContent xmlns:mc="http://schemas.openxmlformats.org/markup-compatibility/2006">
      <mc:Choice Requires="x14">
        <control shapeId="5123" r:id="rId8" name="Button 3">
          <controlPr defaultSize="0" print="0" autoFill="0" autoPict="0" macro="[0]!Commit_Click">
            <anchor moveWithCells="1" sizeWithCells="1">
              <from>
                <xdr:col>0</xdr:col>
                <xdr:colOff>47625</xdr:colOff>
                <xdr:row>8</xdr:row>
                <xdr:rowOff>0</xdr:rowOff>
              </from>
              <to>
                <xdr:col>0</xdr:col>
                <xdr:colOff>895350</xdr:colOff>
                <xdr:row>9</xdr:row>
                <xdr:rowOff>200025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3300"/>
  </sheetPr>
  <dimension ref="A2:H229"/>
  <sheetViews>
    <sheetView topLeftCell="A187" workbookViewId="0">
      <pane xSplit="1" topLeftCell="B1" activePane="topRight" state="frozen"/>
      <selection pane="topRight" activeCell="D232" sqref="D232"/>
    </sheetView>
  </sheetViews>
  <sheetFormatPr defaultRowHeight="16.5" x14ac:dyDescent="0.3"/>
  <cols>
    <col min="1" max="1" width="12.5" customWidth="1"/>
    <col min="2" max="2" width="12.125" style="13" bestFit="1" customWidth="1"/>
    <col min="3" max="3" width="8.5" style="13" bestFit="1" customWidth="1"/>
    <col min="4" max="4" width="22.5" style="13" bestFit="1" customWidth="1"/>
    <col min="5" max="5" width="8.75" style="13" bestFit="1" customWidth="1"/>
    <col min="6" max="6" width="17.5" style="13" customWidth="1"/>
    <col min="7" max="7" width="36.75" style="13" customWidth="1"/>
    <col min="8" max="8" width="39.375" customWidth="1"/>
    <col min="9" max="9" width="9.625" customWidth="1"/>
  </cols>
  <sheetData>
    <row r="2" spans="1:8" ht="16.5" customHeight="1" x14ac:dyDescent="0.3">
      <c r="A2" s="10" t="s">
        <v>14</v>
      </c>
      <c r="B2" s="6" t="str">
        <f>'!명세서'!F6</f>
        <v>언리얼 필수값</v>
      </c>
      <c r="C2" s="6" t="str">
        <f>'!명세서'!F12</f>
        <v>에러ID</v>
      </c>
      <c r="D2" s="6" t="str">
        <f>'!명세서'!F13</f>
        <v>기획 참고용</v>
      </c>
      <c r="E2" s="6" t="str">
        <f>'!명세서'!F14</f>
        <v>에러TYPE</v>
      </c>
      <c r="F2" s="6" t="str">
        <f>'!명세서'!F15</f>
        <v>연결 스트링메시지ID</v>
      </c>
      <c r="G2" s="6" t="str">
        <f>'!명세서'!F18</f>
        <v>기획참조</v>
      </c>
      <c r="H2" s="8" t="str">
        <f>'!명세서'!F19</f>
        <v>기획참조</v>
      </c>
    </row>
    <row r="3" spans="1:8" x14ac:dyDescent="0.3">
      <c r="A3" s="11" t="s">
        <v>9</v>
      </c>
      <c r="B3" s="7" t="str">
        <f>'!명세서'!C6</f>
        <v>int</v>
      </c>
      <c r="C3" s="7" t="str">
        <f>'!명세서'!C12</f>
        <v>int</v>
      </c>
      <c r="D3" s="7" t="str">
        <f>'!명세서'!C13</f>
        <v>string</v>
      </c>
      <c r="E3" s="7" t="str">
        <f>'!명세서'!C14</f>
        <v>int</v>
      </c>
      <c r="F3" s="7" t="str">
        <f>'!명세서'!C15</f>
        <v>int</v>
      </c>
      <c r="G3" s="7" t="str">
        <f>'!명세서'!C18</f>
        <v>text</v>
      </c>
      <c r="H3" s="9" t="str">
        <f>'!명세서'!C19</f>
        <v>text</v>
      </c>
    </row>
    <row r="4" spans="1:8" x14ac:dyDescent="0.3">
      <c r="A4" s="12" t="s">
        <v>6</v>
      </c>
      <c r="B4" s="17" t="str">
        <f>'!명세서'!B6</f>
        <v>Name</v>
      </c>
      <c r="C4" s="17" t="str">
        <f>'!명세서'!B12</f>
        <v>ErrorId</v>
      </c>
      <c r="D4" s="17" t="str">
        <f>'!명세서'!B13</f>
        <v>!ErrorType</v>
      </c>
      <c r="E4" s="17" t="str">
        <f>'!명세서'!B14</f>
        <v>ErrorType</v>
      </c>
      <c r="F4" s="17" t="str">
        <f>'!명세서'!B15</f>
        <v>LinkStringId</v>
      </c>
      <c r="G4" s="17" t="str">
        <f>'!명세서'!B18</f>
        <v>!에러코더</v>
      </c>
      <c r="H4" s="18" t="str">
        <f>'!명세서'!B19</f>
        <v>!에러설명</v>
      </c>
    </row>
    <row r="5" spans="1:8" x14ac:dyDescent="0.25">
      <c r="B5" s="19">
        <f>'!STRING_ERROR(20181207)'!$C5</f>
        <v>1</v>
      </c>
      <c r="C5" s="20">
        <v>1</v>
      </c>
      <c r="D5" s="20" t="s">
        <v>190</v>
      </c>
      <c r="E5" s="19">
        <v>99</v>
      </c>
      <c r="F5" s="19">
        <v>1400001</v>
      </c>
      <c r="G5" s="20" t="s">
        <v>325</v>
      </c>
      <c r="H5" s="21" t="s">
        <v>391</v>
      </c>
    </row>
    <row r="6" spans="1:8" x14ac:dyDescent="0.25">
      <c r="B6" s="19">
        <f>'!STRING_ERROR(20181207)'!$C6</f>
        <v>2</v>
      </c>
      <c r="C6" s="20">
        <v>2</v>
      </c>
      <c r="D6" s="20" t="s">
        <v>190</v>
      </c>
      <c r="E6" s="19">
        <v>99</v>
      </c>
      <c r="F6" s="19">
        <v>1400002</v>
      </c>
      <c r="G6" s="20" t="s">
        <v>326</v>
      </c>
      <c r="H6" s="21" t="s">
        <v>392</v>
      </c>
    </row>
    <row r="7" spans="1:8" x14ac:dyDescent="0.25">
      <c r="B7" s="19">
        <f>'!STRING_ERROR(20181207)'!$C7</f>
        <v>3</v>
      </c>
      <c r="C7" s="20">
        <v>3</v>
      </c>
      <c r="D7" s="20" t="s">
        <v>190</v>
      </c>
      <c r="E7" s="19">
        <v>99</v>
      </c>
      <c r="F7" s="19">
        <v>1400003</v>
      </c>
      <c r="G7" s="20" t="s">
        <v>327</v>
      </c>
      <c r="H7" s="21" t="s">
        <v>393</v>
      </c>
    </row>
    <row r="8" spans="1:8" x14ac:dyDescent="0.25">
      <c r="B8" s="19">
        <f>'!STRING_ERROR(20181207)'!$C8</f>
        <v>4</v>
      </c>
      <c r="C8" s="20">
        <v>4</v>
      </c>
      <c r="D8" s="20" t="s">
        <v>190</v>
      </c>
      <c r="E8" s="19">
        <v>99</v>
      </c>
      <c r="F8" s="19">
        <v>1400004</v>
      </c>
      <c r="G8" s="20" t="s">
        <v>328</v>
      </c>
      <c r="H8" s="21" t="s">
        <v>394</v>
      </c>
    </row>
    <row r="9" spans="1:8" x14ac:dyDescent="0.25">
      <c r="B9" s="19">
        <f>'!STRING_ERROR(20181207)'!$C9</f>
        <v>5</v>
      </c>
      <c r="C9" s="20">
        <v>5</v>
      </c>
      <c r="D9" s="20" t="s">
        <v>190</v>
      </c>
      <c r="E9" s="19">
        <v>99</v>
      </c>
      <c r="F9" s="19">
        <v>1400005</v>
      </c>
      <c r="G9" s="20" t="s">
        <v>329</v>
      </c>
      <c r="H9" s="21" t="s">
        <v>395</v>
      </c>
    </row>
    <row r="10" spans="1:8" x14ac:dyDescent="0.25">
      <c r="B10" s="19">
        <f>'!STRING_ERROR(20181207)'!$C10</f>
        <v>6</v>
      </c>
      <c r="C10" s="20">
        <v>6</v>
      </c>
      <c r="D10" s="20" t="s">
        <v>190</v>
      </c>
      <c r="E10" s="19">
        <v>99</v>
      </c>
      <c r="F10" s="19">
        <v>1400006</v>
      </c>
      <c r="G10" s="20" t="s">
        <v>330</v>
      </c>
      <c r="H10" s="21" t="s">
        <v>396</v>
      </c>
    </row>
    <row r="11" spans="1:8" x14ac:dyDescent="0.25">
      <c r="B11" s="19">
        <f>'!STRING_ERROR(20181207)'!$C11</f>
        <v>7</v>
      </c>
      <c r="C11" s="20">
        <v>7</v>
      </c>
      <c r="D11" s="20" t="s">
        <v>190</v>
      </c>
      <c r="E11" s="19">
        <v>99</v>
      </c>
      <c r="F11" s="19">
        <v>1400007</v>
      </c>
      <c r="G11" s="20" t="s">
        <v>331</v>
      </c>
      <c r="H11" s="21" t="s">
        <v>397</v>
      </c>
    </row>
    <row r="12" spans="1:8" x14ac:dyDescent="0.25">
      <c r="B12" s="19">
        <f>'!STRING_ERROR(20181207)'!$C12</f>
        <v>8</v>
      </c>
      <c r="C12" s="20">
        <v>8</v>
      </c>
      <c r="D12" s="20" t="s">
        <v>190</v>
      </c>
      <c r="E12" s="19">
        <v>99</v>
      </c>
      <c r="F12" s="19">
        <v>1400008</v>
      </c>
      <c r="G12" s="20" t="s">
        <v>332</v>
      </c>
      <c r="H12" s="21" t="s">
        <v>398</v>
      </c>
    </row>
    <row r="13" spans="1:8" x14ac:dyDescent="0.25">
      <c r="B13" s="19">
        <f>'!STRING_ERROR(20181207)'!$C13</f>
        <v>101</v>
      </c>
      <c r="C13" s="20">
        <v>101</v>
      </c>
      <c r="D13" s="20" t="s">
        <v>190</v>
      </c>
      <c r="E13" s="19">
        <v>99</v>
      </c>
      <c r="F13" s="19">
        <v>1400009</v>
      </c>
      <c r="G13" s="20" t="s">
        <v>333</v>
      </c>
      <c r="H13" s="21" t="s">
        <v>399</v>
      </c>
    </row>
    <row r="14" spans="1:8" x14ac:dyDescent="0.25">
      <c r="B14" s="19">
        <f>'!STRING_ERROR(20181207)'!$C14</f>
        <v>201</v>
      </c>
      <c r="C14" s="20">
        <v>201</v>
      </c>
      <c r="D14" s="20" t="s">
        <v>190</v>
      </c>
      <c r="E14" s="19">
        <v>99</v>
      </c>
      <c r="F14" s="19">
        <v>1400010</v>
      </c>
      <c r="G14" s="20" t="s">
        <v>334</v>
      </c>
      <c r="H14" s="21" t="s">
        <v>400</v>
      </c>
    </row>
    <row r="15" spans="1:8" x14ac:dyDescent="0.25">
      <c r="B15" s="19">
        <f>'!STRING_ERROR(20181207)'!$C15</f>
        <v>203</v>
      </c>
      <c r="C15" s="20">
        <v>203</v>
      </c>
      <c r="D15" s="20" t="s">
        <v>190</v>
      </c>
      <c r="E15" s="19">
        <v>99</v>
      </c>
      <c r="F15" s="19">
        <v>1400011</v>
      </c>
      <c r="G15" s="20" t="s">
        <v>335</v>
      </c>
      <c r="H15" s="21" t="s">
        <v>401</v>
      </c>
    </row>
    <row r="16" spans="1:8" x14ac:dyDescent="0.25">
      <c r="B16" s="19">
        <f>'!STRING_ERROR(20181207)'!$C16</f>
        <v>204</v>
      </c>
      <c r="C16" s="20">
        <v>204</v>
      </c>
      <c r="D16" s="20" t="s">
        <v>190</v>
      </c>
      <c r="E16" s="19">
        <v>99</v>
      </c>
      <c r="F16" s="19">
        <v>1400012</v>
      </c>
      <c r="G16" s="20" t="s">
        <v>336</v>
      </c>
      <c r="H16" s="21" t="s">
        <v>402</v>
      </c>
    </row>
    <row r="17" spans="2:8" x14ac:dyDescent="0.25">
      <c r="B17" s="19">
        <f>'!STRING_ERROR(20181207)'!$C17</f>
        <v>301</v>
      </c>
      <c r="C17" s="20">
        <v>301</v>
      </c>
      <c r="D17" s="20" t="s">
        <v>190</v>
      </c>
      <c r="E17" s="19">
        <v>99</v>
      </c>
      <c r="F17" s="19">
        <v>1400013</v>
      </c>
      <c r="G17" s="20" t="s">
        <v>337</v>
      </c>
      <c r="H17" s="21" t="s">
        <v>403</v>
      </c>
    </row>
    <row r="18" spans="2:8" x14ac:dyDescent="0.25">
      <c r="B18" s="19">
        <f>'!STRING_ERROR(20181207)'!$C18</f>
        <v>302</v>
      </c>
      <c r="C18" s="20">
        <v>302</v>
      </c>
      <c r="D18" s="20" t="s">
        <v>190</v>
      </c>
      <c r="E18" s="19">
        <v>99</v>
      </c>
      <c r="F18" s="19">
        <v>1400014</v>
      </c>
      <c r="G18" s="20" t="s">
        <v>338</v>
      </c>
      <c r="H18" s="21" t="s">
        <v>404</v>
      </c>
    </row>
    <row r="19" spans="2:8" x14ac:dyDescent="0.25">
      <c r="B19" s="19">
        <f>'!STRING_ERROR(20181207)'!$C19</f>
        <v>401</v>
      </c>
      <c r="C19" s="20">
        <v>401</v>
      </c>
      <c r="D19" s="20" t="s">
        <v>190</v>
      </c>
      <c r="E19" s="19">
        <v>99</v>
      </c>
      <c r="F19" s="19">
        <v>1400015</v>
      </c>
      <c r="G19" s="20" t="s">
        <v>339</v>
      </c>
      <c r="H19" s="21" t="s">
        <v>399</v>
      </c>
    </row>
    <row r="20" spans="2:8" x14ac:dyDescent="0.25">
      <c r="B20" s="19">
        <f>'!STRING_ERROR(20181207)'!$C20</f>
        <v>402</v>
      </c>
      <c r="C20" s="20">
        <v>402</v>
      </c>
      <c r="D20" s="20" t="s">
        <v>190</v>
      </c>
      <c r="E20" s="19">
        <v>99</v>
      </c>
      <c r="F20" s="19">
        <v>1400016</v>
      </c>
      <c r="G20" s="20" t="s">
        <v>340</v>
      </c>
      <c r="H20" s="21" t="s">
        <v>401</v>
      </c>
    </row>
    <row r="21" spans="2:8" x14ac:dyDescent="0.25">
      <c r="B21" s="19">
        <f>'!STRING_ERROR(20181207)'!$C21</f>
        <v>403</v>
      </c>
      <c r="C21" s="20">
        <v>403</v>
      </c>
      <c r="D21" s="20" t="s">
        <v>190</v>
      </c>
      <c r="E21" s="19">
        <v>99</v>
      </c>
      <c r="F21" s="19">
        <v>1400017</v>
      </c>
      <c r="G21" s="20" t="s">
        <v>341</v>
      </c>
      <c r="H21" s="21" t="s">
        <v>405</v>
      </c>
    </row>
    <row r="22" spans="2:8" x14ac:dyDescent="0.25">
      <c r="B22" s="19">
        <f>'!STRING_ERROR(20181207)'!$C22</f>
        <v>404</v>
      </c>
      <c r="C22" s="20">
        <v>404</v>
      </c>
      <c r="D22" s="20" t="s">
        <v>190</v>
      </c>
      <c r="E22" s="19">
        <v>99</v>
      </c>
      <c r="F22" s="19">
        <v>1400018</v>
      </c>
      <c r="G22" s="20" t="s">
        <v>342</v>
      </c>
      <c r="H22" s="21" t="s">
        <v>406</v>
      </c>
    </row>
    <row r="23" spans="2:8" x14ac:dyDescent="0.25">
      <c r="B23" s="19">
        <f>'!STRING_ERROR(20181207)'!$C23</f>
        <v>405</v>
      </c>
      <c r="C23" s="20">
        <v>405</v>
      </c>
      <c r="D23" s="20" t="s">
        <v>190</v>
      </c>
      <c r="E23" s="19">
        <v>99</v>
      </c>
      <c r="F23" s="19">
        <v>1400019</v>
      </c>
      <c r="G23" s="20" t="s">
        <v>343</v>
      </c>
      <c r="H23" s="21" t="s">
        <v>407</v>
      </c>
    </row>
    <row r="24" spans="2:8" x14ac:dyDescent="0.25">
      <c r="B24" s="19">
        <f>'!STRING_ERROR(20181207)'!$C24</f>
        <v>406</v>
      </c>
      <c r="C24" s="20">
        <v>406</v>
      </c>
      <c r="D24" s="20" t="s">
        <v>190</v>
      </c>
      <c r="E24" s="19">
        <v>99</v>
      </c>
      <c r="F24" s="19">
        <v>1400020</v>
      </c>
      <c r="G24" s="20" t="s">
        <v>344</v>
      </c>
      <c r="H24" s="21" t="s">
        <v>408</v>
      </c>
    </row>
    <row r="25" spans="2:8" x14ac:dyDescent="0.25">
      <c r="B25" s="19">
        <f>'!STRING_ERROR(20181207)'!$C25</f>
        <v>501</v>
      </c>
      <c r="C25" s="20">
        <v>501</v>
      </c>
      <c r="D25" s="20" t="s">
        <v>190</v>
      </c>
      <c r="E25" s="19">
        <v>99</v>
      </c>
      <c r="F25" s="19">
        <v>1400021</v>
      </c>
      <c r="G25" s="20" t="s">
        <v>345</v>
      </c>
      <c r="H25" s="21" t="s">
        <v>409</v>
      </c>
    </row>
    <row r="26" spans="2:8" x14ac:dyDescent="0.25">
      <c r="B26" s="19">
        <f>'!STRING_ERROR(20181207)'!$C26</f>
        <v>502</v>
      </c>
      <c r="C26" s="20">
        <v>502</v>
      </c>
      <c r="D26" s="20" t="s">
        <v>190</v>
      </c>
      <c r="E26" s="19">
        <v>99</v>
      </c>
      <c r="F26" s="19">
        <v>1400022</v>
      </c>
      <c r="G26" s="20" t="s">
        <v>346</v>
      </c>
      <c r="H26" s="21" t="s">
        <v>410</v>
      </c>
    </row>
    <row r="27" spans="2:8" x14ac:dyDescent="0.25">
      <c r="B27" s="19">
        <f>'!STRING_ERROR(20181207)'!$C27</f>
        <v>601</v>
      </c>
      <c r="C27" s="20">
        <v>601</v>
      </c>
      <c r="D27" s="20" t="s">
        <v>190</v>
      </c>
      <c r="E27" s="19">
        <v>99</v>
      </c>
      <c r="F27" s="19">
        <v>1400023</v>
      </c>
      <c r="G27" s="20" t="s">
        <v>347</v>
      </c>
      <c r="H27" s="21" t="s">
        <v>411</v>
      </c>
    </row>
    <row r="28" spans="2:8" x14ac:dyDescent="0.25">
      <c r="B28" s="19">
        <f>'!STRING_ERROR(20181207)'!$C28</f>
        <v>602</v>
      </c>
      <c r="C28" s="20">
        <v>602</v>
      </c>
      <c r="D28" s="20" t="s">
        <v>190</v>
      </c>
      <c r="E28" s="19">
        <v>99</v>
      </c>
      <c r="F28" s="19">
        <v>1400024</v>
      </c>
      <c r="G28" s="20" t="s">
        <v>348</v>
      </c>
      <c r="H28" s="21" t="s">
        <v>401</v>
      </c>
    </row>
    <row r="29" spans="2:8" x14ac:dyDescent="0.25">
      <c r="B29" s="19">
        <f>'!STRING_ERROR(20181207)'!$C29</f>
        <v>603</v>
      </c>
      <c r="C29" s="20">
        <v>603</v>
      </c>
      <c r="D29" s="20" t="s">
        <v>190</v>
      </c>
      <c r="E29" s="19">
        <v>99</v>
      </c>
      <c r="F29" s="19">
        <v>1400025</v>
      </c>
      <c r="G29" s="20" t="s">
        <v>349</v>
      </c>
      <c r="H29" s="21" t="s">
        <v>412</v>
      </c>
    </row>
    <row r="30" spans="2:8" x14ac:dyDescent="0.25">
      <c r="B30" s="19">
        <f>'!STRING_ERROR(20181207)'!$C30</f>
        <v>604</v>
      </c>
      <c r="C30" s="20">
        <v>604</v>
      </c>
      <c r="D30" s="20" t="s">
        <v>190</v>
      </c>
      <c r="E30" s="19">
        <v>99</v>
      </c>
      <c r="F30" s="19">
        <v>1400026</v>
      </c>
      <c r="G30" s="20" t="s">
        <v>350</v>
      </c>
      <c r="H30" s="21" t="s">
        <v>413</v>
      </c>
    </row>
    <row r="31" spans="2:8" x14ac:dyDescent="0.25">
      <c r="B31" s="19">
        <f>'!STRING_ERROR(20181207)'!$C31</f>
        <v>701</v>
      </c>
      <c r="C31" s="20">
        <v>701</v>
      </c>
      <c r="D31" s="20" t="s">
        <v>190</v>
      </c>
      <c r="E31" s="19">
        <v>99</v>
      </c>
      <c r="F31" s="19">
        <v>1400027</v>
      </c>
      <c r="G31" s="20" t="s">
        <v>351</v>
      </c>
      <c r="H31" s="21" t="s">
        <v>414</v>
      </c>
    </row>
    <row r="32" spans="2:8" x14ac:dyDescent="0.25">
      <c r="B32" s="19">
        <f>'!STRING_ERROR(20181207)'!$C32</f>
        <v>702</v>
      </c>
      <c r="C32" s="20">
        <v>702</v>
      </c>
      <c r="D32" s="20" t="s">
        <v>190</v>
      </c>
      <c r="E32" s="19">
        <v>99</v>
      </c>
      <c r="F32" s="19">
        <v>1400028</v>
      </c>
      <c r="G32" s="20" t="s">
        <v>352</v>
      </c>
      <c r="H32" s="21" t="s">
        <v>415</v>
      </c>
    </row>
    <row r="33" spans="2:8" x14ac:dyDescent="0.25">
      <c r="B33" s="19">
        <f>'!STRING_ERROR(20181207)'!$C33</f>
        <v>703</v>
      </c>
      <c r="C33" s="20">
        <v>703</v>
      </c>
      <c r="D33" s="20" t="s">
        <v>190</v>
      </c>
      <c r="E33" s="19">
        <v>99</v>
      </c>
      <c r="F33" s="19">
        <v>1400029</v>
      </c>
      <c r="G33" s="20" t="s">
        <v>353</v>
      </c>
      <c r="H33" s="21" t="s">
        <v>416</v>
      </c>
    </row>
    <row r="34" spans="2:8" x14ac:dyDescent="0.25">
      <c r="B34" s="19">
        <f>'!STRING_ERROR(20181207)'!$C34</f>
        <v>802</v>
      </c>
      <c r="C34" s="20">
        <v>802</v>
      </c>
      <c r="D34" s="20" t="s">
        <v>190</v>
      </c>
      <c r="E34" s="19">
        <v>99</v>
      </c>
      <c r="F34" s="19">
        <v>1400030</v>
      </c>
      <c r="G34" s="20" t="s">
        <v>354</v>
      </c>
      <c r="H34" s="21" t="s">
        <v>401</v>
      </c>
    </row>
    <row r="35" spans="2:8" x14ac:dyDescent="0.25">
      <c r="B35" s="19">
        <f>'!STRING_ERROR(20181207)'!$C35</f>
        <v>903</v>
      </c>
      <c r="C35" s="20">
        <v>903</v>
      </c>
      <c r="D35" s="20" t="s">
        <v>190</v>
      </c>
      <c r="E35" s="19">
        <v>99</v>
      </c>
      <c r="F35" s="19">
        <v>1400031</v>
      </c>
      <c r="G35" s="20" t="s">
        <v>355</v>
      </c>
      <c r="H35" s="21" t="s">
        <v>417</v>
      </c>
    </row>
    <row r="36" spans="2:8" x14ac:dyDescent="0.25">
      <c r="B36" s="19">
        <f>'!STRING_ERROR(20181207)'!$C36</f>
        <v>9000</v>
      </c>
      <c r="C36" s="20">
        <v>9000</v>
      </c>
      <c r="D36" s="20" t="s">
        <v>190</v>
      </c>
      <c r="E36" s="19">
        <v>99</v>
      </c>
      <c r="F36" s="19">
        <v>1400032</v>
      </c>
      <c r="G36" s="20" t="s">
        <v>32</v>
      </c>
      <c r="H36" s="21" t="s">
        <v>200</v>
      </c>
    </row>
    <row r="37" spans="2:8" x14ac:dyDescent="0.25">
      <c r="B37" s="19">
        <f>'!STRING_ERROR(20181207)'!$C37</f>
        <v>9001</v>
      </c>
      <c r="C37" s="20">
        <v>9001</v>
      </c>
      <c r="D37" s="20" t="s">
        <v>190</v>
      </c>
      <c r="E37" s="19">
        <v>99</v>
      </c>
      <c r="F37" s="19">
        <v>1400033</v>
      </c>
      <c r="G37" s="20" t="s">
        <v>33</v>
      </c>
      <c r="H37" s="21" t="s">
        <v>375</v>
      </c>
    </row>
    <row r="38" spans="2:8" x14ac:dyDescent="0.25">
      <c r="B38" s="19">
        <f>'!STRING_ERROR(20181207)'!$C38</f>
        <v>9002</v>
      </c>
      <c r="C38" s="20">
        <v>9002</v>
      </c>
      <c r="D38" s="20" t="s">
        <v>190</v>
      </c>
      <c r="E38" s="19">
        <v>99</v>
      </c>
      <c r="F38" s="19">
        <v>1400034</v>
      </c>
      <c r="G38" s="20" t="s">
        <v>34</v>
      </c>
      <c r="H38" s="21" t="s">
        <v>376</v>
      </c>
    </row>
    <row r="39" spans="2:8" x14ac:dyDescent="0.25">
      <c r="B39" s="19">
        <f>'!STRING_ERROR(20181207)'!$C39</f>
        <v>9003</v>
      </c>
      <c r="C39" s="20">
        <v>9003</v>
      </c>
      <c r="D39" s="20" t="s">
        <v>190</v>
      </c>
      <c r="E39" s="19">
        <v>99</v>
      </c>
      <c r="F39" s="19">
        <v>1400035</v>
      </c>
      <c r="G39" s="20" t="s">
        <v>356</v>
      </c>
      <c r="H39" s="21" t="s">
        <v>418</v>
      </c>
    </row>
    <row r="40" spans="2:8" x14ac:dyDescent="0.25">
      <c r="B40" s="19">
        <f>'!STRING_ERROR(20181207)'!$C40</f>
        <v>9004</v>
      </c>
      <c r="C40" s="20">
        <v>9004</v>
      </c>
      <c r="D40" s="20" t="s">
        <v>190</v>
      </c>
      <c r="E40" s="19">
        <v>99</v>
      </c>
      <c r="F40" s="19">
        <v>1400036</v>
      </c>
      <c r="G40" s="20" t="s">
        <v>35</v>
      </c>
      <c r="H40" s="21" t="s">
        <v>201</v>
      </c>
    </row>
    <row r="41" spans="2:8" x14ac:dyDescent="0.25">
      <c r="B41" s="19">
        <f>'!STRING_ERROR(20181207)'!$C41</f>
        <v>9005</v>
      </c>
      <c r="C41" s="20">
        <v>9005</v>
      </c>
      <c r="D41" s="20" t="s">
        <v>190</v>
      </c>
      <c r="E41" s="19">
        <v>99</v>
      </c>
      <c r="F41" s="19">
        <v>1400037</v>
      </c>
      <c r="G41" s="20" t="s">
        <v>36</v>
      </c>
      <c r="H41" s="21" t="s">
        <v>377</v>
      </c>
    </row>
    <row r="42" spans="2:8" x14ac:dyDescent="0.25">
      <c r="B42" s="19">
        <f>'!STRING_ERROR(20181207)'!$C42</f>
        <v>9006</v>
      </c>
      <c r="C42" s="20">
        <v>9006</v>
      </c>
      <c r="D42" s="20" t="s">
        <v>184</v>
      </c>
      <c r="E42" s="19">
        <v>5</v>
      </c>
      <c r="F42" s="19">
        <v>1400038</v>
      </c>
      <c r="G42" s="20" t="s">
        <v>37</v>
      </c>
      <c r="H42" s="21" t="s">
        <v>202</v>
      </c>
    </row>
    <row r="43" spans="2:8" x14ac:dyDescent="0.25">
      <c r="B43" s="19">
        <f>'!STRING_ERROR(20181207)'!$C43</f>
        <v>9007</v>
      </c>
      <c r="C43" s="20">
        <v>9007</v>
      </c>
      <c r="D43" s="20" t="s">
        <v>190</v>
      </c>
      <c r="E43" s="19">
        <v>99</v>
      </c>
      <c r="F43" s="19">
        <v>1400039</v>
      </c>
      <c r="G43" s="20" t="s">
        <v>38</v>
      </c>
      <c r="H43" s="21" t="s">
        <v>378</v>
      </c>
    </row>
    <row r="44" spans="2:8" x14ac:dyDescent="0.25">
      <c r="B44" s="19">
        <f>'!STRING_ERROR(20181207)'!$C44</f>
        <v>9008</v>
      </c>
      <c r="C44" s="20">
        <v>9008</v>
      </c>
      <c r="D44" s="20" t="s">
        <v>190</v>
      </c>
      <c r="E44" s="19">
        <v>99</v>
      </c>
      <c r="F44" s="19">
        <v>1400040</v>
      </c>
      <c r="G44" s="20" t="s">
        <v>357</v>
      </c>
      <c r="H44" s="21" t="s">
        <v>419</v>
      </c>
    </row>
    <row r="45" spans="2:8" x14ac:dyDescent="0.25">
      <c r="B45" s="19">
        <f>'!STRING_ERROR(20181207)'!$C45</f>
        <v>9009</v>
      </c>
      <c r="C45" s="20">
        <v>9009</v>
      </c>
      <c r="D45" s="20" t="s">
        <v>190</v>
      </c>
      <c r="E45" s="19">
        <v>99</v>
      </c>
      <c r="F45" s="19">
        <v>1400041</v>
      </c>
      <c r="G45" s="20" t="s">
        <v>358</v>
      </c>
      <c r="H45" s="21" t="s">
        <v>420</v>
      </c>
    </row>
    <row r="46" spans="2:8" x14ac:dyDescent="0.25">
      <c r="B46" s="19">
        <f>'!STRING_ERROR(20181207)'!$C46</f>
        <v>1000000</v>
      </c>
      <c r="C46" s="20">
        <v>1000000</v>
      </c>
      <c r="D46" s="20" t="s">
        <v>186</v>
      </c>
      <c r="E46" s="19">
        <v>21</v>
      </c>
      <c r="F46" s="19">
        <v>1400042</v>
      </c>
      <c r="G46" s="20" t="s">
        <v>39</v>
      </c>
      <c r="H46" s="21" t="s">
        <v>379</v>
      </c>
    </row>
    <row r="47" spans="2:8" x14ac:dyDescent="0.25">
      <c r="B47" s="19">
        <f>'!STRING_ERROR(20181207)'!$C47</f>
        <v>1000001</v>
      </c>
      <c r="C47" s="20">
        <v>1000001</v>
      </c>
      <c r="D47" s="20" t="s">
        <v>186</v>
      </c>
      <c r="E47" s="19">
        <v>21</v>
      </c>
      <c r="F47" s="19">
        <v>1400043</v>
      </c>
      <c r="G47" s="20" t="s">
        <v>40</v>
      </c>
      <c r="H47" s="21" t="s">
        <v>204</v>
      </c>
    </row>
    <row r="48" spans="2:8" x14ac:dyDescent="0.25">
      <c r="B48" s="19">
        <f>'!STRING_ERROR(20181207)'!$C48</f>
        <v>1000002</v>
      </c>
      <c r="C48" s="20">
        <v>1000002</v>
      </c>
      <c r="D48" s="20" t="s">
        <v>186</v>
      </c>
      <c r="E48" s="19">
        <v>21</v>
      </c>
      <c r="F48" s="19">
        <v>1400044</v>
      </c>
      <c r="G48" s="20" t="s">
        <v>41</v>
      </c>
      <c r="H48" s="21" t="s">
        <v>205</v>
      </c>
    </row>
    <row r="49" spans="2:8" x14ac:dyDescent="0.25">
      <c r="B49" s="19">
        <f>'!STRING_ERROR(20181207)'!$C49</f>
        <v>1000003</v>
      </c>
      <c r="C49" s="20">
        <v>1000003</v>
      </c>
      <c r="D49" s="20" t="s">
        <v>186</v>
      </c>
      <c r="E49" s="19">
        <v>21</v>
      </c>
      <c r="F49" s="19">
        <v>1400045</v>
      </c>
      <c r="G49" s="20" t="s">
        <v>42</v>
      </c>
      <c r="H49" s="21" t="s">
        <v>206</v>
      </c>
    </row>
    <row r="50" spans="2:8" x14ac:dyDescent="0.25">
      <c r="B50" s="19">
        <f>'!STRING_ERROR(20181207)'!$C50</f>
        <v>2000000</v>
      </c>
      <c r="C50" s="20">
        <v>2000000</v>
      </c>
      <c r="D50" s="20" t="s">
        <v>186</v>
      </c>
      <c r="E50" s="19">
        <v>21</v>
      </c>
      <c r="F50" s="19">
        <v>1400046</v>
      </c>
      <c r="G50" s="20" t="s">
        <v>43</v>
      </c>
      <c r="H50" s="21" t="s">
        <v>207</v>
      </c>
    </row>
    <row r="51" spans="2:8" x14ac:dyDescent="0.25">
      <c r="B51" s="19">
        <f>'!STRING_ERROR(20181207)'!$C51</f>
        <v>2000001</v>
      </c>
      <c r="C51" s="20">
        <v>2000001</v>
      </c>
      <c r="D51" s="20" t="s">
        <v>186</v>
      </c>
      <c r="E51" s="19">
        <v>21</v>
      </c>
      <c r="F51" s="19">
        <v>1400047</v>
      </c>
      <c r="G51" s="20" t="s">
        <v>44</v>
      </c>
      <c r="H51" s="21" t="s">
        <v>208</v>
      </c>
    </row>
    <row r="52" spans="2:8" x14ac:dyDescent="0.25">
      <c r="B52" s="19">
        <f>'!STRING_ERROR(20181207)'!$C52</f>
        <v>4000000</v>
      </c>
      <c r="C52" s="20">
        <v>4000000</v>
      </c>
      <c r="D52" s="20" t="s">
        <v>186</v>
      </c>
      <c r="E52" s="19">
        <v>21</v>
      </c>
      <c r="F52" s="19">
        <v>1400048</v>
      </c>
      <c r="G52" s="20" t="s">
        <v>45</v>
      </c>
      <c r="H52" s="21" t="s">
        <v>209</v>
      </c>
    </row>
    <row r="53" spans="2:8" x14ac:dyDescent="0.25">
      <c r="B53" s="19">
        <f>'!STRING_ERROR(20181207)'!$C53</f>
        <v>4000001</v>
      </c>
      <c r="C53" s="20">
        <v>4000001</v>
      </c>
      <c r="D53" s="20" t="s">
        <v>184</v>
      </c>
      <c r="E53" s="19">
        <v>5</v>
      </c>
      <c r="F53" s="19">
        <v>1400049</v>
      </c>
      <c r="G53" s="20" t="s">
        <v>46</v>
      </c>
      <c r="H53" s="21" t="s">
        <v>210</v>
      </c>
    </row>
    <row r="54" spans="2:8" x14ac:dyDescent="0.25">
      <c r="B54" s="19">
        <f>'!STRING_ERROR(20181207)'!$C54</f>
        <v>4000002</v>
      </c>
      <c r="C54" s="20">
        <v>4000002</v>
      </c>
      <c r="D54" s="20" t="s">
        <v>184</v>
      </c>
      <c r="E54" s="19">
        <v>5</v>
      </c>
      <c r="F54" s="19">
        <v>1400050</v>
      </c>
      <c r="G54" s="20" t="s">
        <v>47</v>
      </c>
      <c r="H54" s="21" t="s">
        <v>211</v>
      </c>
    </row>
    <row r="55" spans="2:8" x14ac:dyDescent="0.25">
      <c r="B55" s="19">
        <f>'!STRING_ERROR(20181207)'!$C55</f>
        <v>4000003</v>
      </c>
      <c r="C55" s="20">
        <v>4000003</v>
      </c>
      <c r="D55" s="20" t="s">
        <v>184</v>
      </c>
      <c r="E55" s="19">
        <v>5</v>
      </c>
      <c r="F55" s="19">
        <v>1400051</v>
      </c>
      <c r="G55" s="20" t="s">
        <v>48</v>
      </c>
      <c r="H55" s="21" t="s">
        <v>212</v>
      </c>
    </row>
    <row r="56" spans="2:8" x14ac:dyDescent="0.25">
      <c r="B56" s="19">
        <f>'!STRING_ERROR(20181207)'!$C56</f>
        <v>4000004</v>
      </c>
      <c r="C56" s="20">
        <v>4000004</v>
      </c>
      <c r="D56" s="20" t="s">
        <v>184</v>
      </c>
      <c r="E56" s="19">
        <v>5</v>
      </c>
      <c r="F56" s="19">
        <v>1400052</v>
      </c>
      <c r="G56" s="20" t="s">
        <v>49</v>
      </c>
      <c r="H56" s="21" t="s">
        <v>213</v>
      </c>
    </row>
    <row r="57" spans="2:8" x14ac:dyDescent="0.25">
      <c r="B57" s="19">
        <f>'!STRING_ERROR(20181207)'!$C57</f>
        <v>4000005</v>
      </c>
      <c r="C57" s="20">
        <v>4000005</v>
      </c>
      <c r="D57" s="20" t="s">
        <v>184</v>
      </c>
      <c r="E57" s="19">
        <v>5</v>
      </c>
      <c r="F57" s="19">
        <v>1400053</v>
      </c>
      <c r="G57" s="20" t="s">
        <v>50</v>
      </c>
      <c r="H57" s="21" t="s">
        <v>214</v>
      </c>
    </row>
    <row r="58" spans="2:8" x14ac:dyDescent="0.25">
      <c r="B58" s="19">
        <f>'!STRING_ERROR(20181207)'!$C58</f>
        <v>4000006</v>
      </c>
      <c r="C58" s="20">
        <v>4000006</v>
      </c>
      <c r="D58" s="20" t="s">
        <v>184</v>
      </c>
      <c r="E58" s="19">
        <v>5</v>
      </c>
      <c r="F58" s="19">
        <v>1400054</v>
      </c>
      <c r="G58" s="20" t="s">
        <v>51</v>
      </c>
      <c r="H58" s="21" t="s">
        <v>215</v>
      </c>
    </row>
    <row r="59" spans="2:8" x14ac:dyDescent="0.25">
      <c r="B59" s="19">
        <f>'!STRING_ERROR(20181207)'!$C59</f>
        <v>4000007</v>
      </c>
      <c r="C59" s="20">
        <v>4000007</v>
      </c>
      <c r="D59" s="20" t="s">
        <v>188</v>
      </c>
      <c r="E59" s="19">
        <v>31</v>
      </c>
      <c r="F59" s="19">
        <v>1400055</v>
      </c>
      <c r="G59" s="20" t="s">
        <v>52</v>
      </c>
      <c r="H59" s="21" t="s">
        <v>200</v>
      </c>
    </row>
    <row r="60" spans="2:8" x14ac:dyDescent="0.25">
      <c r="B60" s="19">
        <f>'!STRING_ERROR(20181207)'!$C60</f>
        <v>4000008</v>
      </c>
      <c r="C60" s="20">
        <v>4000008</v>
      </c>
      <c r="D60" s="20" t="s">
        <v>184</v>
      </c>
      <c r="E60" s="19">
        <v>5</v>
      </c>
      <c r="F60" s="19">
        <v>1400056</v>
      </c>
      <c r="G60" s="20" t="s">
        <v>53</v>
      </c>
      <c r="H60" s="21" t="s">
        <v>216</v>
      </c>
    </row>
    <row r="61" spans="2:8" x14ac:dyDescent="0.25">
      <c r="B61" s="19">
        <f>'!STRING_ERROR(20181207)'!$C61</f>
        <v>4000009</v>
      </c>
      <c r="C61" s="20">
        <v>4000009</v>
      </c>
      <c r="D61" s="20" t="s">
        <v>186</v>
      </c>
      <c r="E61" s="19">
        <v>21</v>
      </c>
      <c r="F61" s="19">
        <v>1400057</v>
      </c>
      <c r="G61" s="20" t="s">
        <v>359</v>
      </c>
      <c r="H61" s="21" t="s">
        <v>421</v>
      </c>
    </row>
    <row r="62" spans="2:8" x14ac:dyDescent="0.25">
      <c r="B62" s="19">
        <f>'!STRING_ERROR(20181207)'!$C62</f>
        <v>4000010</v>
      </c>
      <c r="C62" s="20">
        <v>4000010</v>
      </c>
      <c r="D62" s="20" t="s">
        <v>186</v>
      </c>
      <c r="E62" s="19">
        <v>21</v>
      </c>
      <c r="F62" s="19">
        <v>1400058</v>
      </c>
      <c r="G62" s="20" t="s">
        <v>360</v>
      </c>
      <c r="H62" s="21" t="s">
        <v>422</v>
      </c>
    </row>
    <row r="63" spans="2:8" x14ac:dyDescent="0.25">
      <c r="B63" s="19">
        <f>'!STRING_ERROR(20181207)'!$C63</f>
        <v>4000011</v>
      </c>
      <c r="C63" s="20">
        <v>4000011</v>
      </c>
      <c r="D63" s="20" t="s">
        <v>184</v>
      </c>
      <c r="E63" s="19">
        <v>5</v>
      </c>
      <c r="F63" s="19">
        <v>1400059</v>
      </c>
      <c r="G63" s="20" t="s">
        <v>361</v>
      </c>
      <c r="H63" s="21" t="s">
        <v>423</v>
      </c>
    </row>
    <row r="64" spans="2:8" x14ac:dyDescent="0.25">
      <c r="B64" s="19">
        <f>'!STRING_ERROR(20181207)'!$C64</f>
        <v>4000012</v>
      </c>
      <c r="C64" s="20">
        <v>4000012</v>
      </c>
      <c r="D64" s="20" t="s">
        <v>184</v>
      </c>
      <c r="E64" s="19">
        <v>5</v>
      </c>
      <c r="F64" s="19">
        <v>1400201</v>
      </c>
      <c r="G64" s="20" t="s">
        <v>439</v>
      </c>
      <c r="H64" s="21" t="s">
        <v>448</v>
      </c>
    </row>
    <row r="65" spans="2:8" x14ac:dyDescent="0.25">
      <c r="B65" s="19">
        <f>'!STRING_ERROR(20181207)'!$C65</f>
        <v>4000013</v>
      </c>
      <c r="C65" s="20">
        <v>4000013</v>
      </c>
      <c r="D65" s="20" t="s">
        <v>184</v>
      </c>
      <c r="E65" s="19">
        <v>5</v>
      </c>
      <c r="F65" s="19">
        <v>1400202</v>
      </c>
      <c r="G65" s="20" t="s">
        <v>440</v>
      </c>
      <c r="H65" s="21" t="s">
        <v>449</v>
      </c>
    </row>
    <row r="66" spans="2:8" x14ac:dyDescent="0.25">
      <c r="B66" s="19">
        <f>'!STRING_ERROR(20181207)'!$C66</f>
        <v>4000014</v>
      </c>
      <c r="C66" s="20">
        <v>4000014</v>
      </c>
      <c r="D66" s="20" t="s">
        <v>184</v>
      </c>
      <c r="E66" s="19">
        <v>5</v>
      </c>
      <c r="F66" s="19">
        <v>1400203</v>
      </c>
      <c r="G66" s="20" t="s">
        <v>441</v>
      </c>
      <c r="H66" s="21" t="s">
        <v>445</v>
      </c>
    </row>
    <row r="67" spans="2:8" x14ac:dyDescent="0.25">
      <c r="B67" s="19">
        <f>'!STRING_ERROR(20181207)'!$C67</f>
        <v>4000015</v>
      </c>
      <c r="C67" s="20">
        <v>4000015</v>
      </c>
      <c r="D67" s="20" t="s">
        <v>184</v>
      </c>
      <c r="E67" s="19">
        <v>5</v>
      </c>
      <c r="F67" s="19">
        <v>1400204</v>
      </c>
      <c r="G67" s="20" t="s">
        <v>442</v>
      </c>
      <c r="H67" s="21" t="s">
        <v>446</v>
      </c>
    </row>
    <row r="68" spans="2:8" x14ac:dyDescent="0.25">
      <c r="B68" s="19">
        <f>'!STRING_ERROR(20181207)'!$C68</f>
        <v>4000016</v>
      </c>
      <c r="C68" s="20">
        <v>4000016</v>
      </c>
      <c r="D68" s="20" t="s">
        <v>184</v>
      </c>
      <c r="E68" s="19">
        <v>5</v>
      </c>
      <c r="F68" s="19">
        <v>1400205</v>
      </c>
      <c r="G68" s="20" t="s">
        <v>443</v>
      </c>
      <c r="H68" s="21" t="s">
        <v>447</v>
      </c>
    </row>
    <row r="69" spans="2:8" x14ac:dyDescent="0.25">
      <c r="B69" s="19">
        <f>'!STRING_ERROR(20181207)'!$C69</f>
        <v>4000017</v>
      </c>
      <c r="C69" s="20">
        <v>4000017</v>
      </c>
      <c r="D69" s="20" t="s">
        <v>184</v>
      </c>
      <c r="E69" s="19">
        <v>5</v>
      </c>
      <c r="F69" s="19">
        <v>1400206</v>
      </c>
      <c r="G69" s="20" t="s">
        <v>444</v>
      </c>
      <c r="H69" s="21" t="s">
        <v>450</v>
      </c>
    </row>
    <row r="70" spans="2:8" x14ac:dyDescent="0.25">
      <c r="B70" s="19">
        <f>'!STRING_ERROR(20181207)'!$C70</f>
        <v>4000022</v>
      </c>
      <c r="C70" s="20">
        <v>4000022</v>
      </c>
      <c r="D70" s="20" t="s">
        <v>184</v>
      </c>
      <c r="E70" s="19">
        <v>5</v>
      </c>
      <c r="F70" s="19">
        <v>2042022</v>
      </c>
      <c r="G70" s="20"/>
      <c r="H70" s="21" t="s">
        <v>488</v>
      </c>
    </row>
    <row r="71" spans="2:8" x14ac:dyDescent="0.25">
      <c r="B71" s="19">
        <f>'!STRING_ERROR(20181207)'!$C71</f>
        <v>7000000</v>
      </c>
      <c r="C71" s="20">
        <v>7000000</v>
      </c>
      <c r="D71" s="20" t="s">
        <v>188</v>
      </c>
      <c r="E71" s="19">
        <v>31</v>
      </c>
      <c r="F71" s="19">
        <v>1400060</v>
      </c>
      <c r="G71" s="20" t="s">
        <v>54</v>
      </c>
      <c r="H71" s="21" t="s">
        <v>217</v>
      </c>
    </row>
    <row r="72" spans="2:8" x14ac:dyDescent="0.25">
      <c r="B72" s="19">
        <f>'!STRING_ERROR(20181207)'!$C72</f>
        <v>7000001</v>
      </c>
      <c r="C72" s="20">
        <v>7000001</v>
      </c>
      <c r="D72" s="20" t="s">
        <v>186</v>
      </c>
      <c r="E72" s="19">
        <v>21</v>
      </c>
      <c r="F72" s="19">
        <v>1400061</v>
      </c>
      <c r="G72" s="20" t="s">
        <v>55</v>
      </c>
      <c r="H72" s="21" t="s">
        <v>218</v>
      </c>
    </row>
    <row r="73" spans="2:8" x14ac:dyDescent="0.25">
      <c r="B73" s="19">
        <f>'!STRING_ERROR(20181207)'!$C73</f>
        <v>7000002</v>
      </c>
      <c r="C73" s="20">
        <v>7000002</v>
      </c>
      <c r="D73" s="20" t="s">
        <v>186</v>
      </c>
      <c r="E73" s="19">
        <v>21</v>
      </c>
      <c r="F73" s="19">
        <v>1400062</v>
      </c>
      <c r="G73" s="20" t="s">
        <v>56</v>
      </c>
      <c r="H73" s="21" t="s">
        <v>219</v>
      </c>
    </row>
    <row r="74" spans="2:8" x14ac:dyDescent="0.25">
      <c r="B74" s="34">
        <f>'!STRING_ERROR(20181207)'!$C74</f>
        <v>50000000</v>
      </c>
      <c r="C74" s="35">
        <v>50000000</v>
      </c>
      <c r="D74" s="35" t="s">
        <v>184</v>
      </c>
      <c r="E74" s="34">
        <v>5</v>
      </c>
      <c r="F74" s="34">
        <v>1045024</v>
      </c>
      <c r="G74" s="35" t="s">
        <v>462</v>
      </c>
      <c r="H74" s="36" t="s">
        <v>487</v>
      </c>
    </row>
    <row r="75" spans="2:8" x14ac:dyDescent="0.25">
      <c r="B75" s="34">
        <f>'!STRING_ERROR(20181207)'!$C75</f>
        <v>50000001</v>
      </c>
      <c r="C75" s="35">
        <v>50000001</v>
      </c>
      <c r="D75" s="35" t="s">
        <v>184</v>
      </c>
      <c r="E75" s="34">
        <v>5</v>
      </c>
      <c r="F75" s="34">
        <v>1045024</v>
      </c>
      <c r="G75" s="35" t="s">
        <v>463</v>
      </c>
      <c r="H75" s="36" t="s">
        <v>475</v>
      </c>
    </row>
    <row r="76" spans="2:8" x14ac:dyDescent="0.25">
      <c r="B76" s="34">
        <f>'!STRING_ERROR(20181207)'!$C76</f>
        <v>50000002</v>
      </c>
      <c r="C76" s="35">
        <v>50000002</v>
      </c>
      <c r="D76" s="35" t="s">
        <v>184</v>
      </c>
      <c r="E76" s="34">
        <v>5</v>
      </c>
      <c r="F76" s="34">
        <v>1045024</v>
      </c>
      <c r="G76" s="35" t="s">
        <v>464</v>
      </c>
      <c r="H76" s="36" t="s">
        <v>476</v>
      </c>
    </row>
    <row r="77" spans="2:8" x14ac:dyDescent="0.25">
      <c r="B77" s="34">
        <f>'!STRING_ERROR(20181207)'!$C77</f>
        <v>50000003</v>
      </c>
      <c r="C77" s="35">
        <v>50000003</v>
      </c>
      <c r="D77" s="35" t="s">
        <v>184</v>
      </c>
      <c r="E77" s="34">
        <v>5</v>
      </c>
      <c r="F77" s="34">
        <v>1045023</v>
      </c>
      <c r="G77" s="35" t="s">
        <v>465</v>
      </c>
      <c r="H77" s="36" t="s">
        <v>477</v>
      </c>
    </row>
    <row r="78" spans="2:8" x14ac:dyDescent="0.25">
      <c r="B78" s="34">
        <f>'!STRING_ERROR(20181207)'!$C78</f>
        <v>50000004</v>
      </c>
      <c r="C78" s="35">
        <v>50000004</v>
      </c>
      <c r="D78" s="35" t="s">
        <v>184</v>
      </c>
      <c r="E78" s="34">
        <v>5</v>
      </c>
      <c r="F78" s="34">
        <v>1045021</v>
      </c>
      <c r="G78" s="35" t="s">
        <v>466</v>
      </c>
      <c r="H78" s="36" t="s">
        <v>478</v>
      </c>
    </row>
    <row r="79" spans="2:8" x14ac:dyDescent="0.25">
      <c r="B79" s="34">
        <f>'!STRING_ERROR(20181207)'!$C79</f>
        <v>50000005</v>
      </c>
      <c r="C79" s="35">
        <v>50000005</v>
      </c>
      <c r="D79" s="35" t="s">
        <v>184</v>
      </c>
      <c r="E79" s="34">
        <v>5</v>
      </c>
      <c r="F79" s="34">
        <v>1045021</v>
      </c>
      <c r="G79" s="35" t="s">
        <v>467</v>
      </c>
      <c r="H79" s="36" t="s">
        <v>479</v>
      </c>
    </row>
    <row r="80" spans="2:8" x14ac:dyDescent="0.25">
      <c r="B80" s="34">
        <f>'!STRING_ERROR(20181207)'!$C80</f>
        <v>50000006</v>
      </c>
      <c r="C80" s="35">
        <v>50000006</v>
      </c>
      <c r="D80" s="35" t="s">
        <v>184</v>
      </c>
      <c r="E80" s="34">
        <v>5</v>
      </c>
      <c r="F80" s="34">
        <v>1045025</v>
      </c>
      <c r="G80" s="35" t="s">
        <v>468</v>
      </c>
      <c r="H80" s="36" t="s">
        <v>480</v>
      </c>
    </row>
    <row r="81" spans="2:8" x14ac:dyDescent="0.25">
      <c r="B81" s="34">
        <f>'!STRING_ERROR(20181207)'!$C81</f>
        <v>50000007</v>
      </c>
      <c r="C81" s="35">
        <v>50000007</v>
      </c>
      <c r="D81" s="35" t="s">
        <v>184</v>
      </c>
      <c r="E81" s="34">
        <v>5</v>
      </c>
      <c r="F81" s="34">
        <v>1045026</v>
      </c>
      <c r="G81" s="35" t="s">
        <v>469</v>
      </c>
      <c r="H81" s="36" t="s">
        <v>481</v>
      </c>
    </row>
    <row r="82" spans="2:8" x14ac:dyDescent="0.25">
      <c r="B82" s="34">
        <f>'!STRING_ERROR(20181207)'!$C82</f>
        <v>50000008</v>
      </c>
      <c r="C82" s="35">
        <v>50000008</v>
      </c>
      <c r="D82" s="35" t="s">
        <v>184</v>
      </c>
      <c r="E82" s="34">
        <v>5</v>
      </c>
      <c r="F82" s="34">
        <v>1045027</v>
      </c>
      <c r="G82" s="35" t="s">
        <v>470</v>
      </c>
      <c r="H82" s="36" t="s">
        <v>482</v>
      </c>
    </row>
    <row r="83" spans="2:8" x14ac:dyDescent="0.25">
      <c r="B83" s="34">
        <f>'!STRING_ERROR(20181207)'!$C83</f>
        <v>50000009</v>
      </c>
      <c r="C83" s="35">
        <v>50000009</v>
      </c>
      <c r="D83" s="35" t="s">
        <v>184</v>
      </c>
      <c r="E83" s="34">
        <v>5</v>
      </c>
      <c r="F83" s="34">
        <v>1045028</v>
      </c>
      <c r="G83" s="35" t="s">
        <v>471</v>
      </c>
      <c r="H83" s="36" t="s">
        <v>483</v>
      </c>
    </row>
    <row r="84" spans="2:8" x14ac:dyDescent="0.25">
      <c r="B84" s="34">
        <f>'!STRING_ERROR(20181207)'!$C84</f>
        <v>50000010</v>
      </c>
      <c r="C84" s="35">
        <v>50000010</v>
      </c>
      <c r="D84" s="35" t="s">
        <v>184</v>
      </c>
      <c r="E84" s="34">
        <v>5</v>
      </c>
      <c r="F84" s="34">
        <v>1400311</v>
      </c>
      <c r="G84" s="35" t="s">
        <v>472</v>
      </c>
      <c r="H84" s="36" t="s">
        <v>484</v>
      </c>
    </row>
    <row r="85" spans="2:8" x14ac:dyDescent="0.25">
      <c r="B85" s="34">
        <f>'!STRING_ERROR(20181207)'!$C85</f>
        <v>50000011</v>
      </c>
      <c r="C85" s="35">
        <v>50000011</v>
      </c>
      <c r="D85" s="35" t="s">
        <v>184</v>
      </c>
      <c r="E85" s="34">
        <v>5</v>
      </c>
      <c r="F85" s="34">
        <v>1400312</v>
      </c>
      <c r="G85" s="35" t="s">
        <v>473</v>
      </c>
      <c r="H85" s="36" t="s">
        <v>485</v>
      </c>
    </row>
    <row r="86" spans="2:8" x14ac:dyDescent="0.25">
      <c r="B86" s="34">
        <f>'!STRING_ERROR(20181207)'!$C86</f>
        <v>50000012</v>
      </c>
      <c r="C86" s="35">
        <v>50000012</v>
      </c>
      <c r="D86" s="35" t="s">
        <v>184</v>
      </c>
      <c r="E86" s="34">
        <v>5</v>
      </c>
      <c r="F86" s="34">
        <v>1400313</v>
      </c>
      <c r="G86" s="35" t="s">
        <v>474</v>
      </c>
      <c r="H86" s="36" t="s">
        <v>486</v>
      </c>
    </row>
    <row r="87" spans="2:8" x14ac:dyDescent="0.25">
      <c r="B87" s="19">
        <f>'!STRING_ERROR(20181207)'!$C87</f>
        <v>8000000</v>
      </c>
      <c r="C87" s="20">
        <v>8000000</v>
      </c>
      <c r="D87" s="20" t="s">
        <v>186</v>
      </c>
      <c r="E87" s="19">
        <v>21</v>
      </c>
      <c r="F87" s="19">
        <v>1400063</v>
      </c>
      <c r="G87" s="20" t="s">
        <v>57</v>
      </c>
      <c r="H87" s="21" t="s">
        <v>220</v>
      </c>
    </row>
    <row r="88" spans="2:8" x14ac:dyDescent="0.25">
      <c r="B88" s="19">
        <f>'!STRING_ERROR(20181207)'!$C88</f>
        <v>8000001</v>
      </c>
      <c r="C88" s="20">
        <v>8000001</v>
      </c>
      <c r="D88" s="20" t="s">
        <v>186</v>
      </c>
      <c r="E88" s="19">
        <v>21</v>
      </c>
      <c r="F88" s="19">
        <v>1400064</v>
      </c>
      <c r="G88" s="20" t="s">
        <v>58</v>
      </c>
      <c r="H88" s="21" t="s">
        <v>221</v>
      </c>
    </row>
    <row r="89" spans="2:8" x14ac:dyDescent="0.25">
      <c r="B89" s="19">
        <f>'!STRING_ERROR(20181207)'!$C89</f>
        <v>8000002</v>
      </c>
      <c r="C89" s="20">
        <v>8000002</v>
      </c>
      <c r="D89" s="20" t="s">
        <v>186</v>
      </c>
      <c r="E89" s="19">
        <v>21</v>
      </c>
      <c r="F89" s="19">
        <v>1400065</v>
      </c>
      <c r="G89" s="20" t="s">
        <v>59</v>
      </c>
      <c r="H89" s="21" t="s">
        <v>222</v>
      </c>
    </row>
    <row r="90" spans="2:8" x14ac:dyDescent="0.25">
      <c r="B90" s="19">
        <f>'!STRING_ERROR(20181207)'!$C90</f>
        <v>8000003</v>
      </c>
      <c r="C90" s="20">
        <v>8000003</v>
      </c>
      <c r="D90" s="20" t="s">
        <v>186</v>
      </c>
      <c r="E90" s="19">
        <v>21</v>
      </c>
      <c r="F90" s="19">
        <v>1400066</v>
      </c>
      <c r="G90" s="20" t="s">
        <v>60</v>
      </c>
      <c r="H90" s="21" t="s">
        <v>223</v>
      </c>
    </row>
    <row r="91" spans="2:8" x14ac:dyDescent="0.25">
      <c r="B91" s="19">
        <f>'!STRING_ERROR(20181207)'!$C91</f>
        <v>8000004</v>
      </c>
      <c r="C91" s="20">
        <v>8000004</v>
      </c>
      <c r="D91" s="20" t="s">
        <v>188</v>
      </c>
      <c r="E91" s="19">
        <v>31</v>
      </c>
      <c r="F91" s="19">
        <v>1400067</v>
      </c>
      <c r="G91" s="20" t="s">
        <v>61</v>
      </c>
      <c r="H91" s="21" t="s">
        <v>224</v>
      </c>
    </row>
    <row r="92" spans="2:8" x14ac:dyDescent="0.25">
      <c r="B92" s="19">
        <f>'!STRING_ERROR(20181207)'!$C92</f>
        <v>8000005</v>
      </c>
      <c r="C92" s="20">
        <v>8000005</v>
      </c>
      <c r="D92" s="20" t="s">
        <v>188</v>
      </c>
      <c r="E92" s="19">
        <v>31</v>
      </c>
      <c r="F92" s="19">
        <v>1400068</v>
      </c>
      <c r="G92" s="20" t="s">
        <v>62</v>
      </c>
      <c r="H92" s="21" t="s">
        <v>225</v>
      </c>
    </row>
    <row r="93" spans="2:8" x14ac:dyDescent="0.25">
      <c r="B93" s="19">
        <f>'!STRING_ERROR(20181207)'!$C93</f>
        <v>8000006</v>
      </c>
      <c r="C93" s="20">
        <v>8000006</v>
      </c>
      <c r="D93" s="20" t="s">
        <v>186</v>
      </c>
      <c r="E93" s="19">
        <v>21</v>
      </c>
      <c r="F93" s="19">
        <v>1400069</v>
      </c>
      <c r="G93" s="20" t="s">
        <v>63</v>
      </c>
      <c r="H93" s="21" t="s">
        <v>226</v>
      </c>
    </row>
    <row r="94" spans="2:8" x14ac:dyDescent="0.25">
      <c r="B94" s="19">
        <f>'!STRING_ERROR(20181207)'!$C94</f>
        <v>8000007</v>
      </c>
      <c r="C94" s="20">
        <v>8000007</v>
      </c>
      <c r="D94" s="20" t="s">
        <v>188</v>
      </c>
      <c r="E94" s="19">
        <v>31</v>
      </c>
      <c r="F94" s="19">
        <v>1400070</v>
      </c>
      <c r="G94" s="20" t="s">
        <v>64</v>
      </c>
      <c r="H94" s="21" t="s">
        <v>227</v>
      </c>
    </row>
    <row r="95" spans="2:8" x14ac:dyDescent="0.25">
      <c r="B95" s="19">
        <f>'!STRING_ERROR(20181207)'!$C95</f>
        <v>8000008</v>
      </c>
      <c r="C95" s="20">
        <v>8000008</v>
      </c>
      <c r="D95" s="20" t="s">
        <v>188</v>
      </c>
      <c r="E95" s="19">
        <v>31</v>
      </c>
      <c r="F95" s="19">
        <v>1400071</v>
      </c>
      <c r="G95" s="20" t="s">
        <v>65</v>
      </c>
      <c r="H95" s="21" t="s">
        <v>228</v>
      </c>
    </row>
    <row r="96" spans="2:8" x14ac:dyDescent="0.25">
      <c r="B96" s="19">
        <f>'!STRING_ERROR(20181207)'!$C96</f>
        <v>12000000</v>
      </c>
      <c r="C96" s="20">
        <v>12000000</v>
      </c>
      <c r="D96" s="20" t="s">
        <v>186</v>
      </c>
      <c r="E96" s="19">
        <v>21</v>
      </c>
      <c r="F96" s="19">
        <v>1400072</v>
      </c>
      <c r="G96" s="20" t="s">
        <v>66</v>
      </c>
      <c r="H96" s="21" t="s">
        <v>229</v>
      </c>
    </row>
    <row r="97" spans="2:8" x14ac:dyDescent="0.25">
      <c r="B97" s="19">
        <f>'!STRING_ERROR(20181207)'!$C97</f>
        <v>12000001</v>
      </c>
      <c r="C97" s="20">
        <v>12000001</v>
      </c>
      <c r="D97" s="20" t="s">
        <v>186</v>
      </c>
      <c r="E97" s="19">
        <v>21</v>
      </c>
      <c r="F97" s="19">
        <v>1400073</v>
      </c>
      <c r="G97" s="20" t="s">
        <v>67</v>
      </c>
      <c r="H97" s="21" t="s">
        <v>230</v>
      </c>
    </row>
    <row r="98" spans="2:8" x14ac:dyDescent="0.25">
      <c r="B98" s="19">
        <f>'!STRING_ERROR(20181207)'!$C98</f>
        <v>12000002</v>
      </c>
      <c r="C98" s="20">
        <v>12000002</v>
      </c>
      <c r="D98" s="20" t="s">
        <v>186</v>
      </c>
      <c r="E98" s="19">
        <v>21</v>
      </c>
      <c r="F98" s="19">
        <v>1400074</v>
      </c>
      <c r="G98" s="20" t="s">
        <v>68</v>
      </c>
      <c r="H98" s="21" t="s">
        <v>231</v>
      </c>
    </row>
    <row r="99" spans="2:8" x14ac:dyDescent="0.25">
      <c r="B99" s="19">
        <f>'!STRING_ERROR(20181207)'!$C99</f>
        <v>12000003</v>
      </c>
      <c r="C99" s="20">
        <v>12000003</v>
      </c>
      <c r="D99" s="20" t="s">
        <v>186</v>
      </c>
      <c r="E99" s="19">
        <v>21</v>
      </c>
      <c r="F99" s="19">
        <v>1400075</v>
      </c>
      <c r="G99" s="20" t="s">
        <v>69</v>
      </c>
      <c r="H99" s="21" t="s">
        <v>232</v>
      </c>
    </row>
    <row r="100" spans="2:8" x14ac:dyDescent="0.25">
      <c r="B100" s="19">
        <f>'!STRING_ERROR(20181207)'!$C100</f>
        <v>12000004</v>
      </c>
      <c r="C100" s="20">
        <v>12000004</v>
      </c>
      <c r="D100" s="20" t="s">
        <v>186</v>
      </c>
      <c r="E100" s="19">
        <v>21</v>
      </c>
      <c r="F100" s="19">
        <v>1400076</v>
      </c>
      <c r="G100" s="20" t="s">
        <v>70</v>
      </c>
      <c r="H100" s="21" t="s">
        <v>233</v>
      </c>
    </row>
    <row r="101" spans="2:8" x14ac:dyDescent="0.25">
      <c r="B101" s="19">
        <f>'!STRING_ERROR(20181207)'!$C101</f>
        <v>12000005</v>
      </c>
      <c r="C101" s="20">
        <v>12000005</v>
      </c>
      <c r="D101" s="20" t="s">
        <v>186</v>
      </c>
      <c r="E101" s="19">
        <v>21</v>
      </c>
      <c r="F101" s="19">
        <v>1400077</v>
      </c>
      <c r="G101" s="20" t="s">
        <v>71</v>
      </c>
      <c r="H101" s="21" t="s">
        <v>234</v>
      </c>
    </row>
    <row r="102" spans="2:8" x14ac:dyDescent="0.25">
      <c r="B102" s="19">
        <f>'!STRING_ERROR(20181207)'!$C102</f>
        <v>12000006</v>
      </c>
      <c r="C102" s="20">
        <v>12000006</v>
      </c>
      <c r="D102" s="20" t="s">
        <v>186</v>
      </c>
      <c r="E102" s="19">
        <v>21</v>
      </c>
      <c r="F102" s="19">
        <v>1400078</v>
      </c>
      <c r="G102" s="20" t="s">
        <v>72</v>
      </c>
      <c r="H102" s="21" t="s">
        <v>235</v>
      </c>
    </row>
    <row r="103" spans="2:8" x14ac:dyDescent="0.25">
      <c r="B103" s="22">
        <f>'!STRING_ERROR(20181207)'!$C103</f>
        <v>12000007</v>
      </c>
      <c r="C103" s="23">
        <v>12000007</v>
      </c>
      <c r="D103" s="20" t="s">
        <v>186</v>
      </c>
      <c r="E103" s="22">
        <v>21</v>
      </c>
      <c r="F103" s="22">
        <v>1400079</v>
      </c>
      <c r="G103" s="23" t="s">
        <v>73</v>
      </c>
      <c r="H103" s="24" t="s">
        <v>380</v>
      </c>
    </row>
    <row r="104" spans="2:8" x14ac:dyDescent="0.25">
      <c r="B104" s="19">
        <f>'!STRING_ERROR(20181207)'!$C104</f>
        <v>12000008</v>
      </c>
      <c r="C104" s="20">
        <v>12000008</v>
      </c>
      <c r="D104" s="20" t="s">
        <v>186</v>
      </c>
      <c r="E104" s="19">
        <v>21</v>
      </c>
      <c r="F104" s="19">
        <v>1400080</v>
      </c>
      <c r="G104" s="20" t="s">
        <v>74</v>
      </c>
      <c r="H104" s="21" t="s">
        <v>236</v>
      </c>
    </row>
    <row r="105" spans="2:8" x14ac:dyDescent="0.25">
      <c r="B105" s="19">
        <f>'!STRING_ERROR(20181207)'!$C105</f>
        <v>12000009</v>
      </c>
      <c r="C105" s="20">
        <v>12000009</v>
      </c>
      <c r="D105" s="20" t="s">
        <v>186</v>
      </c>
      <c r="E105" s="19">
        <v>21</v>
      </c>
      <c r="F105" s="19">
        <v>1400081</v>
      </c>
      <c r="G105" s="20" t="s">
        <v>75</v>
      </c>
      <c r="H105" s="21" t="s">
        <v>237</v>
      </c>
    </row>
    <row r="106" spans="2:8" x14ac:dyDescent="0.25">
      <c r="B106" s="19">
        <f>'!STRING_ERROR(20181207)'!$C106</f>
        <v>12000010</v>
      </c>
      <c r="C106" s="20">
        <v>12000010</v>
      </c>
      <c r="D106" s="20" t="s">
        <v>186</v>
      </c>
      <c r="E106" s="19">
        <v>21</v>
      </c>
      <c r="F106" s="19">
        <v>1400082</v>
      </c>
      <c r="G106" s="20" t="s">
        <v>76</v>
      </c>
      <c r="H106" s="21" t="s">
        <v>238</v>
      </c>
    </row>
    <row r="107" spans="2:8" x14ac:dyDescent="0.25">
      <c r="B107" s="19">
        <f>'!STRING_ERROR(20181207)'!$C107</f>
        <v>12000011</v>
      </c>
      <c r="C107" s="20">
        <v>12000011</v>
      </c>
      <c r="D107" s="20" t="s">
        <v>186</v>
      </c>
      <c r="E107" s="19">
        <v>21</v>
      </c>
      <c r="F107" s="19">
        <v>1400083</v>
      </c>
      <c r="G107" s="20" t="s">
        <v>77</v>
      </c>
      <c r="H107" s="21" t="s">
        <v>239</v>
      </c>
    </row>
    <row r="108" spans="2:8" x14ac:dyDescent="0.25">
      <c r="B108" s="19">
        <f>'!STRING_ERROR(20181207)'!$C108</f>
        <v>12000012</v>
      </c>
      <c r="C108" s="20">
        <v>12000012</v>
      </c>
      <c r="D108" s="20" t="s">
        <v>186</v>
      </c>
      <c r="E108" s="19">
        <v>21</v>
      </c>
      <c r="F108" s="19">
        <v>1400084</v>
      </c>
      <c r="G108" s="20" t="s">
        <v>78</v>
      </c>
      <c r="H108" s="21" t="s">
        <v>240</v>
      </c>
    </row>
    <row r="109" spans="2:8" x14ac:dyDescent="0.25">
      <c r="B109" s="19">
        <f>'!STRING_ERROR(20181207)'!$C109</f>
        <v>12000013</v>
      </c>
      <c r="C109" s="20">
        <v>12000013</v>
      </c>
      <c r="D109" s="20" t="s">
        <v>186</v>
      </c>
      <c r="E109" s="19">
        <v>21</v>
      </c>
      <c r="F109" s="19">
        <v>1400085</v>
      </c>
      <c r="G109" s="20" t="s">
        <v>79</v>
      </c>
      <c r="H109" s="21" t="s">
        <v>241</v>
      </c>
    </row>
    <row r="110" spans="2:8" x14ac:dyDescent="0.25">
      <c r="B110" s="19">
        <f>'!STRING_ERROR(20181207)'!$C110</f>
        <v>12000014</v>
      </c>
      <c r="C110" s="20">
        <v>12000014</v>
      </c>
      <c r="D110" s="20" t="s">
        <v>186</v>
      </c>
      <c r="E110" s="19">
        <v>21</v>
      </c>
      <c r="F110" s="19">
        <v>1400086</v>
      </c>
      <c r="G110" s="20" t="s">
        <v>80</v>
      </c>
      <c r="H110" s="21" t="s">
        <v>242</v>
      </c>
    </row>
    <row r="111" spans="2:8" x14ac:dyDescent="0.25">
      <c r="B111" s="19">
        <f>'!STRING_ERROR(20181207)'!$C111</f>
        <v>12000015</v>
      </c>
      <c r="C111" s="20">
        <v>12000015</v>
      </c>
      <c r="D111" s="20" t="s">
        <v>186</v>
      </c>
      <c r="E111" s="19">
        <v>21</v>
      </c>
      <c r="F111" s="19">
        <v>1400087</v>
      </c>
      <c r="G111" s="20" t="s">
        <v>81</v>
      </c>
      <c r="H111" s="21" t="s">
        <v>243</v>
      </c>
    </row>
    <row r="112" spans="2:8" x14ac:dyDescent="0.25">
      <c r="B112" s="19">
        <f>'!STRING_ERROR(20181207)'!$C112</f>
        <v>12000016</v>
      </c>
      <c r="C112" s="20">
        <v>12000016</v>
      </c>
      <c r="D112" s="20" t="s">
        <v>186</v>
      </c>
      <c r="E112" s="19">
        <v>21</v>
      </c>
      <c r="F112" s="19">
        <v>1400088</v>
      </c>
      <c r="G112" s="20" t="s">
        <v>82</v>
      </c>
      <c r="H112" s="21" t="s">
        <v>244</v>
      </c>
    </row>
    <row r="113" spans="2:8" x14ac:dyDescent="0.25">
      <c r="B113" s="19">
        <f>'!STRING_ERROR(20181207)'!$C113</f>
        <v>12000017</v>
      </c>
      <c r="C113" s="20">
        <v>12000017</v>
      </c>
      <c r="D113" s="20" t="s">
        <v>186</v>
      </c>
      <c r="E113" s="19">
        <v>21</v>
      </c>
      <c r="F113" s="19">
        <v>1400089</v>
      </c>
      <c r="G113" s="20" t="s">
        <v>83</v>
      </c>
      <c r="H113" s="21" t="s">
        <v>245</v>
      </c>
    </row>
    <row r="114" spans="2:8" x14ac:dyDescent="0.25">
      <c r="B114" s="19">
        <f>'!STRING_ERROR(20181207)'!$C114</f>
        <v>12000018</v>
      </c>
      <c r="C114" s="20">
        <v>12000018</v>
      </c>
      <c r="D114" s="20" t="s">
        <v>186</v>
      </c>
      <c r="E114" s="19">
        <v>21</v>
      </c>
      <c r="F114" s="19">
        <v>1400090</v>
      </c>
      <c r="G114" s="20" t="s">
        <v>84</v>
      </c>
      <c r="H114" s="21" t="s">
        <v>246</v>
      </c>
    </row>
    <row r="115" spans="2:8" x14ac:dyDescent="0.25">
      <c r="B115" s="19">
        <f>'!STRING_ERROR(20181207)'!$C115</f>
        <v>12000019</v>
      </c>
      <c r="C115" s="20">
        <v>12000019</v>
      </c>
      <c r="D115" s="20" t="s">
        <v>186</v>
      </c>
      <c r="E115" s="19">
        <v>21</v>
      </c>
      <c r="F115" s="19">
        <v>1400091</v>
      </c>
      <c r="G115" s="20" t="s">
        <v>85</v>
      </c>
      <c r="H115" s="21" t="s">
        <v>247</v>
      </c>
    </row>
    <row r="116" spans="2:8" x14ac:dyDescent="0.25">
      <c r="B116" s="19">
        <f>'!STRING_ERROR(20181207)'!$C116</f>
        <v>12000020</v>
      </c>
      <c r="C116" s="20">
        <v>12000020</v>
      </c>
      <c r="D116" s="20" t="s">
        <v>186</v>
      </c>
      <c r="E116" s="19">
        <v>21</v>
      </c>
      <c r="F116" s="19">
        <v>1400092</v>
      </c>
      <c r="G116" s="20" t="s">
        <v>86</v>
      </c>
      <c r="H116" s="21" t="s">
        <v>248</v>
      </c>
    </row>
    <row r="117" spans="2:8" x14ac:dyDescent="0.25">
      <c r="B117" s="19">
        <f>'!STRING_ERROR(20181207)'!$C117</f>
        <v>12000021</v>
      </c>
      <c r="C117" s="20">
        <v>12000021</v>
      </c>
      <c r="D117" s="20" t="s">
        <v>186</v>
      </c>
      <c r="E117" s="19">
        <v>21</v>
      </c>
      <c r="F117" s="19">
        <v>1400093</v>
      </c>
      <c r="G117" s="20" t="s">
        <v>87</v>
      </c>
      <c r="H117" s="21" t="s">
        <v>249</v>
      </c>
    </row>
    <row r="118" spans="2:8" x14ac:dyDescent="0.25">
      <c r="B118" s="19">
        <f>'!STRING_ERROR(20181207)'!$C118</f>
        <v>12000022</v>
      </c>
      <c r="C118" s="20">
        <v>12000022</v>
      </c>
      <c r="D118" s="20" t="s">
        <v>186</v>
      </c>
      <c r="E118" s="19">
        <v>21</v>
      </c>
      <c r="F118" s="19">
        <v>1400094</v>
      </c>
      <c r="G118" s="20" t="s">
        <v>88</v>
      </c>
      <c r="H118" s="21" t="s">
        <v>250</v>
      </c>
    </row>
    <row r="119" spans="2:8" x14ac:dyDescent="0.25">
      <c r="B119" s="19">
        <f>'!STRING_ERROR(20181207)'!$C119</f>
        <v>12000023</v>
      </c>
      <c r="C119" s="20">
        <v>12000023</v>
      </c>
      <c r="D119" s="20" t="s">
        <v>186</v>
      </c>
      <c r="E119" s="19">
        <v>21</v>
      </c>
      <c r="F119" s="19">
        <v>1400095</v>
      </c>
      <c r="G119" s="20" t="s">
        <v>362</v>
      </c>
      <c r="H119" s="21" t="s">
        <v>424</v>
      </c>
    </row>
    <row r="120" spans="2:8" x14ac:dyDescent="0.25">
      <c r="B120" s="19">
        <f>'!STRING_ERROR(20181207)'!$C120</f>
        <v>13000000</v>
      </c>
      <c r="C120" s="20">
        <v>13000000</v>
      </c>
      <c r="D120" s="20" t="s">
        <v>186</v>
      </c>
      <c r="E120" s="19">
        <v>21</v>
      </c>
      <c r="F120" s="19">
        <v>1400096</v>
      </c>
      <c r="G120" s="20" t="s">
        <v>89</v>
      </c>
      <c r="H120" s="21" t="s">
        <v>251</v>
      </c>
    </row>
    <row r="121" spans="2:8" x14ac:dyDescent="0.25">
      <c r="B121" s="19">
        <f>'!STRING_ERROR(20181207)'!$C121</f>
        <v>13000001</v>
      </c>
      <c r="C121" s="20">
        <v>13000001</v>
      </c>
      <c r="D121" s="20" t="s">
        <v>186</v>
      </c>
      <c r="E121" s="19">
        <v>21</v>
      </c>
      <c r="F121" s="19">
        <v>1400097</v>
      </c>
      <c r="G121" s="20" t="s">
        <v>90</v>
      </c>
      <c r="H121" s="21" t="s">
        <v>252</v>
      </c>
    </row>
    <row r="122" spans="2:8" x14ac:dyDescent="0.25">
      <c r="B122" s="19">
        <f>'!STRING_ERROR(20181207)'!$C122</f>
        <v>13000002</v>
      </c>
      <c r="C122" s="20">
        <v>13000002</v>
      </c>
      <c r="D122" s="20" t="s">
        <v>186</v>
      </c>
      <c r="E122" s="19">
        <v>21</v>
      </c>
      <c r="F122" s="19">
        <v>1400098</v>
      </c>
      <c r="G122" s="20" t="s">
        <v>91</v>
      </c>
      <c r="H122" s="21" t="s">
        <v>253</v>
      </c>
    </row>
    <row r="123" spans="2:8" x14ac:dyDescent="0.25">
      <c r="B123" s="19">
        <f>'!STRING_ERROR(20181207)'!$C123</f>
        <v>13000003</v>
      </c>
      <c r="C123" s="20">
        <v>13000003</v>
      </c>
      <c r="D123" s="20" t="s">
        <v>186</v>
      </c>
      <c r="E123" s="19">
        <v>21</v>
      </c>
      <c r="F123" s="19">
        <v>1400099</v>
      </c>
      <c r="G123" s="20" t="s">
        <v>92</v>
      </c>
      <c r="H123" s="21" t="s">
        <v>381</v>
      </c>
    </row>
    <row r="124" spans="2:8" x14ac:dyDescent="0.25">
      <c r="B124" s="19">
        <f>'!STRING_ERROR(20181207)'!$C124</f>
        <v>13000004</v>
      </c>
      <c r="C124" s="20">
        <v>13000004</v>
      </c>
      <c r="D124" s="20" t="s">
        <v>186</v>
      </c>
      <c r="E124" s="19">
        <v>21</v>
      </c>
      <c r="F124" s="19">
        <v>1400100</v>
      </c>
      <c r="G124" s="20" t="s">
        <v>93</v>
      </c>
      <c r="H124" s="21" t="s">
        <v>382</v>
      </c>
    </row>
    <row r="125" spans="2:8" x14ac:dyDescent="0.25">
      <c r="B125" s="19">
        <f>'!STRING_ERROR(20181207)'!$C125</f>
        <v>18000000</v>
      </c>
      <c r="C125" s="20">
        <v>18000000</v>
      </c>
      <c r="D125" s="20" t="s">
        <v>186</v>
      </c>
      <c r="E125" s="19">
        <v>21</v>
      </c>
      <c r="F125" s="19">
        <v>1400101</v>
      </c>
      <c r="G125" s="20" t="s">
        <v>363</v>
      </c>
      <c r="H125" s="21" t="s">
        <v>425</v>
      </c>
    </row>
    <row r="126" spans="2:8" x14ac:dyDescent="0.25">
      <c r="B126" s="19">
        <f>'!STRING_ERROR(20181207)'!$C126</f>
        <v>29000000</v>
      </c>
      <c r="C126" s="20">
        <v>29000000</v>
      </c>
      <c r="D126" s="20" t="s">
        <v>437</v>
      </c>
      <c r="E126" s="19">
        <v>0</v>
      </c>
      <c r="F126" s="19">
        <v>1400102</v>
      </c>
      <c r="G126" s="20" t="s">
        <v>94</v>
      </c>
      <c r="H126" s="21" t="s">
        <v>383</v>
      </c>
    </row>
    <row r="127" spans="2:8" x14ac:dyDescent="0.25">
      <c r="B127" s="19">
        <f>'!STRING_ERROR(20181207)'!$C127</f>
        <v>29000001</v>
      </c>
      <c r="C127" s="20">
        <v>29000001</v>
      </c>
      <c r="D127" s="20" t="s">
        <v>184</v>
      </c>
      <c r="E127" s="19">
        <v>5</v>
      </c>
      <c r="F127" s="19">
        <v>1400103</v>
      </c>
      <c r="G127" s="20" t="s">
        <v>95</v>
      </c>
      <c r="H127" s="21" t="s">
        <v>384</v>
      </c>
    </row>
    <row r="128" spans="2:8" x14ac:dyDescent="0.25">
      <c r="B128" s="19">
        <f>'!STRING_ERROR(20181207)'!$C128</f>
        <v>29000002</v>
      </c>
      <c r="C128" s="20">
        <v>29000002</v>
      </c>
      <c r="D128" s="20" t="s">
        <v>184</v>
      </c>
      <c r="E128" s="19">
        <v>5</v>
      </c>
      <c r="F128" s="19">
        <v>1400104</v>
      </c>
      <c r="G128" s="20" t="s">
        <v>96</v>
      </c>
      <c r="H128" s="21" t="s">
        <v>385</v>
      </c>
    </row>
    <row r="129" spans="2:8" x14ac:dyDescent="0.25">
      <c r="B129" s="19">
        <f>'!STRING_ERROR(20181207)'!$C129</f>
        <v>29000003</v>
      </c>
      <c r="C129" s="20">
        <v>29000003</v>
      </c>
      <c r="D129" s="20" t="s">
        <v>184</v>
      </c>
      <c r="E129" s="19">
        <v>5</v>
      </c>
      <c r="F129" s="19">
        <v>1400105</v>
      </c>
      <c r="G129" s="20" t="s">
        <v>97</v>
      </c>
      <c r="H129" s="21" t="s">
        <v>386</v>
      </c>
    </row>
    <row r="130" spans="2:8" x14ac:dyDescent="0.25">
      <c r="B130" s="19">
        <f>'!STRING_ERROR(20181207)'!$C130</f>
        <v>29000004</v>
      </c>
      <c r="C130" s="20">
        <v>29000004</v>
      </c>
      <c r="D130" s="20" t="s">
        <v>184</v>
      </c>
      <c r="E130" s="19">
        <v>5</v>
      </c>
      <c r="F130" s="19">
        <v>1400106</v>
      </c>
      <c r="G130" s="20" t="s">
        <v>98</v>
      </c>
      <c r="H130" s="21" t="s">
        <v>387</v>
      </c>
    </row>
    <row r="131" spans="2:8" x14ac:dyDescent="0.25">
      <c r="B131" s="19">
        <f>'!STRING_ERROR(20181207)'!$C131</f>
        <v>29000005</v>
      </c>
      <c r="C131" s="20">
        <v>29000005</v>
      </c>
      <c r="D131" s="20" t="s">
        <v>184</v>
      </c>
      <c r="E131" s="19">
        <v>5</v>
      </c>
      <c r="F131" s="19">
        <v>1400107</v>
      </c>
      <c r="G131" s="20" t="s">
        <v>99</v>
      </c>
      <c r="H131" s="21" t="s">
        <v>388</v>
      </c>
    </row>
    <row r="132" spans="2:8" x14ac:dyDescent="0.25">
      <c r="B132" s="19">
        <f>'!STRING_ERROR(20181207)'!$C132</f>
        <v>29000006</v>
      </c>
      <c r="C132" s="20">
        <v>29000006</v>
      </c>
      <c r="D132" s="20" t="s">
        <v>184</v>
      </c>
      <c r="E132" s="19">
        <v>5</v>
      </c>
      <c r="F132" s="19">
        <v>1400108</v>
      </c>
      <c r="G132" s="20" t="s">
        <v>100</v>
      </c>
      <c r="H132" s="21" t="s">
        <v>389</v>
      </c>
    </row>
    <row r="133" spans="2:8" x14ac:dyDescent="0.25">
      <c r="B133" s="19">
        <f>'!STRING_ERROR(20181207)'!$C133</f>
        <v>31000000</v>
      </c>
      <c r="C133" s="20">
        <v>31000000</v>
      </c>
      <c r="D133" s="20" t="s">
        <v>184</v>
      </c>
      <c r="E133" s="19">
        <v>5</v>
      </c>
      <c r="F133" s="19">
        <v>1400109</v>
      </c>
      <c r="G133" s="20" t="s">
        <v>101</v>
      </c>
      <c r="H133" s="21" t="s">
        <v>390</v>
      </c>
    </row>
    <row r="134" spans="2:8" x14ac:dyDescent="0.25">
      <c r="B134" s="19">
        <f>'!STRING_ERROR(20181207)'!$C134</f>
        <v>46000000</v>
      </c>
      <c r="C134" s="20">
        <v>46000000</v>
      </c>
      <c r="D134" s="20" t="s">
        <v>184</v>
      </c>
      <c r="E134" s="19">
        <v>5</v>
      </c>
      <c r="F134" s="19">
        <v>1400209</v>
      </c>
      <c r="G134" s="20" t="s">
        <v>454</v>
      </c>
      <c r="H134" s="21" t="s">
        <v>458</v>
      </c>
    </row>
    <row r="135" spans="2:8" x14ac:dyDescent="0.25">
      <c r="B135" s="19">
        <f>'!STRING_ERROR(20181207)'!$C135</f>
        <v>46000001</v>
      </c>
      <c r="C135" s="20">
        <v>46000001</v>
      </c>
      <c r="D135" s="20" t="s">
        <v>184</v>
      </c>
      <c r="E135" s="19">
        <v>5</v>
      </c>
      <c r="F135" s="19">
        <v>1400210</v>
      </c>
      <c r="G135" s="20" t="s">
        <v>455</v>
      </c>
      <c r="H135" s="21" t="s">
        <v>459</v>
      </c>
    </row>
    <row r="136" spans="2:8" x14ac:dyDescent="0.25">
      <c r="B136" s="19">
        <f>'!STRING_ERROR(20181207)'!$C136</f>
        <v>46000002</v>
      </c>
      <c r="C136" s="20">
        <v>46000002</v>
      </c>
      <c r="D136" s="20" t="s">
        <v>184</v>
      </c>
      <c r="E136" s="19">
        <v>5</v>
      </c>
      <c r="F136" s="19">
        <v>1400211</v>
      </c>
      <c r="G136" s="20" t="s">
        <v>456</v>
      </c>
      <c r="H136" s="21" t="s">
        <v>460</v>
      </c>
    </row>
    <row r="137" spans="2:8" x14ac:dyDescent="0.25">
      <c r="B137" s="19">
        <f>'!STRING_ERROR(20181207)'!$C137</f>
        <v>46000003</v>
      </c>
      <c r="C137" s="20">
        <v>46000003</v>
      </c>
      <c r="D137" s="20" t="s">
        <v>184</v>
      </c>
      <c r="E137" s="19">
        <v>5</v>
      </c>
      <c r="F137" s="19">
        <v>1400212</v>
      </c>
      <c r="G137" s="20" t="s">
        <v>457</v>
      </c>
      <c r="H137" s="21" t="s">
        <v>461</v>
      </c>
    </row>
    <row r="138" spans="2:8" x14ac:dyDescent="0.25">
      <c r="B138" s="19">
        <f>'!STRING_ERROR(20181207)'!$C138</f>
        <v>17000000</v>
      </c>
      <c r="C138" s="20">
        <v>17000000</v>
      </c>
      <c r="D138" s="20" t="s">
        <v>184</v>
      </c>
      <c r="E138" s="19">
        <v>5</v>
      </c>
      <c r="F138" s="19">
        <v>1400110</v>
      </c>
      <c r="G138" s="20" t="s">
        <v>102</v>
      </c>
      <c r="H138" s="21" t="s">
        <v>254</v>
      </c>
    </row>
    <row r="139" spans="2:8" x14ac:dyDescent="0.25">
      <c r="B139" s="19">
        <f>'!STRING_ERROR(20181207)'!$C139</f>
        <v>17000001</v>
      </c>
      <c r="C139" s="20">
        <v>17000001</v>
      </c>
      <c r="D139" s="20" t="s">
        <v>184</v>
      </c>
      <c r="E139" s="19">
        <v>5</v>
      </c>
      <c r="F139" s="19">
        <v>1400111</v>
      </c>
      <c r="G139" s="20" t="s">
        <v>103</v>
      </c>
      <c r="H139" s="21" t="s">
        <v>255</v>
      </c>
    </row>
    <row r="140" spans="2:8" x14ac:dyDescent="0.25">
      <c r="B140" s="19">
        <f>'!STRING_ERROR(20181207)'!$C140</f>
        <v>17000002</v>
      </c>
      <c r="C140" s="20">
        <v>17000002</v>
      </c>
      <c r="D140" s="20" t="s">
        <v>186</v>
      </c>
      <c r="E140" s="19">
        <v>21</v>
      </c>
      <c r="F140" s="19">
        <v>1400112</v>
      </c>
      <c r="G140" s="20" t="s">
        <v>104</v>
      </c>
      <c r="H140" s="21" t="s">
        <v>256</v>
      </c>
    </row>
    <row r="141" spans="2:8" x14ac:dyDescent="0.25">
      <c r="B141" s="19">
        <f>'!STRING_ERROR(20181207)'!$C141</f>
        <v>17000003</v>
      </c>
      <c r="C141" s="20">
        <v>17000003</v>
      </c>
      <c r="D141" s="20" t="s">
        <v>184</v>
      </c>
      <c r="E141" s="19">
        <v>5</v>
      </c>
      <c r="F141" s="19">
        <v>1400113</v>
      </c>
      <c r="G141" s="20" t="s">
        <v>105</v>
      </c>
      <c r="H141" s="21" t="s">
        <v>257</v>
      </c>
    </row>
    <row r="142" spans="2:8" x14ac:dyDescent="0.25">
      <c r="B142" s="19">
        <f>'!STRING_ERROR(20181207)'!$C142</f>
        <v>17000004</v>
      </c>
      <c r="C142" s="20">
        <v>17000004</v>
      </c>
      <c r="D142" s="20" t="s">
        <v>184</v>
      </c>
      <c r="E142" s="19">
        <v>5</v>
      </c>
      <c r="F142" s="19">
        <v>1400114</v>
      </c>
      <c r="G142" s="20" t="s">
        <v>106</v>
      </c>
      <c r="H142" s="21" t="s">
        <v>258</v>
      </c>
    </row>
    <row r="143" spans="2:8" x14ac:dyDescent="0.25">
      <c r="B143" s="19">
        <f>'!STRING_ERROR(20181207)'!$C143</f>
        <v>17000005</v>
      </c>
      <c r="C143" s="20">
        <v>17000005</v>
      </c>
      <c r="D143" s="20" t="s">
        <v>184</v>
      </c>
      <c r="E143" s="19">
        <v>5</v>
      </c>
      <c r="F143" s="19">
        <v>1400115</v>
      </c>
      <c r="G143" s="20" t="s">
        <v>107</v>
      </c>
      <c r="H143" s="21" t="s">
        <v>259</v>
      </c>
    </row>
    <row r="144" spans="2:8" x14ac:dyDescent="0.25">
      <c r="B144" s="19">
        <f>'!STRING_ERROR(20181207)'!$C144</f>
        <v>17000006</v>
      </c>
      <c r="C144" s="20">
        <v>17000006</v>
      </c>
      <c r="D144" s="20" t="s">
        <v>186</v>
      </c>
      <c r="E144" s="19">
        <v>21</v>
      </c>
      <c r="F144" s="19">
        <v>1400116</v>
      </c>
      <c r="G144" s="20" t="s">
        <v>108</v>
      </c>
      <c r="H144" s="21" t="s">
        <v>260</v>
      </c>
    </row>
    <row r="145" spans="2:8" x14ac:dyDescent="0.25">
      <c r="B145" s="19">
        <f>'!STRING_ERROR(20181207)'!$C145</f>
        <v>17000007</v>
      </c>
      <c r="C145" s="20">
        <v>17000007</v>
      </c>
      <c r="D145" s="20" t="s">
        <v>184</v>
      </c>
      <c r="E145" s="19">
        <v>5</v>
      </c>
      <c r="F145" s="19">
        <v>1400117</v>
      </c>
      <c r="G145" s="20" t="s">
        <v>109</v>
      </c>
      <c r="H145" s="21" t="s">
        <v>261</v>
      </c>
    </row>
    <row r="146" spans="2:8" x14ac:dyDescent="0.25">
      <c r="B146" s="19">
        <f>'!STRING_ERROR(20181207)'!$C146</f>
        <v>17000008</v>
      </c>
      <c r="C146" s="20">
        <v>17000008</v>
      </c>
      <c r="D146" s="20" t="s">
        <v>184</v>
      </c>
      <c r="E146" s="19">
        <v>5</v>
      </c>
      <c r="F146" s="19">
        <v>1400118</v>
      </c>
      <c r="G146" s="20" t="s">
        <v>110</v>
      </c>
      <c r="H146" s="21" t="s">
        <v>262</v>
      </c>
    </row>
    <row r="147" spans="2:8" x14ac:dyDescent="0.25">
      <c r="B147" s="19">
        <f>'!STRING_ERROR(20181207)'!$C147</f>
        <v>17000009</v>
      </c>
      <c r="C147" s="20">
        <v>17000009</v>
      </c>
      <c r="D147" s="20" t="s">
        <v>184</v>
      </c>
      <c r="E147" s="19">
        <v>5</v>
      </c>
      <c r="F147" s="19">
        <v>1400119</v>
      </c>
      <c r="G147" s="20" t="s">
        <v>111</v>
      </c>
      <c r="H147" s="21" t="s">
        <v>263</v>
      </c>
    </row>
    <row r="148" spans="2:8" x14ac:dyDescent="0.25">
      <c r="B148" s="19">
        <f>'!STRING_ERROR(20181207)'!$C148</f>
        <v>17000010</v>
      </c>
      <c r="C148" s="20">
        <v>17000010</v>
      </c>
      <c r="D148" s="20" t="s">
        <v>184</v>
      </c>
      <c r="E148" s="19">
        <v>5</v>
      </c>
      <c r="F148" s="19">
        <v>1400120</v>
      </c>
      <c r="G148" s="20" t="s">
        <v>112</v>
      </c>
      <c r="H148" s="21" t="s">
        <v>264</v>
      </c>
    </row>
    <row r="149" spans="2:8" x14ac:dyDescent="0.25">
      <c r="B149" s="19">
        <f>'!STRING_ERROR(20181207)'!$C149</f>
        <v>17000011</v>
      </c>
      <c r="C149" s="20">
        <v>17000011</v>
      </c>
      <c r="D149" s="20" t="s">
        <v>184</v>
      </c>
      <c r="E149" s="19">
        <v>5</v>
      </c>
      <c r="F149" s="19">
        <v>1400121</v>
      </c>
      <c r="G149" s="20" t="s">
        <v>113</v>
      </c>
      <c r="H149" s="21" t="s">
        <v>265</v>
      </c>
    </row>
    <row r="150" spans="2:8" x14ac:dyDescent="0.25">
      <c r="B150" s="19">
        <f>'!STRING_ERROR(20181207)'!$C150</f>
        <v>17000012</v>
      </c>
      <c r="C150" s="20">
        <v>17000012</v>
      </c>
      <c r="D150" s="20" t="s">
        <v>184</v>
      </c>
      <c r="E150" s="19">
        <v>5</v>
      </c>
      <c r="F150" s="19">
        <v>1400122</v>
      </c>
      <c r="G150" s="20" t="s">
        <v>114</v>
      </c>
      <c r="H150" s="21" t="s">
        <v>266</v>
      </c>
    </row>
    <row r="151" spans="2:8" x14ac:dyDescent="0.25">
      <c r="B151" s="19">
        <f>'!STRING_ERROR(20181207)'!$C151</f>
        <v>17000013</v>
      </c>
      <c r="C151" s="20">
        <v>17000013</v>
      </c>
      <c r="D151" s="20" t="s">
        <v>184</v>
      </c>
      <c r="E151" s="19">
        <v>5</v>
      </c>
      <c r="F151" s="19">
        <v>1400123</v>
      </c>
      <c r="G151" s="20" t="s">
        <v>115</v>
      </c>
      <c r="H151" s="21" t="s">
        <v>267</v>
      </c>
    </row>
    <row r="152" spans="2:8" x14ac:dyDescent="0.25">
      <c r="B152" s="19">
        <f>'!STRING_ERROR(20181207)'!$C152</f>
        <v>17000014</v>
      </c>
      <c r="C152" s="20">
        <v>17000014</v>
      </c>
      <c r="D152" s="20" t="s">
        <v>184</v>
      </c>
      <c r="E152" s="19">
        <v>5</v>
      </c>
      <c r="F152" s="19">
        <v>1400124</v>
      </c>
      <c r="G152" s="20" t="s">
        <v>116</v>
      </c>
      <c r="H152" s="21" t="s">
        <v>268</v>
      </c>
    </row>
    <row r="153" spans="2:8" x14ac:dyDescent="0.25">
      <c r="B153" s="19">
        <f>'!STRING_ERROR(20181207)'!$C153</f>
        <v>17000015</v>
      </c>
      <c r="C153" s="20">
        <v>17000015</v>
      </c>
      <c r="D153" s="20" t="s">
        <v>184</v>
      </c>
      <c r="E153" s="19">
        <v>5</v>
      </c>
      <c r="F153" s="19">
        <v>1400125</v>
      </c>
      <c r="G153" s="20" t="s">
        <v>117</v>
      </c>
      <c r="H153" s="21" t="s">
        <v>269</v>
      </c>
    </row>
    <row r="154" spans="2:8" x14ac:dyDescent="0.25">
      <c r="B154" s="19">
        <f>'!STRING_ERROR(20181207)'!$C154</f>
        <v>17000016</v>
      </c>
      <c r="C154" s="20">
        <v>17000016</v>
      </c>
      <c r="D154" s="20" t="s">
        <v>186</v>
      </c>
      <c r="E154" s="19">
        <v>21</v>
      </c>
      <c r="F154" s="19">
        <v>1400126</v>
      </c>
      <c r="G154" s="20" t="s">
        <v>118</v>
      </c>
      <c r="H154" s="21" t="s">
        <v>270</v>
      </c>
    </row>
    <row r="155" spans="2:8" x14ac:dyDescent="0.25">
      <c r="B155" s="19">
        <f>'!STRING_ERROR(20181207)'!$C155</f>
        <v>17000017</v>
      </c>
      <c r="C155" s="20">
        <v>17000017</v>
      </c>
      <c r="D155" s="20" t="s">
        <v>186</v>
      </c>
      <c r="E155" s="19">
        <v>21</v>
      </c>
      <c r="F155" s="19">
        <v>1400127</v>
      </c>
      <c r="G155" s="20" t="s">
        <v>119</v>
      </c>
      <c r="H155" s="21" t="s">
        <v>271</v>
      </c>
    </row>
    <row r="156" spans="2:8" x14ac:dyDescent="0.25">
      <c r="B156" s="19">
        <f>'!STRING_ERROR(20181207)'!$C156</f>
        <v>19000000</v>
      </c>
      <c r="C156" s="20">
        <v>19000000</v>
      </c>
      <c r="D156" s="20" t="s">
        <v>186</v>
      </c>
      <c r="E156" s="19">
        <v>21</v>
      </c>
      <c r="F156" s="19">
        <v>1400128</v>
      </c>
      <c r="G156" s="20" t="s">
        <v>120</v>
      </c>
      <c r="H156" s="21" t="s">
        <v>272</v>
      </c>
    </row>
    <row r="157" spans="2:8" x14ac:dyDescent="0.25">
      <c r="B157" s="19">
        <f>'!STRING_ERROR(20181207)'!$C157</f>
        <v>19000001</v>
      </c>
      <c r="C157" s="20">
        <v>19000001</v>
      </c>
      <c r="D157" s="20" t="s">
        <v>186</v>
      </c>
      <c r="E157" s="19">
        <v>21</v>
      </c>
      <c r="F157" s="19">
        <v>1400129</v>
      </c>
      <c r="G157" s="20" t="s">
        <v>121</v>
      </c>
      <c r="H157" s="21" t="s">
        <v>273</v>
      </c>
    </row>
    <row r="158" spans="2:8" x14ac:dyDescent="0.25">
      <c r="B158" s="19">
        <f>'!STRING_ERROR(20181207)'!$C158</f>
        <v>19000002</v>
      </c>
      <c r="C158" s="20">
        <v>19000002</v>
      </c>
      <c r="D158" s="20" t="s">
        <v>186</v>
      </c>
      <c r="E158" s="19">
        <v>21</v>
      </c>
      <c r="F158" s="19">
        <v>1400130</v>
      </c>
      <c r="G158" s="20" t="s">
        <v>122</v>
      </c>
      <c r="H158" s="21" t="s">
        <v>274</v>
      </c>
    </row>
    <row r="159" spans="2:8" x14ac:dyDescent="0.25">
      <c r="B159" s="19">
        <f>'!STRING_ERROR(20181207)'!$C159</f>
        <v>19000003</v>
      </c>
      <c r="C159" s="20">
        <v>19000003</v>
      </c>
      <c r="D159" s="20" t="s">
        <v>186</v>
      </c>
      <c r="E159" s="19">
        <v>21</v>
      </c>
      <c r="F159" s="19">
        <v>1400131</v>
      </c>
      <c r="G159" s="20" t="s">
        <v>123</v>
      </c>
      <c r="H159" s="21" t="s">
        <v>275</v>
      </c>
    </row>
    <row r="160" spans="2:8" x14ac:dyDescent="0.25">
      <c r="B160" s="19">
        <f>'!STRING_ERROR(20181207)'!$C160</f>
        <v>19000004</v>
      </c>
      <c r="C160" s="20">
        <v>19000004</v>
      </c>
      <c r="D160" s="20" t="s">
        <v>186</v>
      </c>
      <c r="E160" s="19">
        <v>21</v>
      </c>
      <c r="F160" s="19">
        <v>1400132</v>
      </c>
      <c r="G160" s="20" t="s">
        <v>124</v>
      </c>
      <c r="H160" s="21" t="s">
        <v>276</v>
      </c>
    </row>
    <row r="161" spans="2:8" x14ac:dyDescent="0.25">
      <c r="B161" s="19">
        <f>'!STRING_ERROR(20181207)'!$C161</f>
        <v>19000005</v>
      </c>
      <c r="C161" s="20">
        <v>19000005</v>
      </c>
      <c r="D161" s="20" t="s">
        <v>186</v>
      </c>
      <c r="E161" s="19">
        <v>21</v>
      </c>
      <c r="F161" s="19">
        <v>1400133</v>
      </c>
      <c r="G161" s="20" t="s">
        <v>125</v>
      </c>
      <c r="H161" s="21" t="s">
        <v>277</v>
      </c>
    </row>
    <row r="162" spans="2:8" x14ac:dyDescent="0.25">
      <c r="B162" s="19">
        <f>'!STRING_ERROR(20181207)'!$C162</f>
        <v>19000006</v>
      </c>
      <c r="C162" s="20">
        <v>19000006</v>
      </c>
      <c r="D162" s="20" t="s">
        <v>186</v>
      </c>
      <c r="E162" s="19">
        <v>21</v>
      </c>
      <c r="F162" s="19">
        <v>1400134</v>
      </c>
      <c r="G162" s="20" t="s">
        <v>126</v>
      </c>
      <c r="H162" s="21" t="s">
        <v>278</v>
      </c>
    </row>
    <row r="163" spans="2:8" x14ac:dyDescent="0.25">
      <c r="B163" s="19">
        <f>'!STRING_ERROR(20181207)'!$C163</f>
        <v>19000007</v>
      </c>
      <c r="C163" s="20">
        <v>19000007</v>
      </c>
      <c r="D163" s="20" t="s">
        <v>186</v>
      </c>
      <c r="E163" s="19">
        <v>21</v>
      </c>
      <c r="F163" s="19">
        <v>1400135</v>
      </c>
      <c r="G163" s="20" t="s">
        <v>127</v>
      </c>
      <c r="H163" s="21" t="s">
        <v>279</v>
      </c>
    </row>
    <row r="164" spans="2:8" x14ac:dyDescent="0.25">
      <c r="B164" s="19">
        <f>'!STRING_ERROR(20181207)'!$C164</f>
        <v>19000008</v>
      </c>
      <c r="C164" s="20">
        <v>19000008</v>
      </c>
      <c r="D164" s="20" t="s">
        <v>186</v>
      </c>
      <c r="E164" s="19">
        <v>21</v>
      </c>
      <c r="F164" s="19">
        <v>1400136</v>
      </c>
      <c r="G164" s="20" t="s">
        <v>128</v>
      </c>
      <c r="H164" s="21" t="s">
        <v>280</v>
      </c>
    </row>
    <row r="165" spans="2:8" x14ac:dyDescent="0.25">
      <c r="B165" s="19">
        <f>'!STRING_ERROR(20181207)'!$C165</f>
        <v>19000009</v>
      </c>
      <c r="C165" s="20">
        <v>19000009</v>
      </c>
      <c r="D165" s="20" t="s">
        <v>186</v>
      </c>
      <c r="E165" s="19">
        <v>21</v>
      </c>
      <c r="F165" s="19">
        <v>1400137</v>
      </c>
      <c r="G165" s="20" t="s">
        <v>364</v>
      </c>
      <c r="H165" s="21" t="s">
        <v>426</v>
      </c>
    </row>
    <row r="166" spans="2:8" x14ac:dyDescent="0.25">
      <c r="B166" s="19">
        <f>'!STRING_ERROR(20181207)'!$C166</f>
        <v>35000000</v>
      </c>
      <c r="C166" s="20">
        <v>35000000</v>
      </c>
      <c r="D166" s="20" t="s">
        <v>186</v>
      </c>
      <c r="E166" s="19">
        <v>21</v>
      </c>
      <c r="F166" s="19">
        <v>1400138</v>
      </c>
      <c r="G166" s="20" t="s">
        <v>129</v>
      </c>
      <c r="H166" s="21" t="s">
        <v>281</v>
      </c>
    </row>
    <row r="167" spans="2:8" x14ac:dyDescent="0.25">
      <c r="B167" s="19">
        <f>'!STRING_ERROR(20181207)'!$C167</f>
        <v>35000001</v>
      </c>
      <c r="C167" s="20">
        <v>35000001</v>
      </c>
      <c r="D167" s="20" t="s">
        <v>186</v>
      </c>
      <c r="E167" s="19">
        <v>21</v>
      </c>
      <c r="F167" s="19">
        <v>1400139</v>
      </c>
      <c r="G167" s="20" t="s">
        <v>130</v>
      </c>
      <c r="H167" s="21" t="s">
        <v>282</v>
      </c>
    </row>
    <row r="168" spans="2:8" x14ac:dyDescent="0.25">
      <c r="B168" s="19">
        <f>'!STRING_ERROR(20181207)'!$C168</f>
        <v>35000002</v>
      </c>
      <c r="C168" s="20">
        <v>35000002</v>
      </c>
      <c r="D168" s="20" t="s">
        <v>186</v>
      </c>
      <c r="E168" s="19">
        <v>21</v>
      </c>
      <c r="F168" s="19">
        <v>1400140</v>
      </c>
      <c r="G168" s="20" t="s">
        <v>131</v>
      </c>
      <c r="H168" s="21" t="s">
        <v>283</v>
      </c>
    </row>
    <row r="169" spans="2:8" x14ac:dyDescent="0.25">
      <c r="B169" s="19">
        <f>'!STRING_ERROR(20181207)'!$C169</f>
        <v>35000003</v>
      </c>
      <c r="C169" s="20">
        <v>35000003</v>
      </c>
      <c r="D169" s="20" t="s">
        <v>186</v>
      </c>
      <c r="E169" s="19">
        <v>21</v>
      </c>
      <c r="F169" s="19">
        <v>1400141</v>
      </c>
      <c r="G169" s="20" t="s">
        <v>132</v>
      </c>
      <c r="H169" s="21" t="s">
        <v>284</v>
      </c>
    </row>
    <row r="170" spans="2:8" x14ac:dyDescent="0.25">
      <c r="B170" s="19">
        <f>'!STRING_ERROR(20181207)'!$C170</f>
        <v>35000004</v>
      </c>
      <c r="C170" s="20">
        <v>35000004</v>
      </c>
      <c r="D170" s="20" t="s">
        <v>186</v>
      </c>
      <c r="E170" s="19">
        <v>21</v>
      </c>
      <c r="F170" s="19">
        <v>1400142</v>
      </c>
      <c r="G170" s="20" t="s">
        <v>133</v>
      </c>
      <c r="H170" s="21" t="s">
        <v>285</v>
      </c>
    </row>
    <row r="171" spans="2:8" x14ac:dyDescent="0.25">
      <c r="B171" s="19">
        <f>'!STRING_ERROR(20181207)'!$C171</f>
        <v>35000005</v>
      </c>
      <c r="C171" s="20">
        <v>35000005</v>
      </c>
      <c r="D171" s="20" t="s">
        <v>186</v>
      </c>
      <c r="E171" s="19">
        <v>21</v>
      </c>
      <c r="F171" s="19">
        <v>1400143</v>
      </c>
      <c r="G171" s="20" t="s">
        <v>134</v>
      </c>
      <c r="H171" s="21" t="s">
        <v>203</v>
      </c>
    </row>
    <row r="172" spans="2:8" x14ac:dyDescent="0.25">
      <c r="B172" s="19">
        <f>'!STRING_ERROR(20181207)'!$C172</f>
        <v>35000006</v>
      </c>
      <c r="C172" s="20">
        <v>35000006</v>
      </c>
      <c r="D172" s="20" t="s">
        <v>186</v>
      </c>
      <c r="E172" s="19">
        <v>21</v>
      </c>
      <c r="F172" s="19">
        <v>1400144</v>
      </c>
      <c r="G172" s="20" t="s">
        <v>135</v>
      </c>
      <c r="H172" s="21" t="s">
        <v>286</v>
      </c>
    </row>
    <row r="173" spans="2:8" x14ac:dyDescent="0.25">
      <c r="B173" s="19">
        <f>'!STRING_ERROR(20181207)'!$C173</f>
        <v>35000007</v>
      </c>
      <c r="C173" s="20">
        <v>35000007</v>
      </c>
      <c r="D173" s="20" t="s">
        <v>186</v>
      </c>
      <c r="E173" s="19">
        <v>21</v>
      </c>
      <c r="F173" s="19">
        <v>1400145</v>
      </c>
      <c r="G173" s="20" t="s">
        <v>136</v>
      </c>
      <c r="H173" s="21" t="s">
        <v>287</v>
      </c>
    </row>
    <row r="174" spans="2:8" x14ac:dyDescent="0.25">
      <c r="B174" s="19">
        <f>'!STRING_ERROR(20181207)'!$C174</f>
        <v>35000008</v>
      </c>
      <c r="C174" s="20">
        <v>35000008</v>
      </c>
      <c r="D174" s="20" t="s">
        <v>186</v>
      </c>
      <c r="E174" s="19">
        <v>21</v>
      </c>
      <c r="F174" s="19">
        <v>1400146</v>
      </c>
      <c r="G174" s="20" t="s">
        <v>137</v>
      </c>
      <c r="H174" s="21" t="s">
        <v>288</v>
      </c>
    </row>
    <row r="175" spans="2:8" x14ac:dyDescent="0.25">
      <c r="B175" s="19">
        <f>'!STRING_ERROR(20181207)'!$C175</f>
        <v>35000009</v>
      </c>
      <c r="C175" s="20">
        <v>35000009</v>
      </c>
      <c r="D175" s="20" t="s">
        <v>186</v>
      </c>
      <c r="E175" s="19">
        <v>21</v>
      </c>
      <c r="F175" s="19">
        <v>1400147</v>
      </c>
      <c r="G175" s="20" t="s">
        <v>138</v>
      </c>
      <c r="H175" s="21" t="s">
        <v>289</v>
      </c>
    </row>
    <row r="176" spans="2:8" x14ac:dyDescent="0.25">
      <c r="B176" s="19">
        <f>'!STRING_ERROR(20181207)'!$C176</f>
        <v>36000000</v>
      </c>
      <c r="C176" s="20">
        <v>36000000</v>
      </c>
      <c r="D176" s="20" t="s">
        <v>186</v>
      </c>
      <c r="E176" s="19">
        <v>21</v>
      </c>
      <c r="F176" s="19">
        <v>1400148</v>
      </c>
      <c r="G176" s="20" t="s">
        <v>139</v>
      </c>
      <c r="H176" s="21" t="s">
        <v>290</v>
      </c>
    </row>
    <row r="177" spans="2:8" x14ac:dyDescent="0.25">
      <c r="B177" s="19">
        <f>'!STRING_ERROR(20181207)'!$C177</f>
        <v>36000001</v>
      </c>
      <c r="C177" s="20">
        <v>36000001</v>
      </c>
      <c r="D177" s="20" t="s">
        <v>186</v>
      </c>
      <c r="E177" s="19">
        <v>21</v>
      </c>
      <c r="F177" s="19">
        <v>1400149</v>
      </c>
      <c r="G177" s="20" t="s">
        <v>140</v>
      </c>
      <c r="H177" s="21" t="s">
        <v>291</v>
      </c>
    </row>
    <row r="178" spans="2:8" x14ac:dyDescent="0.25">
      <c r="B178" s="19">
        <f>'!STRING_ERROR(20181207)'!$C178</f>
        <v>36000002</v>
      </c>
      <c r="C178" s="20">
        <v>36000002</v>
      </c>
      <c r="D178" s="20" t="s">
        <v>186</v>
      </c>
      <c r="E178" s="19">
        <v>21</v>
      </c>
      <c r="F178" s="19">
        <v>1400150</v>
      </c>
      <c r="G178" s="20" t="s">
        <v>141</v>
      </c>
      <c r="H178" s="21" t="s">
        <v>292</v>
      </c>
    </row>
    <row r="179" spans="2:8" x14ac:dyDescent="0.25">
      <c r="B179" s="19">
        <f>'!STRING_ERROR(20181207)'!$C179</f>
        <v>36000003</v>
      </c>
      <c r="C179" s="20">
        <v>36000003</v>
      </c>
      <c r="D179" s="20" t="s">
        <v>186</v>
      </c>
      <c r="E179" s="19">
        <v>21</v>
      </c>
      <c r="F179" s="19">
        <v>1400151</v>
      </c>
      <c r="G179" s="20" t="s">
        <v>142</v>
      </c>
      <c r="H179" s="21" t="s">
        <v>293</v>
      </c>
    </row>
    <row r="180" spans="2:8" x14ac:dyDescent="0.25">
      <c r="B180" s="19">
        <f>'!STRING_ERROR(20181207)'!$C180</f>
        <v>36000004</v>
      </c>
      <c r="C180" s="20">
        <v>36000004</v>
      </c>
      <c r="D180" s="20" t="s">
        <v>186</v>
      </c>
      <c r="E180" s="19">
        <v>21</v>
      </c>
      <c r="F180" s="19">
        <v>1400152</v>
      </c>
      <c r="G180" s="20" t="s">
        <v>143</v>
      </c>
      <c r="H180" s="21" t="s">
        <v>294</v>
      </c>
    </row>
    <row r="181" spans="2:8" x14ac:dyDescent="0.25">
      <c r="B181" s="19">
        <f>'!STRING_ERROR(20181207)'!$C181</f>
        <v>36000005</v>
      </c>
      <c r="C181" s="19">
        <v>36000005</v>
      </c>
      <c r="D181" s="20" t="s">
        <v>186</v>
      </c>
      <c r="E181" s="19">
        <v>21</v>
      </c>
      <c r="F181" s="19">
        <v>1400153</v>
      </c>
      <c r="G181" s="19" t="s">
        <v>144</v>
      </c>
      <c r="H181" s="21" t="s">
        <v>203</v>
      </c>
    </row>
    <row r="182" spans="2:8" x14ac:dyDescent="0.25">
      <c r="B182" s="19">
        <f>'!STRING_ERROR(20181207)'!$C182</f>
        <v>36000006</v>
      </c>
      <c r="C182" s="19">
        <v>36000006</v>
      </c>
      <c r="D182" s="20" t="s">
        <v>186</v>
      </c>
      <c r="E182" s="19">
        <v>21</v>
      </c>
      <c r="F182" s="19">
        <v>1400154</v>
      </c>
      <c r="G182" s="19" t="s">
        <v>145</v>
      </c>
      <c r="H182" s="21" t="s">
        <v>286</v>
      </c>
    </row>
    <row r="183" spans="2:8" x14ac:dyDescent="0.25">
      <c r="B183" s="19">
        <f>'!STRING_ERROR(20181207)'!$C183</f>
        <v>36000007</v>
      </c>
      <c r="C183" s="19">
        <v>36000007</v>
      </c>
      <c r="D183" s="20" t="s">
        <v>186</v>
      </c>
      <c r="E183" s="19">
        <v>21</v>
      </c>
      <c r="F183" s="19">
        <v>1400155</v>
      </c>
      <c r="G183" s="19" t="s">
        <v>146</v>
      </c>
      <c r="H183" s="21" t="s">
        <v>287</v>
      </c>
    </row>
    <row r="184" spans="2:8" x14ac:dyDescent="0.25">
      <c r="B184" s="19">
        <f>'!STRING_ERROR(20181207)'!$C184</f>
        <v>36000008</v>
      </c>
      <c r="C184" s="19">
        <v>36000008</v>
      </c>
      <c r="D184" s="20" t="s">
        <v>186</v>
      </c>
      <c r="E184" s="19">
        <v>21</v>
      </c>
      <c r="F184" s="19">
        <v>1400156</v>
      </c>
      <c r="G184" s="19" t="s">
        <v>147</v>
      </c>
      <c r="H184" s="21" t="s">
        <v>288</v>
      </c>
    </row>
    <row r="185" spans="2:8" x14ac:dyDescent="0.25">
      <c r="B185" s="19">
        <f>'!STRING_ERROR(20181207)'!$C185</f>
        <v>36000009</v>
      </c>
      <c r="C185" s="19">
        <v>36000009</v>
      </c>
      <c r="D185" s="20" t="s">
        <v>186</v>
      </c>
      <c r="E185" s="19">
        <v>21</v>
      </c>
      <c r="F185" s="19">
        <v>1400157</v>
      </c>
      <c r="G185" s="19" t="s">
        <v>148</v>
      </c>
      <c r="H185" s="21" t="s">
        <v>295</v>
      </c>
    </row>
    <row r="186" spans="2:8" x14ac:dyDescent="0.25">
      <c r="B186" s="19">
        <f>'!STRING_ERROR(20181207)'!$C186</f>
        <v>36000010</v>
      </c>
      <c r="C186" s="19">
        <v>36000010</v>
      </c>
      <c r="D186" s="20" t="s">
        <v>186</v>
      </c>
      <c r="E186" s="19">
        <v>21</v>
      </c>
      <c r="F186" s="19">
        <v>1400158</v>
      </c>
      <c r="G186" s="19" t="s">
        <v>149</v>
      </c>
      <c r="H186" s="21" t="s">
        <v>296</v>
      </c>
    </row>
    <row r="187" spans="2:8" x14ac:dyDescent="0.25">
      <c r="B187" s="19">
        <f>'!STRING_ERROR(20181207)'!$C187</f>
        <v>21000000</v>
      </c>
      <c r="C187" s="19">
        <v>21000000</v>
      </c>
      <c r="D187" s="20" t="s">
        <v>184</v>
      </c>
      <c r="E187" s="19">
        <v>5</v>
      </c>
      <c r="F187" s="19">
        <v>1400159</v>
      </c>
      <c r="G187" s="19" t="s">
        <v>150</v>
      </c>
      <c r="H187" s="21" t="s">
        <v>297</v>
      </c>
    </row>
    <row r="188" spans="2:8" x14ac:dyDescent="0.25">
      <c r="B188" s="19">
        <f>'!STRING_ERROR(20181207)'!$C188</f>
        <v>21000001</v>
      </c>
      <c r="C188" s="19">
        <v>21000001</v>
      </c>
      <c r="D188" s="20" t="s">
        <v>184</v>
      </c>
      <c r="E188" s="19">
        <v>5</v>
      </c>
      <c r="F188" s="19">
        <v>1400160</v>
      </c>
      <c r="G188" s="19" t="s">
        <v>151</v>
      </c>
      <c r="H188" s="21" t="s">
        <v>298</v>
      </c>
    </row>
    <row r="189" spans="2:8" x14ac:dyDescent="0.25">
      <c r="B189" s="19">
        <f>'!STRING_ERROR(20181207)'!$C189</f>
        <v>21000002</v>
      </c>
      <c r="C189" s="19">
        <v>21000002</v>
      </c>
      <c r="D189" s="20" t="s">
        <v>186</v>
      </c>
      <c r="E189" s="19">
        <v>21</v>
      </c>
      <c r="F189" s="19">
        <v>1400161</v>
      </c>
      <c r="G189" s="19" t="s">
        <v>152</v>
      </c>
      <c r="H189" s="21" t="s">
        <v>299</v>
      </c>
    </row>
    <row r="190" spans="2:8" x14ac:dyDescent="0.25">
      <c r="B190" s="19">
        <f>'!STRING_ERROR(20181207)'!$C190</f>
        <v>21000003</v>
      </c>
      <c r="C190" s="19">
        <v>21000003</v>
      </c>
      <c r="D190" s="20" t="s">
        <v>186</v>
      </c>
      <c r="E190" s="19">
        <v>21</v>
      </c>
      <c r="F190" s="19">
        <v>1400162</v>
      </c>
      <c r="G190" s="19" t="s">
        <v>153</v>
      </c>
      <c r="H190" s="21" t="s">
        <v>300</v>
      </c>
    </row>
    <row r="191" spans="2:8" x14ac:dyDescent="0.25">
      <c r="B191" s="19">
        <f>'!STRING_ERROR(20181207)'!$C191</f>
        <v>21000004</v>
      </c>
      <c r="C191" s="19">
        <v>21000004</v>
      </c>
      <c r="D191" s="20" t="s">
        <v>186</v>
      </c>
      <c r="E191" s="19">
        <v>21</v>
      </c>
      <c r="F191" s="19">
        <v>1400163</v>
      </c>
      <c r="G191" s="19" t="s">
        <v>154</v>
      </c>
      <c r="H191" s="21" t="s">
        <v>301</v>
      </c>
    </row>
    <row r="192" spans="2:8" x14ac:dyDescent="0.25">
      <c r="B192" s="19">
        <f>'!STRING_ERROR(20181207)'!$C192</f>
        <v>21000005</v>
      </c>
      <c r="C192" s="19">
        <v>21000005</v>
      </c>
      <c r="D192" s="20" t="s">
        <v>186</v>
      </c>
      <c r="E192" s="19">
        <v>21</v>
      </c>
      <c r="F192" s="19">
        <v>1400164</v>
      </c>
      <c r="G192" s="19" t="s">
        <v>155</v>
      </c>
      <c r="H192" s="21" t="s">
        <v>302</v>
      </c>
    </row>
    <row r="193" spans="2:8" x14ac:dyDescent="0.25">
      <c r="B193" s="19">
        <f>'!STRING_ERROR(20181207)'!$C193</f>
        <v>21000006</v>
      </c>
      <c r="C193" s="19">
        <v>21000006</v>
      </c>
      <c r="D193" s="20" t="s">
        <v>186</v>
      </c>
      <c r="E193" s="19">
        <v>0</v>
      </c>
      <c r="F193" s="19">
        <v>1400165</v>
      </c>
      <c r="G193" s="19" t="s">
        <v>156</v>
      </c>
      <c r="H193" s="21" t="s">
        <v>303</v>
      </c>
    </row>
    <row r="194" spans="2:8" x14ac:dyDescent="0.25">
      <c r="B194" s="19">
        <f>'!STRING_ERROR(20181207)'!$C194</f>
        <v>21000007</v>
      </c>
      <c r="C194" s="19">
        <v>21000007</v>
      </c>
      <c r="D194" s="20" t="s">
        <v>186</v>
      </c>
      <c r="E194" s="19">
        <v>21</v>
      </c>
      <c r="F194" s="19">
        <v>1400166</v>
      </c>
      <c r="G194" s="19" t="s">
        <v>157</v>
      </c>
      <c r="H194" s="21" t="s">
        <v>304</v>
      </c>
    </row>
    <row r="195" spans="2:8" x14ac:dyDescent="0.25">
      <c r="B195" s="19">
        <f>'!STRING_ERROR(20181207)'!$C195</f>
        <v>21000008</v>
      </c>
      <c r="C195" s="19">
        <v>21000008</v>
      </c>
      <c r="D195" s="20" t="s">
        <v>186</v>
      </c>
      <c r="E195" s="19">
        <v>21</v>
      </c>
      <c r="F195" s="19">
        <v>1400167</v>
      </c>
      <c r="G195" s="19" t="s">
        <v>158</v>
      </c>
      <c r="H195" s="21" t="s">
        <v>305</v>
      </c>
    </row>
    <row r="196" spans="2:8" x14ac:dyDescent="0.25">
      <c r="B196" s="19">
        <f>'!STRING_ERROR(20181207)'!$C196</f>
        <v>21000009</v>
      </c>
      <c r="C196" s="19">
        <v>21000009</v>
      </c>
      <c r="D196" s="20" t="s">
        <v>186</v>
      </c>
      <c r="E196" s="19">
        <v>21</v>
      </c>
      <c r="F196" s="19">
        <v>1400168</v>
      </c>
      <c r="G196" s="19" t="s">
        <v>159</v>
      </c>
      <c r="H196" s="21" t="s">
        <v>231</v>
      </c>
    </row>
    <row r="197" spans="2:8" x14ac:dyDescent="0.25">
      <c r="B197" s="19">
        <f>'!STRING_ERROR(20181207)'!$C197</f>
        <v>21000010</v>
      </c>
      <c r="C197" s="19">
        <v>21000010</v>
      </c>
      <c r="D197" s="20" t="s">
        <v>186</v>
      </c>
      <c r="E197" s="19">
        <v>21</v>
      </c>
      <c r="F197" s="19">
        <v>1400169</v>
      </c>
      <c r="G197" s="19" t="s">
        <v>160</v>
      </c>
      <c r="H197" s="21" t="s">
        <v>306</v>
      </c>
    </row>
    <row r="198" spans="2:8" x14ac:dyDescent="0.25">
      <c r="B198" s="19">
        <f>'!STRING_ERROR(20181207)'!$C198</f>
        <v>21000011</v>
      </c>
      <c r="C198" s="19">
        <v>21000011</v>
      </c>
      <c r="D198" s="20" t="s">
        <v>186</v>
      </c>
      <c r="E198" s="19">
        <v>21</v>
      </c>
      <c r="F198" s="19">
        <v>1400170</v>
      </c>
      <c r="G198" s="19" t="s">
        <v>161</v>
      </c>
      <c r="H198" s="21" t="s">
        <v>307</v>
      </c>
    </row>
    <row r="199" spans="2:8" x14ac:dyDescent="0.25">
      <c r="B199" s="19">
        <f>'!STRING_ERROR(20181207)'!$C199</f>
        <v>21000012</v>
      </c>
      <c r="C199" s="19">
        <v>21000012</v>
      </c>
      <c r="D199" s="20" t="s">
        <v>186</v>
      </c>
      <c r="E199" s="19">
        <v>21</v>
      </c>
      <c r="F199" s="19">
        <v>1400171</v>
      </c>
      <c r="G199" s="19" t="s">
        <v>365</v>
      </c>
      <c r="H199" s="21" t="s">
        <v>427</v>
      </c>
    </row>
    <row r="200" spans="2:8" x14ac:dyDescent="0.25">
      <c r="B200" s="19">
        <f>'!STRING_ERROR(20181207)'!$C200</f>
        <v>21000013</v>
      </c>
      <c r="C200" s="19">
        <v>21000013</v>
      </c>
      <c r="D200" s="20" t="s">
        <v>186</v>
      </c>
      <c r="E200" s="19">
        <v>21</v>
      </c>
      <c r="F200" s="19">
        <v>1400172</v>
      </c>
      <c r="G200" s="19" t="s">
        <v>366</v>
      </c>
      <c r="H200" s="21" t="s">
        <v>436</v>
      </c>
    </row>
    <row r="201" spans="2:8" x14ac:dyDescent="0.25">
      <c r="B201" s="19">
        <f>'!STRING_ERROR(20181207)'!$C201</f>
        <v>25000000</v>
      </c>
      <c r="C201" s="19">
        <v>25000000</v>
      </c>
      <c r="D201" s="20" t="s">
        <v>186</v>
      </c>
      <c r="E201" s="19">
        <v>21</v>
      </c>
      <c r="F201" s="19">
        <v>1400173</v>
      </c>
      <c r="G201" s="19" t="s">
        <v>162</v>
      </c>
      <c r="H201" s="21" t="s">
        <v>308</v>
      </c>
    </row>
    <row r="202" spans="2:8" x14ac:dyDescent="0.25">
      <c r="B202" s="19">
        <f>'!STRING_ERROR(20181207)'!$C202</f>
        <v>25000001</v>
      </c>
      <c r="C202" s="19">
        <v>25000001</v>
      </c>
      <c r="D202" s="20" t="s">
        <v>186</v>
      </c>
      <c r="E202" s="19">
        <v>21</v>
      </c>
      <c r="F202" s="19">
        <v>1400174</v>
      </c>
      <c r="G202" s="19" t="s">
        <v>163</v>
      </c>
      <c r="H202" s="21" t="s">
        <v>309</v>
      </c>
    </row>
    <row r="203" spans="2:8" x14ac:dyDescent="0.25">
      <c r="B203" s="19">
        <f>'!STRING_ERROR(20181207)'!$C203</f>
        <v>25000002</v>
      </c>
      <c r="C203" s="19">
        <v>25000002</v>
      </c>
      <c r="D203" s="20" t="s">
        <v>186</v>
      </c>
      <c r="E203" s="19">
        <v>21</v>
      </c>
      <c r="F203" s="19">
        <v>1400175</v>
      </c>
      <c r="G203" s="19" t="s">
        <v>164</v>
      </c>
      <c r="H203" s="21" t="s">
        <v>219</v>
      </c>
    </row>
    <row r="204" spans="2:8" x14ac:dyDescent="0.25">
      <c r="B204" s="19">
        <f>'!STRING_ERROR(20181207)'!$C204</f>
        <v>25000003</v>
      </c>
      <c r="C204" s="19">
        <v>25000003</v>
      </c>
      <c r="D204" s="20" t="s">
        <v>186</v>
      </c>
      <c r="E204" s="19">
        <v>21</v>
      </c>
      <c r="F204" s="19">
        <v>1400176</v>
      </c>
      <c r="G204" s="19" t="s">
        <v>165</v>
      </c>
      <c r="H204" s="21" t="s">
        <v>310</v>
      </c>
    </row>
    <row r="205" spans="2:8" x14ac:dyDescent="0.25">
      <c r="B205" s="19">
        <f>'!STRING_ERROR(20181207)'!$C205</f>
        <v>25000004</v>
      </c>
      <c r="C205" s="19">
        <v>25000004</v>
      </c>
      <c r="D205" s="20" t="s">
        <v>186</v>
      </c>
      <c r="E205" s="19">
        <v>21</v>
      </c>
      <c r="F205" s="19">
        <v>1400177</v>
      </c>
      <c r="G205" s="19" t="s">
        <v>166</v>
      </c>
      <c r="H205" s="21" t="s">
        <v>311</v>
      </c>
    </row>
    <row r="206" spans="2:8" x14ac:dyDescent="0.25">
      <c r="B206" s="19">
        <f>'!STRING_ERROR(20181207)'!$C206</f>
        <v>25000005</v>
      </c>
      <c r="C206" s="19">
        <v>25000005</v>
      </c>
      <c r="D206" s="20" t="s">
        <v>186</v>
      </c>
      <c r="E206" s="19">
        <v>21</v>
      </c>
      <c r="F206" s="19">
        <v>1400178</v>
      </c>
      <c r="G206" s="19" t="s">
        <v>167</v>
      </c>
      <c r="H206" s="21" t="s">
        <v>312</v>
      </c>
    </row>
    <row r="207" spans="2:8" x14ac:dyDescent="0.25">
      <c r="B207" s="19">
        <f>'!STRING_ERROR(20181207)'!$C207</f>
        <v>25000006</v>
      </c>
      <c r="C207" s="19">
        <v>25000006</v>
      </c>
      <c r="D207" s="20" t="s">
        <v>186</v>
      </c>
      <c r="E207" s="19">
        <v>21</v>
      </c>
      <c r="F207" s="19">
        <v>1400179</v>
      </c>
      <c r="G207" s="19" t="s">
        <v>168</v>
      </c>
      <c r="H207" s="21" t="s">
        <v>313</v>
      </c>
    </row>
    <row r="208" spans="2:8" x14ac:dyDescent="0.25">
      <c r="B208" s="19">
        <f>'!STRING_ERROR(20181207)'!$C208</f>
        <v>25000007</v>
      </c>
      <c r="C208" s="19">
        <v>25000007</v>
      </c>
      <c r="D208" s="20" t="s">
        <v>186</v>
      </c>
      <c r="E208" s="19">
        <v>21</v>
      </c>
      <c r="F208" s="19">
        <v>1400180</v>
      </c>
      <c r="G208" s="19" t="s">
        <v>169</v>
      </c>
      <c r="H208" s="21" t="s">
        <v>314</v>
      </c>
    </row>
    <row r="209" spans="2:8" x14ac:dyDescent="0.25">
      <c r="B209" s="19">
        <f>'!STRING_ERROR(20181207)'!$C209</f>
        <v>26000000</v>
      </c>
      <c r="C209" s="19">
        <v>26000000</v>
      </c>
      <c r="D209" s="20" t="s">
        <v>437</v>
      </c>
      <c r="E209" s="19">
        <v>0</v>
      </c>
      <c r="F209" s="19">
        <v>1400181</v>
      </c>
      <c r="G209" s="19" t="s">
        <v>170</v>
      </c>
      <c r="H209" s="21" t="s">
        <v>315</v>
      </c>
    </row>
    <row r="210" spans="2:8" x14ac:dyDescent="0.25">
      <c r="B210" s="19">
        <f>'!STRING_ERROR(20181207)'!$C210</f>
        <v>26000001</v>
      </c>
      <c r="C210" s="19">
        <v>26000001</v>
      </c>
      <c r="D210" s="20" t="s">
        <v>184</v>
      </c>
      <c r="E210" s="19">
        <v>5</v>
      </c>
      <c r="F210" s="19">
        <v>1400182</v>
      </c>
      <c r="G210" s="19" t="s">
        <v>171</v>
      </c>
      <c r="H210" s="21" t="s">
        <v>214</v>
      </c>
    </row>
    <row r="211" spans="2:8" x14ac:dyDescent="0.25">
      <c r="B211" s="19">
        <f>'!STRING_ERROR(20181207)'!$C211</f>
        <v>26000002</v>
      </c>
      <c r="C211" s="19">
        <v>26000002</v>
      </c>
      <c r="D211" s="20" t="s">
        <v>184</v>
      </c>
      <c r="E211" s="19">
        <v>5</v>
      </c>
      <c r="F211" s="19">
        <v>1400183</v>
      </c>
      <c r="G211" s="19" t="s">
        <v>172</v>
      </c>
      <c r="H211" s="21" t="s">
        <v>316</v>
      </c>
    </row>
    <row r="212" spans="2:8" x14ac:dyDescent="0.25">
      <c r="B212" s="19">
        <f>'!STRING_ERROR(20181207)'!$C212</f>
        <v>26000003</v>
      </c>
      <c r="C212" s="19">
        <v>26000003</v>
      </c>
      <c r="D212" s="20" t="s">
        <v>184</v>
      </c>
      <c r="E212" s="19">
        <v>5</v>
      </c>
      <c r="F212" s="19">
        <v>1400184</v>
      </c>
      <c r="G212" s="19" t="s">
        <v>173</v>
      </c>
      <c r="H212" s="21" t="s">
        <v>317</v>
      </c>
    </row>
    <row r="213" spans="2:8" x14ac:dyDescent="0.25">
      <c r="B213" s="19">
        <f>'!STRING_ERROR(20181207)'!$C213</f>
        <v>26000004</v>
      </c>
      <c r="C213" s="19">
        <v>26000004</v>
      </c>
      <c r="D213" s="20" t="s">
        <v>184</v>
      </c>
      <c r="E213" s="19">
        <v>5</v>
      </c>
      <c r="F213" s="19">
        <v>1400185</v>
      </c>
      <c r="G213" s="19" t="s">
        <v>174</v>
      </c>
      <c r="H213" s="21" t="s">
        <v>318</v>
      </c>
    </row>
    <row r="214" spans="2:8" x14ac:dyDescent="0.25">
      <c r="B214" s="19">
        <f>'!STRING_ERROR(20181207)'!$C214</f>
        <v>26000005</v>
      </c>
      <c r="C214" s="19">
        <v>26000005</v>
      </c>
      <c r="D214" s="20" t="s">
        <v>184</v>
      </c>
      <c r="E214" s="19">
        <v>5</v>
      </c>
      <c r="F214" s="19">
        <v>1400186</v>
      </c>
      <c r="G214" s="19" t="s">
        <v>175</v>
      </c>
      <c r="H214" s="21" t="s">
        <v>319</v>
      </c>
    </row>
    <row r="215" spans="2:8" x14ac:dyDescent="0.25">
      <c r="B215" s="19">
        <f>'!STRING_ERROR(20181207)'!$C215</f>
        <v>26000006</v>
      </c>
      <c r="C215" s="19">
        <v>26000006</v>
      </c>
      <c r="D215" s="20" t="s">
        <v>184</v>
      </c>
      <c r="E215" s="19">
        <v>5</v>
      </c>
      <c r="F215" s="19">
        <v>1400187</v>
      </c>
      <c r="G215" s="19" t="s">
        <v>367</v>
      </c>
      <c r="H215" s="21" t="s">
        <v>428</v>
      </c>
    </row>
    <row r="216" spans="2:8" x14ac:dyDescent="0.25">
      <c r="B216" s="19">
        <f>'!STRING_ERROR(20181207)'!$C216</f>
        <v>26000007</v>
      </c>
      <c r="C216" s="19">
        <v>26000007</v>
      </c>
      <c r="D216" s="20" t="s">
        <v>184</v>
      </c>
      <c r="E216" s="19">
        <v>5</v>
      </c>
      <c r="F216" s="19">
        <v>1400188</v>
      </c>
      <c r="G216" s="19" t="s">
        <v>368</v>
      </c>
      <c r="H216" s="21" t="s">
        <v>429</v>
      </c>
    </row>
    <row r="217" spans="2:8" x14ac:dyDescent="0.25">
      <c r="B217" s="19">
        <f>'!STRING_ERROR(20181207)'!$C217</f>
        <v>26000008</v>
      </c>
      <c r="C217" s="19">
        <v>26000008</v>
      </c>
      <c r="D217" s="20" t="s">
        <v>184</v>
      </c>
      <c r="E217" s="19">
        <v>5</v>
      </c>
      <c r="F217" s="19">
        <v>1400189</v>
      </c>
      <c r="G217" s="19" t="s">
        <v>369</v>
      </c>
      <c r="H217" s="21" t="s">
        <v>430</v>
      </c>
    </row>
    <row r="218" spans="2:8" x14ac:dyDescent="0.25">
      <c r="B218" s="19">
        <f>'!STRING_ERROR(20181207)'!$C218</f>
        <v>26000010</v>
      </c>
      <c r="C218" s="19">
        <v>26000010</v>
      </c>
      <c r="D218" s="20" t="s">
        <v>184</v>
      </c>
      <c r="E218" s="19">
        <v>5</v>
      </c>
      <c r="F218" s="19">
        <v>1400207</v>
      </c>
      <c r="G218" s="19" t="s">
        <v>451</v>
      </c>
      <c r="H218" s="21" t="s">
        <v>449</v>
      </c>
    </row>
    <row r="219" spans="2:8" x14ac:dyDescent="0.25">
      <c r="B219" s="19">
        <f>'!STRING_ERROR(20181207)'!$C219</f>
        <v>26000011</v>
      </c>
      <c r="C219" s="19">
        <v>26000011</v>
      </c>
      <c r="D219" s="20" t="s">
        <v>184</v>
      </c>
      <c r="E219" s="19">
        <v>5</v>
      </c>
      <c r="F219" s="19">
        <v>1400208</v>
      </c>
      <c r="G219" s="19" t="s">
        <v>452</v>
      </c>
      <c r="H219" s="21" t="s">
        <v>453</v>
      </c>
    </row>
    <row r="220" spans="2:8" x14ac:dyDescent="0.25">
      <c r="B220" s="19">
        <f>'!STRING_ERROR(20181207)'!$C220</f>
        <v>27000000</v>
      </c>
      <c r="C220" s="19">
        <v>27000000</v>
      </c>
      <c r="D220" s="20" t="s">
        <v>184</v>
      </c>
      <c r="E220" s="19">
        <v>5</v>
      </c>
      <c r="F220" s="19">
        <v>1400190</v>
      </c>
      <c r="G220" s="19" t="s">
        <v>176</v>
      </c>
      <c r="H220" s="21" t="s">
        <v>320</v>
      </c>
    </row>
    <row r="221" spans="2:8" x14ac:dyDescent="0.25">
      <c r="B221" s="19">
        <f>'!STRING_ERROR(20181207)'!$C221</f>
        <v>27000001</v>
      </c>
      <c r="C221" s="19">
        <v>27000001</v>
      </c>
      <c r="D221" s="20" t="s">
        <v>184</v>
      </c>
      <c r="E221" s="19">
        <v>5</v>
      </c>
      <c r="F221" s="19">
        <v>1400191</v>
      </c>
      <c r="G221" s="19" t="s">
        <v>177</v>
      </c>
      <c r="H221" s="21" t="s">
        <v>321</v>
      </c>
    </row>
    <row r="222" spans="2:8" x14ac:dyDescent="0.25">
      <c r="B222" s="19">
        <f>'!STRING_ERROR(20181207)'!$C222</f>
        <v>27000002</v>
      </c>
      <c r="C222" s="19">
        <v>27000002</v>
      </c>
      <c r="D222" s="20" t="s">
        <v>184</v>
      </c>
      <c r="E222" s="19">
        <v>5</v>
      </c>
      <c r="F222" s="19">
        <v>1400192</v>
      </c>
      <c r="G222" s="19" t="s">
        <v>178</v>
      </c>
      <c r="H222" s="21" t="s">
        <v>322</v>
      </c>
    </row>
    <row r="223" spans="2:8" x14ac:dyDescent="0.25">
      <c r="B223" s="19">
        <f>'!STRING_ERROR(20181207)'!$C223</f>
        <v>27000003</v>
      </c>
      <c r="C223" s="19">
        <v>27000003</v>
      </c>
      <c r="D223" s="20" t="s">
        <v>184</v>
      </c>
      <c r="E223" s="19">
        <v>5</v>
      </c>
      <c r="F223" s="19">
        <v>1400193</v>
      </c>
      <c r="G223" s="19" t="s">
        <v>179</v>
      </c>
      <c r="H223" s="21" t="s">
        <v>323</v>
      </c>
    </row>
    <row r="224" spans="2:8" x14ac:dyDescent="0.25">
      <c r="B224" s="19">
        <f>'!STRING_ERROR(20181207)'!$C224</f>
        <v>27000004</v>
      </c>
      <c r="C224" s="19">
        <v>27000004</v>
      </c>
      <c r="D224" s="20" t="s">
        <v>184</v>
      </c>
      <c r="E224" s="19">
        <v>5</v>
      </c>
      <c r="F224" s="19">
        <v>1400194</v>
      </c>
      <c r="G224" s="19" t="s">
        <v>180</v>
      </c>
      <c r="H224" s="21" t="s">
        <v>324</v>
      </c>
    </row>
    <row r="225" spans="2:8" x14ac:dyDescent="0.25">
      <c r="B225" s="19">
        <f>'!STRING_ERROR(20181207)'!$C225</f>
        <v>27000005</v>
      </c>
      <c r="C225" s="19">
        <v>27000005</v>
      </c>
      <c r="D225" s="20" t="s">
        <v>184</v>
      </c>
      <c r="E225" s="19">
        <v>5</v>
      </c>
      <c r="F225" s="19">
        <v>1400195</v>
      </c>
      <c r="G225" s="19" t="s">
        <v>370</v>
      </c>
      <c r="H225" s="21" t="s">
        <v>431</v>
      </c>
    </row>
    <row r="226" spans="2:8" x14ac:dyDescent="0.25">
      <c r="B226" s="19">
        <f>'!STRING_ERROR(20181207)'!$C226</f>
        <v>41000000</v>
      </c>
      <c r="C226" s="19">
        <v>41000000</v>
      </c>
      <c r="D226" s="20" t="s">
        <v>184</v>
      </c>
      <c r="E226" s="19">
        <v>5</v>
      </c>
      <c r="F226" s="19">
        <v>1400196</v>
      </c>
      <c r="G226" s="19" t="s">
        <v>371</v>
      </c>
      <c r="H226" s="21" t="s">
        <v>432</v>
      </c>
    </row>
    <row r="227" spans="2:8" x14ac:dyDescent="0.25">
      <c r="B227" s="19">
        <f>'!STRING_ERROR(20181207)'!$C227</f>
        <v>41000001</v>
      </c>
      <c r="C227" s="19">
        <v>41000001</v>
      </c>
      <c r="D227" s="20" t="s">
        <v>184</v>
      </c>
      <c r="E227" s="19">
        <v>5</v>
      </c>
      <c r="F227" s="19">
        <v>1400197</v>
      </c>
      <c r="G227" s="19" t="s">
        <v>372</v>
      </c>
      <c r="H227" s="21" t="s">
        <v>433</v>
      </c>
    </row>
    <row r="228" spans="2:8" x14ac:dyDescent="0.25">
      <c r="B228" s="19">
        <f>'!STRING_ERROR(20181207)'!$C228</f>
        <v>41000002</v>
      </c>
      <c r="C228" s="19">
        <v>41000002</v>
      </c>
      <c r="D228" s="20" t="s">
        <v>184</v>
      </c>
      <c r="E228" s="19">
        <v>5</v>
      </c>
      <c r="F228" s="19">
        <v>1400198</v>
      </c>
      <c r="G228" s="19" t="s">
        <v>373</v>
      </c>
      <c r="H228" s="21" t="s">
        <v>434</v>
      </c>
    </row>
    <row r="229" spans="2:8" x14ac:dyDescent="0.25">
      <c r="B229" s="19">
        <f>'!STRING_ERROR(20181207)'!$C229</f>
        <v>41000003</v>
      </c>
      <c r="C229" s="19">
        <v>41000003</v>
      </c>
      <c r="D229" s="20" t="s">
        <v>184</v>
      </c>
      <c r="E229" s="19">
        <v>5</v>
      </c>
      <c r="F229" s="19">
        <v>1400199</v>
      </c>
      <c r="G229" s="19" t="s">
        <v>374</v>
      </c>
      <c r="H229" s="21" t="s">
        <v>435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WordDirectionChange">
          <controlPr defaultSize="0" autoLine="0" r:id="rId5">
            <anchor moveWithCells="1">
              <from>
                <xdr:col>0</xdr:col>
                <xdr:colOff>38100</xdr:colOff>
                <xdr:row>10</xdr:row>
                <xdr:rowOff>28575</xdr:rowOff>
              </from>
              <to>
                <xdr:col>0</xdr:col>
                <xdr:colOff>923925</xdr:colOff>
                <xdr:row>11</xdr:row>
                <xdr:rowOff>171450</xdr:rowOff>
              </to>
            </anchor>
          </controlPr>
        </control>
      </mc:Choice>
      <mc:Fallback>
        <control shapeId="2051" r:id="rId4" name="WordDirectionChange"/>
      </mc:Fallback>
    </mc:AlternateContent>
    <mc:AlternateContent xmlns:mc="http://schemas.openxmlformats.org/markup-compatibility/2006">
      <mc:Choice Requires="x14">
        <control shapeId="2049" r:id="rId6" name="JsonFileCreate">
          <controlPr autoLine="0" r:id="rId7">
            <anchor moveWithCells="1">
              <from>
                <xdr:col>0</xdr:col>
                <xdr:colOff>38100</xdr:colOff>
                <xdr:row>4</xdr:row>
                <xdr:rowOff>0</xdr:rowOff>
              </from>
              <to>
                <xdr:col>0</xdr:col>
                <xdr:colOff>923925</xdr:colOff>
                <xdr:row>8</xdr:row>
                <xdr:rowOff>104775</xdr:rowOff>
              </to>
            </anchor>
          </controlPr>
        </control>
      </mc:Choice>
      <mc:Fallback>
        <control shapeId="2049" r:id="rId6" name="JsonFileCreate"/>
      </mc:Fallback>
    </mc:AlternateContent>
    <mc:AlternateContent xmlns:mc="http://schemas.openxmlformats.org/markup-compatibility/2006">
      <mc:Choice Requires="x14">
        <control shapeId="2052" r:id="rId8" name="Button 4">
          <controlPr defaultSize="0" print="0" autoFill="0" autoPict="0" macro="[0]!Commit_Click">
            <anchor moveWithCells="1" sizeWithCells="1">
              <from>
                <xdr:col>0</xdr:col>
                <xdr:colOff>47625</xdr:colOff>
                <xdr:row>8</xdr:row>
                <xdr:rowOff>0</xdr:rowOff>
              </from>
              <to>
                <xdr:col>0</xdr:col>
                <xdr:colOff>895350</xdr:colOff>
                <xdr:row>9</xdr:row>
                <xdr:rowOff>200025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6"/>
  <sheetViews>
    <sheetView workbookViewId="0">
      <selection activeCell="C12" sqref="C12"/>
    </sheetView>
  </sheetViews>
  <sheetFormatPr defaultRowHeight="16.5" x14ac:dyDescent="0.3"/>
  <cols>
    <col min="1" max="1" width="25.5" bestFit="1" customWidth="1"/>
    <col min="2" max="2" width="17.875" bestFit="1" customWidth="1"/>
    <col min="3" max="3" width="50.25" bestFit="1" customWidth="1"/>
  </cols>
  <sheetData>
    <row r="1" spans="1:3" x14ac:dyDescent="0.3">
      <c r="A1" s="25" t="s">
        <v>181</v>
      </c>
      <c r="B1" s="26" t="s">
        <v>182</v>
      </c>
      <c r="C1" s="27" t="s">
        <v>195</v>
      </c>
    </row>
    <row r="2" spans="1:3" x14ac:dyDescent="0.3">
      <c r="A2" s="28" t="s">
        <v>183</v>
      </c>
      <c r="B2" s="29">
        <v>0</v>
      </c>
      <c r="C2" s="30"/>
    </row>
    <row r="3" spans="1:3" x14ac:dyDescent="0.3">
      <c r="A3" s="31" t="s">
        <v>185</v>
      </c>
      <c r="B3" s="32">
        <v>5</v>
      </c>
      <c r="C3" s="33" t="s">
        <v>196</v>
      </c>
    </row>
    <row r="4" spans="1:3" x14ac:dyDescent="0.3">
      <c r="A4" s="28" t="s">
        <v>187</v>
      </c>
      <c r="B4" s="29">
        <v>21</v>
      </c>
      <c r="C4" s="30" t="s">
        <v>197</v>
      </c>
    </row>
    <row r="5" spans="1:3" x14ac:dyDescent="0.3">
      <c r="A5" s="31" t="s">
        <v>189</v>
      </c>
      <c r="B5" s="32">
        <v>31</v>
      </c>
      <c r="C5" s="33" t="s">
        <v>198</v>
      </c>
    </row>
    <row r="6" spans="1:3" x14ac:dyDescent="0.3">
      <c r="A6" s="14" t="s">
        <v>191</v>
      </c>
      <c r="B6" s="15">
        <v>99</v>
      </c>
      <c r="C6" s="16" t="s">
        <v>199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!명세서</vt:lpstr>
      <vt:lpstr>STRING_ERROR</vt:lpstr>
      <vt:lpstr>!STRING_ERROR(20181214)</vt:lpstr>
      <vt:lpstr>!STRING_ERROR(20181207)</vt:lpstr>
      <vt:lpstr>!List</vt:lpstr>
      <vt:lpstr>_ls_ErrorType</vt:lpstr>
      <vt:lpstr>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csPark</dc:creator>
  <cp:lastModifiedBy>wmoffice27</cp:lastModifiedBy>
  <dcterms:created xsi:type="dcterms:W3CDTF">2016-01-18T01:31:30Z</dcterms:created>
  <dcterms:modified xsi:type="dcterms:W3CDTF">2025-12-23T08:20:19Z</dcterms:modified>
</cp:coreProperties>
</file>